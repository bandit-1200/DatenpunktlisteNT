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496a0dec472f4b8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BILZ\Projekte\V O R L A G E N\Datenpunktliste\"/>
    </mc:Choice>
  </mc:AlternateContent>
  <xr:revisionPtr revIDLastSave="0" documentId="13_ncr:1_{18FCECF3-7925-415C-8ECD-591C7573B939}" xr6:coauthVersionLast="45" xr6:coauthVersionMax="45" xr10:uidLastSave="{00000000-0000-0000-0000-000000000000}"/>
  <bookViews>
    <workbookView xWindow="-120" yWindow="-120" windowWidth="29040" windowHeight="15840" tabRatio="862" xr2:uid="{00000000-000D-0000-FFFF-FFFF00000000}"/>
  </bookViews>
  <sheets>
    <sheet name="PSDUS0202" sheetId="6" r:id="rId1"/>
    <sheet name="MR-DO4" sheetId="88" r:id="rId2"/>
    <sheet name="MR-AO4" sheetId="89" r:id="rId3"/>
    <sheet name="EscoModul" sheetId="82" state="hidden" r:id="rId4"/>
    <sheet name="Modulliste" sheetId="83" state="hidden" r:id="rId5"/>
    <sheet name="Erweiterungen" sheetId="84" state="hidden" r:id="rId6"/>
    <sheet name="DOKU" sheetId="10" state="hidden" r:id="rId7"/>
    <sheet name="Objektliste" sheetId="8" r:id="rId8"/>
    <sheet name="promos" sheetId="14" r:id="rId9"/>
    <sheet name="Name_aus_PList" sheetId="15" r:id="rId10"/>
    <sheet name="DMS" sheetId="9" r:id="rId11"/>
    <sheet name="InbetriebnahmeProtokoll" sheetId="100" state="hidden" r:id="rId12"/>
    <sheet name="alte_Datenpunktliste" sheetId="97" r:id="rId13"/>
    <sheet name="Visio_Import" sheetId="85" r:id="rId14"/>
    <sheet name="Visio_Export" sheetId="94" state="hidden" r:id="rId15"/>
    <sheet name="Visio_Export (2)" sheetId="95" state="hidden" r:id="rId16"/>
    <sheet name="Kabelzugliste" sheetId="86" r:id="rId17"/>
    <sheet name="BMKZ-Belegung" sheetId="92" state="hidden" r:id="rId18"/>
    <sheet name="DB" sheetId="7" state="hidden" r:id="rId19"/>
    <sheet name="DB2" sheetId="16" state="hidden" r:id="rId20"/>
    <sheet name="NI1000TK5" sheetId="87" state="hidden" r:id="rId21"/>
    <sheet name="Arbeitsblatt" sheetId="11" state="hidden" r:id="rId22"/>
    <sheet name="Import_CFG" sheetId="90" r:id="rId23"/>
    <sheet name="tmp" sheetId="12" state="hidden" r:id="rId24"/>
    <sheet name="Namen_cfg" sheetId="91" state="hidden" r:id="rId25"/>
    <sheet name="Test" sheetId="93" state="hidden" r:id="rId26"/>
    <sheet name="MES01" sheetId="98" r:id="rId27"/>
    <sheet name="MOT10" sheetId="99" r:id="rId28"/>
  </sheets>
  <functionGroups builtInGroupCount="19"/>
  <externalReferences>
    <externalReference r:id="rId29"/>
  </externalReferences>
  <definedNames>
    <definedName name="_ANA01_">'DB2'!$O$2:$O$20</definedName>
    <definedName name="_DIG01_">'DB2'!$M$2:$M$20</definedName>
    <definedName name="_xlnm._FilterDatabase" localSheetId="3" hidden="1">EscoModul!$F$2:$Z$31</definedName>
    <definedName name="_xlnm._FilterDatabase" localSheetId="11" hidden="1">InbetriebnahmeProtokoll!$A$10:$L$10</definedName>
    <definedName name="_xlnm._FilterDatabase" localSheetId="16" hidden="1">Kabelzugliste!$A$1:$F$202</definedName>
    <definedName name="_xlnm._FilterDatabase" localSheetId="1" hidden="1">'MR-DO4'!$A$1:$AK$594</definedName>
    <definedName name="_xlnm._FilterDatabase" localSheetId="0" hidden="1">PSDUS0202!$A$1:$AB$2000</definedName>
    <definedName name="_xlnm._FilterDatabase" localSheetId="14" hidden="1">Visio_Export!$A$1:$CV$1</definedName>
    <definedName name="_xlnm._FilterDatabase" localSheetId="13" hidden="1">Visio_Import!$A$1:$BH$133</definedName>
    <definedName name="_MEL01_">'DB2'!$E$2:$E$20</definedName>
    <definedName name="_MES01_">'DB2'!$G$2:$G$20</definedName>
    <definedName name="_MOT01_">'DB2'!$A$2:$A$20</definedName>
    <definedName name="_MOT10_">'DB2'!$C$2:$C$20</definedName>
    <definedName name="_VEN01_">'DB2'!$I$2:$I$20</definedName>
    <definedName name="_VEN02_">'DB2'!$K$2:$K$20</definedName>
    <definedName name="DMS_1">DB!$P:$P</definedName>
    <definedName name="_xlnm.Print_Area" localSheetId="17">'BMKZ-Belegung'!$A$1:$AW$33</definedName>
    <definedName name="_xlnm.Print_Area" localSheetId="11">InbetriebnahmeProtokoll!$A:$D</definedName>
    <definedName name="_xlnm.Print_Area" localSheetId="0">PSDUS0202!$A$1:$P$337</definedName>
    <definedName name="_xlnm.Print_Titles" localSheetId="11">InbetriebnahmeProtokoll!$1:$10</definedName>
    <definedName name="Endungen" localSheetId="11">[1]DB!$R:$R</definedName>
    <definedName name="Endungen">DB!$R:$R</definedName>
    <definedName name="Erweiterungsmodul">DB!$E:$E</definedName>
    <definedName name="Gewerk">'BMKZ-Belegung'!$1:$1</definedName>
    <definedName name="H_">'BMKZ-Belegung'!$W:$W</definedName>
    <definedName name="H_Druck">'BMKZ-Belegung'!$AF:$AF</definedName>
    <definedName name="H_Klappe">'BMKZ-Belegung'!$AD:$AD</definedName>
    <definedName name="H_Meldung">'BMKZ-Belegung'!$AH:$AH</definedName>
    <definedName name="H_Motor" localSheetId="11">'[1]BMKZ-Belegung'!#REF!</definedName>
    <definedName name="H_Motor">'BMKZ-Belegung'!#REF!</definedName>
    <definedName name="H_Pumpe">'BMKZ-Belegung'!$Z:$Z</definedName>
    <definedName name="H_Temp">'BMKZ-Belegung'!$X:$X</definedName>
    <definedName name="H_Ventil">'BMKZ-Belegung'!$AB:$AB</definedName>
    <definedName name="IO" localSheetId="11">[1]DB!$B:$B</definedName>
    <definedName name="IO">DB!$B:$B</definedName>
    <definedName name="K_">'BMKZ-Belegung'!$AK:$AK</definedName>
    <definedName name="K_Druck">'BMKZ-Belegung'!$AT:$AT</definedName>
    <definedName name="K_Klappe">'BMKZ-Belegung'!$AR:$AR</definedName>
    <definedName name="K_Meldung">'BMKZ-Belegung'!$AV:$AV</definedName>
    <definedName name="K_Pumpe">'BMKZ-Belegung'!$AN:$AN</definedName>
    <definedName name="K_Temp">'BMKZ-Belegung'!$AL:$AL</definedName>
    <definedName name="K_Ventil">'BMKZ-Belegung'!$AP:$AP</definedName>
    <definedName name="L_">'BMKZ-Belegung'!$A:$A</definedName>
    <definedName name="L_Druck">'BMKZ-Belegung'!$F:$F</definedName>
    <definedName name="L_Feuchte">'BMKZ-Belegung'!$D:$D</definedName>
    <definedName name="L_Filter">'BMKZ-Belegung'!$R:$R</definedName>
    <definedName name="L_FU">'BMKZ-Belegung'!$H:$H</definedName>
    <definedName name="L_Klappe">'BMKZ-Belegung'!$N:$N</definedName>
    <definedName name="L_Meldung">'BMKZ-Belegung'!$T:$T</definedName>
    <definedName name="L_Motor">'BMKZ-Belegung'!$J:$J</definedName>
    <definedName name="L_Pumpe">'BMKZ-Belegung'!$L:$L</definedName>
    <definedName name="L_Temp">'BMKZ-Belegung'!$B:$B</definedName>
    <definedName name="L_Ventil">'BMKZ-Belegung'!$P:$P</definedName>
    <definedName name="Module" localSheetId="11">[1]DB!$A:$A</definedName>
    <definedName name="Module">DB!$A:$A</definedName>
    <definedName name="Objecte" localSheetId="11">[1]DB2!$1:$1</definedName>
    <definedName name="Objecte">'DB2'!$1:$1</definedName>
    <definedName name="Objekte">DB!$O:$O</definedName>
    <definedName name="Type" localSheetId="11">[1]DB!$C:$C</definedName>
    <definedName name="Type">DB!$C:$C</definedName>
  </definedNames>
  <calcPr calcId="191029"/>
</workbook>
</file>

<file path=xl/calcChain.xml><?xml version="1.0" encoding="utf-8"?>
<calcChain xmlns="http://schemas.openxmlformats.org/spreadsheetml/2006/main">
  <c r="AS20" i="90" l="1"/>
  <c r="AT20" i="90"/>
  <c r="AU20" i="90"/>
  <c r="AV20" i="90"/>
  <c r="AW20" i="90"/>
  <c r="AX20" i="90"/>
  <c r="O72" i="6" l="1"/>
  <c r="O71" i="6"/>
  <c r="O69" i="6"/>
  <c r="O68" i="6"/>
  <c r="O67" i="6"/>
  <c r="N43" i="89" l="1"/>
  <c r="R42" i="89"/>
  <c r="N42" i="89"/>
  <c r="L42" i="89"/>
  <c r="S42" i="89" s="1"/>
  <c r="E42" i="89"/>
  <c r="R41" i="89"/>
  <c r="N41" i="89"/>
  <c r="L41" i="89"/>
  <c r="S41" i="89" s="1"/>
  <c r="E41" i="89"/>
  <c r="R40" i="89"/>
  <c r="N40" i="89"/>
  <c r="L40" i="89"/>
  <c r="S40" i="89" s="1"/>
  <c r="E40" i="89"/>
  <c r="R39" i="89"/>
  <c r="N39" i="89"/>
  <c r="L39" i="89"/>
  <c r="S39" i="89" s="1"/>
  <c r="E39" i="89"/>
  <c r="R38" i="89"/>
  <c r="N38" i="89"/>
  <c r="L38" i="89"/>
  <c r="S38" i="89" s="1"/>
  <c r="E38" i="89"/>
  <c r="R37" i="89"/>
  <c r="N37" i="89"/>
  <c r="L37" i="89"/>
  <c r="S37" i="89" s="1"/>
  <c r="E37" i="89"/>
  <c r="R36" i="89"/>
  <c r="N36" i="89"/>
  <c r="L36" i="89"/>
  <c r="S36" i="89" s="1"/>
  <c r="E36" i="89"/>
  <c r="R35" i="89"/>
  <c r="N35" i="89"/>
  <c r="L35" i="89"/>
  <c r="S35" i="89" s="1"/>
  <c r="E35" i="89"/>
  <c r="R34" i="89"/>
  <c r="N34" i="89"/>
  <c r="L34" i="89"/>
  <c r="S34" i="89" s="1"/>
  <c r="E34" i="89"/>
  <c r="R33" i="89"/>
  <c r="N33" i="89"/>
  <c r="L33" i="89"/>
  <c r="S33" i="89" s="1"/>
  <c r="E33" i="89"/>
  <c r="R32" i="89"/>
  <c r="N32" i="89"/>
  <c r="L32" i="89"/>
  <c r="S32" i="89" s="1"/>
  <c r="E32" i="89"/>
  <c r="R31" i="89"/>
  <c r="N31" i="89"/>
  <c r="L31" i="89"/>
  <c r="S31" i="89" s="1"/>
  <c r="E31" i="89"/>
  <c r="R30" i="89"/>
  <c r="N30" i="89"/>
  <c r="L30" i="89"/>
  <c r="S30" i="89" s="1"/>
  <c r="E30" i="89"/>
  <c r="R29" i="89"/>
  <c r="N29" i="89"/>
  <c r="L29" i="89"/>
  <c r="S29" i="89" s="1"/>
  <c r="E29" i="89"/>
  <c r="R28" i="89"/>
  <c r="N28" i="89"/>
  <c r="L28" i="89"/>
  <c r="S28" i="89" s="1"/>
  <c r="E28" i="89"/>
  <c r="R27" i="89"/>
  <c r="N27" i="89"/>
  <c r="L27" i="89"/>
  <c r="S27" i="89" s="1"/>
  <c r="E27" i="89"/>
  <c r="R26" i="89"/>
  <c r="N26" i="89"/>
  <c r="L26" i="89"/>
  <c r="S26" i="89" s="1"/>
  <c r="E26" i="89"/>
  <c r="R25" i="89"/>
  <c r="N25" i="89"/>
  <c r="L25" i="89"/>
  <c r="S25" i="89" s="1"/>
  <c r="E25" i="89"/>
  <c r="R24" i="89"/>
  <c r="N24" i="89"/>
  <c r="L24" i="89"/>
  <c r="S24" i="89" s="1"/>
  <c r="E24" i="89"/>
  <c r="R23" i="89"/>
  <c r="N23" i="89"/>
  <c r="L23" i="89"/>
  <c r="S23" i="89" s="1"/>
  <c r="E23" i="89"/>
  <c r="R22" i="89"/>
  <c r="N22" i="89"/>
  <c r="L22" i="89"/>
  <c r="S22" i="89" s="1"/>
  <c r="E22" i="89"/>
  <c r="R21" i="89"/>
  <c r="N21" i="89"/>
  <c r="L21" i="89"/>
  <c r="S21" i="89" s="1"/>
  <c r="E21" i="89"/>
  <c r="R20" i="89"/>
  <c r="N20" i="89"/>
  <c r="L20" i="89"/>
  <c r="S20" i="89" s="1"/>
  <c r="E20" i="89"/>
  <c r="R19" i="89"/>
  <c r="N19" i="89"/>
  <c r="L19" i="89"/>
  <c r="S19" i="89" s="1"/>
  <c r="E19" i="89"/>
  <c r="R18" i="89"/>
  <c r="N18" i="89"/>
  <c r="L18" i="89"/>
  <c r="S18" i="89" s="1"/>
  <c r="E18" i="89"/>
  <c r="R17" i="89"/>
  <c r="N17" i="89"/>
  <c r="L17" i="89"/>
  <c r="S17" i="89" s="1"/>
  <c r="E17" i="89"/>
  <c r="R16" i="89"/>
  <c r="N16" i="89"/>
  <c r="L16" i="89"/>
  <c r="S16" i="89" s="1"/>
  <c r="E16" i="89"/>
  <c r="R15" i="89"/>
  <c r="N15" i="89"/>
  <c r="L15" i="89"/>
  <c r="S15" i="89" s="1"/>
  <c r="E15" i="89"/>
  <c r="R14" i="89"/>
  <c r="N14" i="89"/>
  <c r="L14" i="89"/>
  <c r="S14" i="89" s="1"/>
  <c r="E14" i="89"/>
  <c r="R13" i="89"/>
  <c r="N13" i="89"/>
  <c r="L13" i="89"/>
  <c r="S13" i="89" s="1"/>
  <c r="E13" i="89"/>
  <c r="R12" i="89"/>
  <c r="N12" i="89"/>
  <c r="L12" i="89"/>
  <c r="S12" i="89" s="1"/>
  <c r="E12" i="89"/>
  <c r="R11" i="89"/>
  <c r="N11" i="89"/>
  <c r="L11" i="89"/>
  <c r="S11" i="89" s="1"/>
  <c r="E11" i="89"/>
  <c r="R10" i="89"/>
  <c r="N10" i="89"/>
  <c r="L10" i="89"/>
  <c r="S10" i="89" s="1"/>
  <c r="E10" i="89"/>
  <c r="R9" i="89"/>
  <c r="N9" i="89"/>
  <c r="L9" i="89"/>
  <c r="S9" i="89" s="1"/>
  <c r="E9" i="89"/>
  <c r="R8" i="89"/>
  <c r="N8" i="89"/>
  <c r="E8" i="89"/>
  <c r="R7" i="89"/>
  <c r="N7" i="89"/>
  <c r="E7" i="89"/>
  <c r="R6" i="89"/>
  <c r="N6" i="89"/>
  <c r="L6" i="89"/>
  <c r="S6" i="89" s="1"/>
  <c r="E6" i="89"/>
  <c r="R5" i="89"/>
  <c r="N5" i="89"/>
  <c r="L5" i="89"/>
  <c r="S5" i="89" s="1"/>
  <c r="E5" i="89"/>
  <c r="R4" i="89"/>
  <c r="N4" i="89"/>
  <c r="E4" i="89"/>
  <c r="R3" i="89"/>
  <c r="N3" i="89"/>
  <c r="E3" i="89"/>
  <c r="R50" i="88"/>
  <c r="N50" i="88"/>
  <c r="E50" i="88"/>
  <c r="R49" i="88"/>
  <c r="N49" i="88"/>
  <c r="L49" i="88"/>
  <c r="S49" i="88" s="1"/>
  <c r="E49" i="88"/>
  <c r="R48" i="88"/>
  <c r="N48" i="88"/>
  <c r="E48" i="88"/>
  <c r="R47" i="88"/>
  <c r="N47" i="88"/>
  <c r="E47" i="88"/>
  <c r="R46" i="88"/>
  <c r="N46" i="88"/>
  <c r="E46" i="88"/>
  <c r="R45" i="88"/>
  <c r="N45" i="88"/>
  <c r="E45" i="88"/>
  <c r="R44" i="88"/>
  <c r="N44" i="88"/>
  <c r="E44" i="88"/>
  <c r="R43" i="88"/>
  <c r="N43" i="88"/>
  <c r="E43" i="88"/>
  <c r="R42" i="88"/>
  <c r="N42" i="88"/>
  <c r="E42" i="88"/>
  <c r="R41" i="88"/>
  <c r="N41" i="88"/>
  <c r="E41" i="88"/>
  <c r="R40" i="88"/>
  <c r="N40" i="88"/>
  <c r="E40" i="88"/>
  <c r="R39" i="88"/>
  <c r="N39" i="88"/>
  <c r="L39" i="88"/>
  <c r="S39" i="88" s="1"/>
  <c r="E39" i="88"/>
  <c r="R38" i="88"/>
  <c r="N38" i="88"/>
  <c r="E38" i="88"/>
  <c r="R37" i="88"/>
  <c r="N37" i="88"/>
  <c r="E37" i="88"/>
  <c r="R36" i="88"/>
  <c r="N36" i="88"/>
  <c r="E36" i="88"/>
  <c r="R35" i="88"/>
  <c r="N35" i="88"/>
  <c r="E35" i="88"/>
  <c r="R34" i="88"/>
  <c r="N34" i="88"/>
  <c r="E34" i="88"/>
  <c r="R33" i="88"/>
  <c r="N33" i="88"/>
  <c r="E33" i="88"/>
  <c r="R32" i="88"/>
  <c r="N32" i="88"/>
  <c r="E32" i="88"/>
  <c r="R31" i="88"/>
  <c r="N31" i="88"/>
  <c r="E31" i="88"/>
  <c r="R30" i="88"/>
  <c r="N30" i="88"/>
  <c r="E30" i="88"/>
  <c r="R29" i="88"/>
  <c r="N29" i="88"/>
  <c r="E29" i="88"/>
  <c r="R28" i="88"/>
  <c r="N28" i="88"/>
  <c r="E28" i="88"/>
  <c r="R27" i="88"/>
  <c r="N27" i="88"/>
  <c r="E27" i="88"/>
  <c r="R26" i="88"/>
  <c r="N26" i="88"/>
  <c r="E26" i="88"/>
  <c r="R25" i="88"/>
  <c r="N25" i="88"/>
  <c r="E25" i="88"/>
  <c r="R24" i="88"/>
  <c r="N24" i="88"/>
  <c r="E24" i="88"/>
  <c r="R23" i="88"/>
  <c r="N23" i="88"/>
  <c r="E23" i="88"/>
  <c r="R22" i="88"/>
  <c r="N22" i="88"/>
  <c r="E22" i="88"/>
  <c r="R21" i="88"/>
  <c r="N21" i="88"/>
  <c r="E21" i="88"/>
  <c r="R20" i="88"/>
  <c r="N20" i="88"/>
  <c r="E20" i="88"/>
  <c r="R19" i="88"/>
  <c r="N19" i="88"/>
  <c r="E19" i="88"/>
  <c r="R18" i="88"/>
  <c r="N18" i="88"/>
  <c r="E18" i="88"/>
  <c r="R17" i="88"/>
  <c r="N17" i="88"/>
  <c r="E17" i="88"/>
  <c r="R16" i="88"/>
  <c r="N16" i="88"/>
  <c r="E16" i="88"/>
  <c r="R15" i="88"/>
  <c r="N15" i="88"/>
  <c r="E15" i="88"/>
  <c r="R14" i="88"/>
  <c r="N14" i="88"/>
  <c r="E14" i="88"/>
  <c r="R13" i="88"/>
  <c r="N13" i="88"/>
  <c r="L13" i="88"/>
  <c r="S13" i="88" s="1"/>
  <c r="E13" i="88"/>
  <c r="R12" i="88"/>
  <c r="N12" i="88"/>
  <c r="E12" i="88"/>
  <c r="R11" i="88"/>
  <c r="N11" i="88"/>
  <c r="E11" i="88"/>
  <c r="R10" i="88"/>
  <c r="N10" i="88"/>
  <c r="L10" i="88"/>
  <c r="S10" i="88" s="1"/>
  <c r="E10" i="88"/>
  <c r="R9" i="88"/>
  <c r="N9" i="88"/>
  <c r="E9" i="88"/>
  <c r="R8" i="88"/>
  <c r="N8" i="88"/>
  <c r="E8" i="88"/>
  <c r="R7" i="88"/>
  <c r="N7" i="88"/>
  <c r="E7" i="88"/>
  <c r="R6" i="88"/>
  <c r="N6" i="88"/>
  <c r="E6" i="88"/>
  <c r="R5" i="88"/>
  <c r="N5" i="88"/>
  <c r="E5" i="88"/>
  <c r="R4" i="88"/>
  <c r="N4" i="88"/>
  <c r="E4" i="88"/>
  <c r="R3" i="88"/>
  <c r="N3" i="88"/>
  <c r="E3" i="88"/>
  <c r="S1" i="86"/>
  <c r="L2" i="97" l="1"/>
  <c r="L3" i="97"/>
  <c r="L4" i="97"/>
  <c r="L5" i="97"/>
  <c r="L1" i="97"/>
  <c r="B3" i="97"/>
  <c r="E1" i="83"/>
  <c r="CY4" i="95" l="1"/>
  <c r="CX4" i="95"/>
  <c r="CW4" i="95"/>
  <c r="CU4" i="95"/>
  <c r="CT4" i="95"/>
  <c r="CS4" i="95"/>
  <c r="CR4" i="95"/>
  <c r="CQ4" i="95"/>
  <c r="CP4" i="95"/>
  <c r="CO4" i="95"/>
  <c r="CN4" i="95"/>
  <c r="CM4" i="95"/>
  <c r="CL4" i="95"/>
  <c r="CK4" i="95"/>
  <c r="CJ4" i="95"/>
  <c r="CI4" i="95"/>
  <c r="CH4" i="95"/>
  <c r="CG4" i="95"/>
  <c r="CF4" i="95"/>
  <c r="CE4" i="95"/>
  <c r="CD4" i="95"/>
  <c r="CC4" i="95"/>
  <c r="CB4" i="95"/>
  <c r="CA4" i="95"/>
  <c r="BZ4" i="95"/>
  <c r="BY4" i="95"/>
  <c r="BX4" i="95"/>
  <c r="BW4" i="95"/>
  <c r="BV4" i="95"/>
  <c r="BU4" i="95"/>
  <c r="BT4" i="95"/>
  <c r="BS4" i="95"/>
  <c r="BR4" i="95"/>
  <c r="BQ4" i="95"/>
  <c r="BP4" i="95"/>
  <c r="BO4" i="95"/>
  <c r="BN4" i="95"/>
  <c r="BM4" i="95"/>
  <c r="BL4" i="95"/>
  <c r="BK4" i="95"/>
  <c r="BJ4" i="95"/>
  <c r="BI4" i="95"/>
  <c r="BH4" i="95"/>
  <c r="BG4" i="95"/>
  <c r="BF4" i="95"/>
  <c r="BE4" i="95"/>
  <c r="BD4" i="95"/>
  <c r="BC4" i="95"/>
  <c r="BB4" i="95"/>
  <c r="BA4" i="95"/>
  <c r="AZ4" i="95"/>
  <c r="AY4" i="95"/>
  <c r="AX4" i="95"/>
  <c r="AW4" i="95"/>
  <c r="AV4" i="95"/>
  <c r="AU4" i="95"/>
  <c r="AT4" i="95"/>
  <c r="AS4" i="95"/>
  <c r="AR4" i="95"/>
  <c r="AQ4" i="95"/>
  <c r="AP4" i="95"/>
  <c r="AO4" i="95"/>
  <c r="AN4" i="95"/>
  <c r="AM4" i="95"/>
  <c r="AL4" i="95"/>
  <c r="AK4" i="95"/>
  <c r="AJ4" i="95"/>
  <c r="AI4" i="95"/>
  <c r="AH4" i="95"/>
  <c r="AG4" i="95"/>
  <c r="AF4" i="95"/>
  <c r="AE4" i="95"/>
  <c r="AD4" i="95"/>
  <c r="AC4" i="95"/>
  <c r="AB4" i="95"/>
  <c r="AA4" i="95"/>
  <c r="Z4" i="95"/>
  <c r="Y4" i="95"/>
  <c r="X4" i="95"/>
  <c r="W4" i="95"/>
  <c r="V4" i="95"/>
  <c r="U4" i="95"/>
  <c r="T4" i="95"/>
  <c r="S4" i="95"/>
  <c r="R4" i="95"/>
  <c r="Q4" i="95"/>
  <c r="P4" i="95"/>
  <c r="O4" i="95"/>
  <c r="K4" i="95"/>
  <c r="J4" i="95"/>
  <c r="AA594" i="6" l="1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79" i="6"/>
  <c r="AA578" i="6"/>
  <c r="AA20" i="90" l="1"/>
  <c r="AB20" i="90"/>
  <c r="AC20" i="90"/>
  <c r="AD20" i="90"/>
  <c r="AE20" i="90"/>
  <c r="AF20" i="90"/>
  <c r="AG20" i="90"/>
  <c r="AH20" i="90"/>
  <c r="AI20" i="90"/>
  <c r="AJ20" i="90"/>
  <c r="AK20" i="90"/>
  <c r="AL20" i="90"/>
  <c r="AM20" i="90"/>
  <c r="AN20" i="90"/>
  <c r="AO20" i="90"/>
  <c r="AP20" i="90"/>
  <c r="AQ20" i="90"/>
  <c r="AR20" i="90"/>
  <c r="AZ1" i="92" l="1"/>
  <c r="BA1" i="92"/>
  <c r="BB1" i="92"/>
  <c r="BC1" i="92"/>
  <c r="BD1" i="92"/>
  <c r="BE1" i="92"/>
  <c r="BF1" i="92"/>
  <c r="BG1" i="92"/>
  <c r="BH1" i="92"/>
  <c r="BI1" i="92"/>
  <c r="BJ1" i="92"/>
  <c r="BK1" i="92"/>
  <c r="BL1" i="92"/>
  <c r="BM1" i="92"/>
  <c r="BN1" i="92"/>
  <c r="BO1" i="92"/>
  <c r="BP1" i="92"/>
  <c r="BQ1" i="92"/>
  <c r="BR1" i="92"/>
  <c r="BS1" i="92"/>
  <c r="BT1" i="92"/>
  <c r="BU1" i="92"/>
  <c r="BV1" i="92"/>
  <c r="BW1" i="92"/>
  <c r="BX1" i="92"/>
  <c r="BY1" i="92"/>
  <c r="BZ1" i="92"/>
  <c r="CA1" i="92"/>
  <c r="CB1" i="92"/>
  <c r="CC1" i="92"/>
  <c r="CD1" i="92"/>
  <c r="CE1" i="92"/>
  <c r="CF1" i="92"/>
  <c r="CG1" i="92"/>
  <c r="CH1" i="92"/>
  <c r="CI1" i="92"/>
  <c r="CJ1" i="92"/>
  <c r="CK1" i="92"/>
  <c r="CL1" i="92"/>
  <c r="CM1" i="92"/>
  <c r="CN1" i="92"/>
  <c r="CO1" i="92"/>
  <c r="CP1" i="92"/>
  <c r="CQ1" i="92"/>
  <c r="CR1" i="92"/>
  <c r="CS1" i="92"/>
  <c r="CT1" i="92"/>
  <c r="CU1" i="92"/>
  <c r="CV1" i="92"/>
  <c r="CW1" i="92"/>
  <c r="CX1" i="92"/>
  <c r="CY1" i="92"/>
  <c r="CZ1" i="92"/>
  <c r="DA1" i="92"/>
  <c r="DB1" i="92"/>
  <c r="DC1" i="92"/>
  <c r="DD1" i="92"/>
  <c r="DE1" i="92"/>
  <c r="DF1" i="92"/>
  <c r="DG1" i="92"/>
  <c r="DH1" i="92"/>
  <c r="DI1" i="92"/>
  <c r="DJ1" i="92"/>
  <c r="DK1" i="92"/>
  <c r="DL1" i="92"/>
  <c r="DM1" i="92"/>
  <c r="DN1" i="92"/>
  <c r="DO1" i="92"/>
  <c r="DP1" i="92"/>
  <c r="DQ1" i="92"/>
  <c r="DR1" i="92"/>
  <c r="DS1" i="92"/>
  <c r="DT1" i="92"/>
  <c r="DU1" i="92"/>
  <c r="DV1" i="92"/>
  <c r="DW1" i="92"/>
  <c r="DX1" i="92"/>
  <c r="DY1" i="92"/>
  <c r="DZ1" i="92"/>
  <c r="EA1" i="92"/>
  <c r="EB1" i="92"/>
  <c r="EC1" i="92"/>
  <c r="ED1" i="92"/>
  <c r="EE1" i="92"/>
  <c r="EF1" i="92"/>
  <c r="EG1" i="92"/>
  <c r="EH1" i="92"/>
  <c r="EI1" i="92"/>
  <c r="EJ1" i="92"/>
  <c r="EK1" i="92"/>
  <c r="EL1" i="92"/>
  <c r="EM1" i="92"/>
  <c r="EN1" i="92"/>
  <c r="EO1" i="92"/>
  <c r="EP1" i="92"/>
  <c r="EQ1" i="92"/>
  <c r="ER1" i="92"/>
  <c r="ES1" i="92"/>
  <c r="ET1" i="92"/>
  <c r="EU1" i="92"/>
  <c r="EV1" i="92"/>
  <c r="EW1" i="92"/>
  <c r="EX1" i="92"/>
  <c r="EY1" i="92"/>
  <c r="EZ1" i="92"/>
  <c r="FA1" i="92"/>
  <c r="FB1" i="92"/>
  <c r="FC1" i="92"/>
  <c r="FD1" i="92"/>
  <c r="FE1" i="92"/>
  <c r="FF1" i="92"/>
  <c r="FG1" i="92"/>
  <c r="FH1" i="92"/>
  <c r="FI1" i="92"/>
  <c r="FJ1" i="92"/>
  <c r="FK1" i="92"/>
  <c r="FL1" i="92"/>
  <c r="FM1" i="92"/>
  <c r="FN1" i="92"/>
  <c r="FO1" i="92"/>
  <c r="FP1" i="92"/>
  <c r="FQ1" i="92"/>
  <c r="FR1" i="92"/>
  <c r="FS1" i="92"/>
  <c r="FT1" i="92"/>
  <c r="AY1" i="92"/>
  <c r="R19" i="6" l="1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R532" i="6"/>
  <c r="R533" i="6"/>
  <c r="R534" i="6"/>
  <c r="R535" i="6"/>
  <c r="R536" i="6"/>
  <c r="R537" i="6"/>
  <c r="R538" i="6"/>
  <c r="R539" i="6"/>
  <c r="R540" i="6"/>
  <c r="R541" i="6"/>
  <c r="R542" i="6"/>
  <c r="R543" i="6"/>
  <c r="R544" i="6"/>
  <c r="R545" i="6"/>
  <c r="R546" i="6"/>
  <c r="R547" i="6"/>
  <c r="R548" i="6"/>
  <c r="R549" i="6"/>
  <c r="R550" i="6"/>
  <c r="R551" i="6"/>
  <c r="R552" i="6"/>
  <c r="R553" i="6"/>
  <c r="R554" i="6"/>
  <c r="R555" i="6"/>
  <c r="R556" i="6"/>
  <c r="R557" i="6"/>
  <c r="R558" i="6"/>
  <c r="R559" i="6"/>
  <c r="R560" i="6"/>
  <c r="R561" i="6"/>
  <c r="R562" i="6"/>
  <c r="R563" i="6"/>
  <c r="R564" i="6"/>
  <c r="R565" i="6"/>
  <c r="R566" i="6"/>
  <c r="R567" i="6"/>
  <c r="R568" i="6"/>
  <c r="R569" i="6"/>
  <c r="R570" i="6"/>
  <c r="R571" i="6"/>
  <c r="R572" i="6"/>
  <c r="R573" i="6"/>
  <c r="R574" i="6"/>
  <c r="R575" i="6"/>
  <c r="R576" i="6"/>
  <c r="R577" i="6"/>
  <c r="R578" i="6"/>
  <c r="L67" i="6"/>
  <c r="AA67" i="6" s="1"/>
  <c r="L68" i="6"/>
  <c r="AA68" i="6" s="1"/>
  <c r="L69" i="6"/>
  <c r="AA69" i="6" s="1"/>
  <c r="L70" i="6"/>
  <c r="AA70" i="6" s="1"/>
  <c r="L71" i="6"/>
  <c r="AA71" i="6" s="1"/>
  <c r="L72" i="6"/>
  <c r="AA72" i="6" s="1"/>
  <c r="L73" i="6"/>
  <c r="AA73" i="6" s="1"/>
  <c r="L74" i="6"/>
  <c r="AA74" i="6" s="1"/>
  <c r="L75" i="6"/>
  <c r="AA75" i="6" s="1"/>
  <c r="L76" i="6"/>
  <c r="AA76" i="6" s="1"/>
  <c r="L77" i="6"/>
  <c r="AA77" i="6" s="1"/>
  <c r="L78" i="6"/>
  <c r="AA78" i="6" s="1"/>
  <c r="L79" i="6"/>
  <c r="AA79" i="6" s="1"/>
  <c r="L80" i="6"/>
  <c r="AA80" i="6" s="1"/>
  <c r="L81" i="6"/>
  <c r="AA81" i="6" s="1"/>
  <c r="L82" i="6"/>
  <c r="AA82" i="6" s="1"/>
  <c r="L83" i="6"/>
  <c r="AA83" i="6" s="1"/>
  <c r="L84" i="6"/>
  <c r="AA84" i="6" s="1"/>
  <c r="L85" i="6"/>
  <c r="AA85" i="6" s="1"/>
  <c r="L86" i="6"/>
  <c r="AA86" i="6" s="1"/>
  <c r="L87" i="6"/>
  <c r="AA87" i="6" s="1"/>
  <c r="L88" i="6"/>
  <c r="AA88" i="6" s="1"/>
  <c r="L89" i="6"/>
  <c r="AA89" i="6" s="1"/>
  <c r="L90" i="6"/>
  <c r="AA90" i="6" s="1"/>
  <c r="L91" i="6"/>
  <c r="AA91" i="6" s="1"/>
  <c r="L92" i="6"/>
  <c r="AA92" i="6" s="1"/>
  <c r="L93" i="6"/>
  <c r="AA93" i="6" s="1"/>
  <c r="L94" i="6"/>
  <c r="AA94" i="6" s="1"/>
  <c r="L95" i="6"/>
  <c r="AA95" i="6" s="1"/>
  <c r="L96" i="6"/>
  <c r="AA96" i="6" s="1"/>
  <c r="L97" i="6"/>
  <c r="AA97" i="6" s="1"/>
  <c r="L98" i="6"/>
  <c r="AA98" i="6" s="1"/>
  <c r="L99" i="6"/>
  <c r="AA99" i="6" s="1"/>
  <c r="L100" i="6"/>
  <c r="AA100" i="6" s="1"/>
  <c r="L101" i="6"/>
  <c r="AA101" i="6" s="1"/>
  <c r="L102" i="6"/>
  <c r="AA102" i="6" s="1"/>
  <c r="L103" i="6"/>
  <c r="AA103" i="6" s="1"/>
  <c r="L104" i="6"/>
  <c r="AA104" i="6" s="1"/>
  <c r="L105" i="6"/>
  <c r="AA105" i="6" s="1"/>
  <c r="L106" i="6"/>
  <c r="AA106" i="6" s="1"/>
  <c r="L107" i="6"/>
  <c r="AA107" i="6" s="1"/>
  <c r="L108" i="6"/>
  <c r="AA108" i="6" s="1"/>
  <c r="L109" i="6"/>
  <c r="AA109" i="6" s="1"/>
  <c r="L110" i="6"/>
  <c r="AA110" i="6" s="1"/>
  <c r="L111" i="6"/>
  <c r="AA111" i="6" s="1"/>
  <c r="L112" i="6"/>
  <c r="AA112" i="6" s="1"/>
  <c r="L113" i="6"/>
  <c r="AA113" i="6" s="1"/>
  <c r="L114" i="6"/>
  <c r="AA114" i="6" s="1"/>
  <c r="L115" i="6"/>
  <c r="AA115" i="6" s="1"/>
  <c r="L116" i="6"/>
  <c r="AA116" i="6" s="1"/>
  <c r="L117" i="6"/>
  <c r="AA117" i="6" s="1"/>
  <c r="L118" i="6"/>
  <c r="AA118" i="6" s="1"/>
  <c r="L119" i="6"/>
  <c r="AA119" i="6" s="1"/>
  <c r="L120" i="6"/>
  <c r="AA120" i="6" s="1"/>
  <c r="L121" i="6"/>
  <c r="AA121" i="6" s="1"/>
  <c r="L122" i="6"/>
  <c r="AA122" i="6" s="1"/>
  <c r="L123" i="6"/>
  <c r="AA123" i="6" s="1"/>
  <c r="L124" i="6"/>
  <c r="AA124" i="6" s="1"/>
  <c r="L125" i="6"/>
  <c r="AA125" i="6" s="1"/>
  <c r="L126" i="6"/>
  <c r="AA126" i="6" s="1"/>
  <c r="L127" i="6"/>
  <c r="AA127" i="6" s="1"/>
  <c r="L128" i="6"/>
  <c r="AA128" i="6" s="1"/>
  <c r="L129" i="6"/>
  <c r="AA129" i="6" s="1"/>
  <c r="L130" i="6"/>
  <c r="AA130" i="6" s="1"/>
  <c r="L131" i="6"/>
  <c r="AA131" i="6" s="1"/>
  <c r="L132" i="6"/>
  <c r="AA132" i="6" s="1"/>
  <c r="L133" i="6"/>
  <c r="AA133" i="6" s="1"/>
  <c r="L134" i="6"/>
  <c r="AA134" i="6" s="1"/>
  <c r="L135" i="6"/>
  <c r="AA135" i="6" s="1"/>
  <c r="L136" i="6"/>
  <c r="AA136" i="6" s="1"/>
  <c r="L137" i="6"/>
  <c r="AA137" i="6" s="1"/>
  <c r="L138" i="6"/>
  <c r="AA138" i="6" s="1"/>
  <c r="L139" i="6"/>
  <c r="AA139" i="6" s="1"/>
  <c r="L140" i="6"/>
  <c r="AA140" i="6" s="1"/>
  <c r="L141" i="6"/>
  <c r="AA141" i="6" s="1"/>
  <c r="L142" i="6"/>
  <c r="AA142" i="6" s="1"/>
  <c r="L143" i="6"/>
  <c r="AA143" i="6" s="1"/>
  <c r="L144" i="6"/>
  <c r="AA144" i="6" s="1"/>
  <c r="L145" i="6"/>
  <c r="AA145" i="6" s="1"/>
  <c r="L146" i="6"/>
  <c r="AA146" i="6" s="1"/>
  <c r="L147" i="6"/>
  <c r="AA147" i="6" s="1"/>
  <c r="L148" i="6"/>
  <c r="AA148" i="6" s="1"/>
  <c r="L149" i="6"/>
  <c r="AA149" i="6" s="1"/>
  <c r="L150" i="6"/>
  <c r="AA150" i="6" s="1"/>
  <c r="L151" i="6"/>
  <c r="AA151" i="6" s="1"/>
  <c r="L152" i="6"/>
  <c r="AA152" i="6" s="1"/>
  <c r="L153" i="6"/>
  <c r="AA153" i="6" s="1"/>
  <c r="L154" i="6"/>
  <c r="AA154" i="6" s="1"/>
  <c r="L155" i="6"/>
  <c r="AA155" i="6" s="1"/>
  <c r="L156" i="6"/>
  <c r="AA156" i="6" s="1"/>
  <c r="L157" i="6"/>
  <c r="AA157" i="6" s="1"/>
  <c r="L158" i="6"/>
  <c r="AA158" i="6" s="1"/>
  <c r="L159" i="6"/>
  <c r="AA159" i="6" s="1"/>
  <c r="L160" i="6"/>
  <c r="AA160" i="6" s="1"/>
  <c r="L161" i="6"/>
  <c r="AA161" i="6" s="1"/>
  <c r="L162" i="6"/>
  <c r="AA162" i="6" s="1"/>
  <c r="L163" i="6"/>
  <c r="AA163" i="6" s="1"/>
  <c r="L164" i="6"/>
  <c r="AA164" i="6" s="1"/>
  <c r="L165" i="6"/>
  <c r="AA165" i="6" s="1"/>
  <c r="L166" i="6"/>
  <c r="AA166" i="6" s="1"/>
  <c r="L167" i="6"/>
  <c r="AA167" i="6" s="1"/>
  <c r="L168" i="6"/>
  <c r="AA168" i="6" s="1"/>
  <c r="L169" i="6"/>
  <c r="AA169" i="6" s="1"/>
  <c r="L170" i="6"/>
  <c r="AA170" i="6" s="1"/>
  <c r="L171" i="6"/>
  <c r="AA171" i="6" s="1"/>
  <c r="L172" i="6"/>
  <c r="AA172" i="6" s="1"/>
  <c r="L173" i="6"/>
  <c r="AA173" i="6" s="1"/>
  <c r="L174" i="6"/>
  <c r="AA174" i="6" s="1"/>
  <c r="L175" i="6"/>
  <c r="AA175" i="6" s="1"/>
  <c r="L176" i="6"/>
  <c r="AA176" i="6" s="1"/>
  <c r="L177" i="6"/>
  <c r="AA177" i="6" s="1"/>
  <c r="L178" i="6"/>
  <c r="AA178" i="6" s="1"/>
  <c r="L179" i="6"/>
  <c r="AA179" i="6" s="1"/>
  <c r="L180" i="6"/>
  <c r="AA180" i="6" s="1"/>
  <c r="L181" i="6"/>
  <c r="AA181" i="6" s="1"/>
  <c r="L182" i="6"/>
  <c r="AA182" i="6" s="1"/>
  <c r="L183" i="6"/>
  <c r="AA183" i="6" s="1"/>
  <c r="L184" i="6"/>
  <c r="AA184" i="6" s="1"/>
  <c r="L185" i="6"/>
  <c r="AA185" i="6" s="1"/>
  <c r="L186" i="6"/>
  <c r="AA186" i="6" s="1"/>
  <c r="L187" i="6"/>
  <c r="AA187" i="6" s="1"/>
  <c r="L188" i="6"/>
  <c r="AA188" i="6" s="1"/>
  <c r="L189" i="6"/>
  <c r="AA189" i="6" s="1"/>
  <c r="L190" i="6"/>
  <c r="AA190" i="6" s="1"/>
  <c r="L191" i="6"/>
  <c r="AA191" i="6" s="1"/>
  <c r="L192" i="6"/>
  <c r="AA192" i="6" s="1"/>
  <c r="L193" i="6"/>
  <c r="AA193" i="6" s="1"/>
  <c r="L194" i="6"/>
  <c r="AA194" i="6" s="1"/>
  <c r="L195" i="6"/>
  <c r="AA195" i="6" s="1"/>
  <c r="L196" i="6"/>
  <c r="AA196" i="6" s="1"/>
  <c r="L197" i="6"/>
  <c r="AA197" i="6" s="1"/>
  <c r="L198" i="6"/>
  <c r="AA198" i="6" s="1"/>
  <c r="L199" i="6"/>
  <c r="AA199" i="6" s="1"/>
  <c r="L200" i="6"/>
  <c r="AA200" i="6" s="1"/>
  <c r="L201" i="6"/>
  <c r="AA201" i="6" s="1"/>
  <c r="L202" i="6"/>
  <c r="AA202" i="6" s="1"/>
  <c r="L203" i="6"/>
  <c r="AA203" i="6" s="1"/>
  <c r="L204" i="6"/>
  <c r="AA204" i="6" s="1"/>
  <c r="L205" i="6"/>
  <c r="AA205" i="6" s="1"/>
  <c r="L206" i="6"/>
  <c r="AA206" i="6" s="1"/>
  <c r="L207" i="6"/>
  <c r="AA207" i="6" s="1"/>
  <c r="L208" i="6"/>
  <c r="AA208" i="6" s="1"/>
  <c r="L209" i="6"/>
  <c r="AA209" i="6" s="1"/>
  <c r="L210" i="6"/>
  <c r="AA210" i="6" s="1"/>
  <c r="L211" i="6"/>
  <c r="AA211" i="6" s="1"/>
  <c r="L212" i="6"/>
  <c r="AA212" i="6" s="1"/>
  <c r="L213" i="6"/>
  <c r="AA213" i="6" s="1"/>
  <c r="L214" i="6"/>
  <c r="AA214" i="6" s="1"/>
  <c r="L215" i="6"/>
  <c r="AA215" i="6" s="1"/>
  <c r="L216" i="6"/>
  <c r="AA216" i="6" s="1"/>
  <c r="L217" i="6"/>
  <c r="AA217" i="6" s="1"/>
  <c r="L218" i="6"/>
  <c r="AA218" i="6" s="1"/>
  <c r="L219" i="6"/>
  <c r="AA219" i="6" s="1"/>
  <c r="L220" i="6"/>
  <c r="AA220" i="6" s="1"/>
  <c r="L221" i="6"/>
  <c r="AA221" i="6" s="1"/>
  <c r="L222" i="6"/>
  <c r="AA222" i="6" s="1"/>
  <c r="L223" i="6"/>
  <c r="AA223" i="6" s="1"/>
  <c r="L224" i="6"/>
  <c r="AA224" i="6" s="1"/>
  <c r="L225" i="6"/>
  <c r="AA225" i="6" s="1"/>
  <c r="L226" i="6"/>
  <c r="AA226" i="6" s="1"/>
  <c r="L227" i="6"/>
  <c r="AA227" i="6" s="1"/>
  <c r="L228" i="6"/>
  <c r="AA228" i="6" s="1"/>
  <c r="L229" i="6"/>
  <c r="AA229" i="6" s="1"/>
  <c r="L230" i="6"/>
  <c r="AA230" i="6" s="1"/>
  <c r="L231" i="6"/>
  <c r="AA231" i="6" s="1"/>
  <c r="L232" i="6"/>
  <c r="AA232" i="6" s="1"/>
  <c r="L233" i="6"/>
  <c r="AA233" i="6" s="1"/>
  <c r="L234" i="6"/>
  <c r="AA234" i="6" s="1"/>
  <c r="L235" i="6"/>
  <c r="AA235" i="6" s="1"/>
  <c r="L236" i="6"/>
  <c r="AA236" i="6" s="1"/>
  <c r="L237" i="6"/>
  <c r="AA237" i="6" s="1"/>
  <c r="L238" i="6"/>
  <c r="AA238" i="6" s="1"/>
  <c r="L239" i="6"/>
  <c r="AA239" i="6" s="1"/>
  <c r="L240" i="6"/>
  <c r="AA240" i="6" s="1"/>
  <c r="L241" i="6"/>
  <c r="AA241" i="6" s="1"/>
  <c r="L242" i="6"/>
  <c r="AA242" i="6" s="1"/>
  <c r="L249" i="6"/>
  <c r="AA249" i="6" s="1"/>
  <c r="L250" i="6"/>
  <c r="AA250" i="6" s="1"/>
  <c r="L251" i="6"/>
  <c r="AA251" i="6" s="1"/>
  <c r="L252" i="6"/>
  <c r="AA252" i="6" s="1"/>
  <c r="L253" i="6"/>
  <c r="AA253" i="6" s="1"/>
  <c r="L254" i="6"/>
  <c r="AA254" i="6" s="1"/>
  <c r="L255" i="6"/>
  <c r="AA255" i="6" s="1"/>
  <c r="L256" i="6"/>
  <c r="AA256" i="6" s="1"/>
  <c r="L257" i="6"/>
  <c r="AA257" i="6" s="1"/>
  <c r="L258" i="6"/>
  <c r="AA258" i="6" s="1"/>
  <c r="L259" i="6"/>
  <c r="AA259" i="6" s="1"/>
  <c r="L260" i="6"/>
  <c r="AA260" i="6" s="1"/>
  <c r="L261" i="6"/>
  <c r="AA261" i="6" s="1"/>
  <c r="L262" i="6"/>
  <c r="AA262" i="6" s="1"/>
  <c r="L263" i="6"/>
  <c r="AA263" i="6" s="1"/>
  <c r="L264" i="6"/>
  <c r="AA264" i="6" s="1"/>
  <c r="L265" i="6"/>
  <c r="AA265" i="6" s="1"/>
  <c r="L266" i="6"/>
  <c r="AA266" i="6" s="1"/>
  <c r="L267" i="6"/>
  <c r="AA267" i="6" s="1"/>
  <c r="L268" i="6"/>
  <c r="AA268" i="6" s="1"/>
  <c r="L269" i="6"/>
  <c r="AA269" i="6" s="1"/>
  <c r="L270" i="6"/>
  <c r="AA270" i="6" s="1"/>
  <c r="L271" i="6"/>
  <c r="AA271" i="6" s="1"/>
  <c r="L272" i="6"/>
  <c r="AA272" i="6" s="1"/>
  <c r="L273" i="6"/>
  <c r="AA273" i="6" s="1"/>
  <c r="L274" i="6"/>
  <c r="AA274" i="6" s="1"/>
  <c r="L275" i="6"/>
  <c r="AA275" i="6" s="1"/>
  <c r="L276" i="6"/>
  <c r="AA276" i="6" s="1"/>
  <c r="L277" i="6"/>
  <c r="AA277" i="6" s="1"/>
  <c r="L278" i="6"/>
  <c r="AA278" i="6" s="1"/>
  <c r="L279" i="6"/>
  <c r="AA279" i="6" s="1"/>
  <c r="L280" i="6"/>
  <c r="AA280" i="6" s="1"/>
  <c r="L281" i="6"/>
  <c r="AA281" i="6" s="1"/>
  <c r="L282" i="6"/>
  <c r="AA282" i="6" s="1"/>
  <c r="L283" i="6"/>
  <c r="AA283" i="6" s="1"/>
  <c r="L284" i="6"/>
  <c r="AA284" i="6" s="1"/>
  <c r="L285" i="6"/>
  <c r="AA285" i="6" s="1"/>
  <c r="L286" i="6"/>
  <c r="AA286" i="6" s="1"/>
  <c r="L287" i="6"/>
  <c r="AA287" i="6" s="1"/>
  <c r="L288" i="6"/>
  <c r="AA288" i="6" s="1"/>
  <c r="L289" i="6"/>
  <c r="AA289" i="6" s="1"/>
  <c r="L290" i="6"/>
  <c r="AA290" i="6" s="1"/>
  <c r="L291" i="6"/>
  <c r="AA291" i="6" s="1"/>
  <c r="L292" i="6"/>
  <c r="AA292" i="6" s="1"/>
  <c r="L293" i="6"/>
  <c r="AA293" i="6" s="1"/>
  <c r="L294" i="6"/>
  <c r="AA294" i="6" s="1"/>
  <c r="L295" i="6"/>
  <c r="AA295" i="6" s="1"/>
  <c r="L296" i="6"/>
  <c r="AA296" i="6" s="1"/>
  <c r="L297" i="6"/>
  <c r="AA297" i="6" s="1"/>
  <c r="L298" i="6"/>
  <c r="AA298" i="6" s="1"/>
  <c r="L299" i="6"/>
  <c r="AA299" i="6" s="1"/>
  <c r="L300" i="6"/>
  <c r="AA300" i="6" s="1"/>
  <c r="L301" i="6"/>
  <c r="AA301" i="6" s="1"/>
  <c r="L302" i="6"/>
  <c r="AA302" i="6" s="1"/>
  <c r="L303" i="6"/>
  <c r="AA303" i="6" s="1"/>
  <c r="L304" i="6"/>
  <c r="AA304" i="6" s="1"/>
  <c r="L305" i="6"/>
  <c r="AA305" i="6" s="1"/>
  <c r="L306" i="6"/>
  <c r="AA306" i="6" s="1"/>
  <c r="L307" i="6"/>
  <c r="AA307" i="6" s="1"/>
  <c r="L308" i="6"/>
  <c r="AA308" i="6" s="1"/>
  <c r="L309" i="6"/>
  <c r="AA309" i="6" s="1"/>
  <c r="L310" i="6"/>
  <c r="AA310" i="6" s="1"/>
  <c r="L311" i="6"/>
  <c r="AA311" i="6" s="1"/>
  <c r="L312" i="6"/>
  <c r="AA312" i="6" s="1"/>
  <c r="L313" i="6"/>
  <c r="AA313" i="6" s="1"/>
  <c r="L314" i="6"/>
  <c r="AA314" i="6" s="1"/>
  <c r="L315" i="6"/>
  <c r="AA315" i="6" s="1"/>
  <c r="L316" i="6"/>
  <c r="AA316" i="6" s="1"/>
  <c r="L317" i="6"/>
  <c r="AA317" i="6" s="1"/>
  <c r="L318" i="6"/>
  <c r="AA318" i="6" s="1"/>
  <c r="L319" i="6"/>
  <c r="AA319" i="6" s="1"/>
  <c r="L320" i="6"/>
  <c r="AA320" i="6" s="1"/>
  <c r="L321" i="6"/>
  <c r="AA321" i="6" s="1"/>
  <c r="L322" i="6"/>
  <c r="AA322" i="6" s="1"/>
  <c r="L323" i="6"/>
  <c r="AA323" i="6" s="1"/>
  <c r="L324" i="6"/>
  <c r="AA324" i="6" s="1"/>
  <c r="L325" i="6"/>
  <c r="AA325" i="6" s="1"/>
  <c r="L326" i="6"/>
  <c r="AA326" i="6" s="1"/>
  <c r="L327" i="6"/>
  <c r="AA327" i="6" s="1"/>
  <c r="L328" i="6"/>
  <c r="AA328" i="6" s="1"/>
  <c r="L329" i="6"/>
  <c r="AA329" i="6" s="1"/>
  <c r="L330" i="6"/>
  <c r="AA330" i="6" s="1"/>
  <c r="L331" i="6"/>
  <c r="AA331" i="6" s="1"/>
  <c r="L332" i="6"/>
  <c r="AA332" i="6" s="1"/>
  <c r="L333" i="6"/>
  <c r="AA333" i="6" s="1"/>
  <c r="L334" i="6"/>
  <c r="AA334" i="6" s="1"/>
  <c r="L335" i="6"/>
  <c r="AA335" i="6" s="1"/>
  <c r="L336" i="6"/>
  <c r="AA336" i="6" s="1"/>
  <c r="L337" i="6"/>
  <c r="AA337" i="6" s="1"/>
  <c r="L338" i="6"/>
  <c r="AA338" i="6" s="1"/>
  <c r="L339" i="6"/>
  <c r="AA339" i="6" s="1"/>
  <c r="L340" i="6"/>
  <c r="AA340" i="6" s="1"/>
  <c r="L341" i="6"/>
  <c r="AA341" i="6" s="1"/>
  <c r="L342" i="6"/>
  <c r="AA342" i="6" s="1"/>
  <c r="L343" i="6"/>
  <c r="AA343" i="6" s="1"/>
  <c r="L344" i="6"/>
  <c r="AA344" i="6" s="1"/>
  <c r="L345" i="6"/>
  <c r="AA345" i="6" s="1"/>
  <c r="L346" i="6"/>
  <c r="AA346" i="6" s="1"/>
  <c r="L347" i="6"/>
  <c r="AA347" i="6" s="1"/>
  <c r="L348" i="6"/>
  <c r="AA348" i="6" s="1"/>
  <c r="L349" i="6"/>
  <c r="AA349" i="6" s="1"/>
  <c r="L350" i="6"/>
  <c r="AA350" i="6" s="1"/>
  <c r="L351" i="6"/>
  <c r="AA351" i="6" s="1"/>
  <c r="L352" i="6"/>
  <c r="AA352" i="6" s="1"/>
  <c r="L353" i="6"/>
  <c r="AA353" i="6" s="1"/>
  <c r="L354" i="6"/>
  <c r="AA354" i="6" s="1"/>
  <c r="L355" i="6"/>
  <c r="AA355" i="6" s="1"/>
  <c r="L356" i="6"/>
  <c r="AA356" i="6" s="1"/>
  <c r="L357" i="6"/>
  <c r="AA357" i="6" s="1"/>
  <c r="L358" i="6"/>
  <c r="AA358" i="6" s="1"/>
  <c r="L359" i="6"/>
  <c r="AA359" i="6" s="1"/>
  <c r="L360" i="6"/>
  <c r="AA360" i="6" s="1"/>
  <c r="L361" i="6"/>
  <c r="AA361" i="6" s="1"/>
  <c r="L362" i="6"/>
  <c r="AA362" i="6" s="1"/>
  <c r="L363" i="6"/>
  <c r="AA363" i="6" s="1"/>
  <c r="L364" i="6"/>
  <c r="AA364" i="6" s="1"/>
  <c r="L365" i="6"/>
  <c r="AA365" i="6" s="1"/>
  <c r="L366" i="6"/>
  <c r="AA366" i="6" s="1"/>
  <c r="L367" i="6"/>
  <c r="AA367" i="6" s="1"/>
  <c r="L368" i="6"/>
  <c r="AA368" i="6" s="1"/>
  <c r="L369" i="6"/>
  <c r="AA369" i="6" s="1"/>
  <c r="L370" i="6"/>
  <c r="AA370" i="6" s="1"/>
  <c r="L371" i="6"/>
  <c r="AA371" i="6" s="1"/>
  <c r="L372" i="6"/>
  <c r="AA372" i="6" s="1"/>
  <c r="L373" i="6"/>
  <c r="AA373" i="6" s="1"/>
  <c r="L374" i="6"/>
  <c r="AA374" i="6" s="1"/>
  <c r="L375" i="6"/>
  <c r="AA375" i="6" s="1"/>
  <c r="L376" i="6"/>
  <c r="AA376" i="6" s="1"/>
  <c r="L377" i="6"/>
  <c r="AA377" i="6" s="1"/>
  <c r="L378" i="6"/>
  <c r="AA378" i="6" s="1"/>
  <c r="L379" i="6"/>
  <c r="AA379" i="6" s="1"/>
  <c r="L380" i="6"/>
  <c r="AA380" i="6" s="1"/>
  <c r="L381" i="6"/>
  <c r="AA381" i="6" s="1"/>
  <c r="L382" i="6"/>
  <c r="AA382" i="6" s="1"/>
  <c r="L383" i="6"/>
  <c r="AA383" i="6" s="1"/>
  <c r="L384" i="6"/>
  <c r="AA384" i="6" s="1"/>
  <c r="L385" i="6"/>
  <c r="AA385" i="6" s="1"/>
  <c r="L386" i="6"/>
  <c r="AA386" i="6" s="1"/>
  <c r="L387" i="6"/>
  <c r="AA387" i="6" s="1"/>
  <c r="L388" i="6"/>
  <c r="AA388" i="6" s="1"/>
  <c r="L389" i="6"/>
  <c r="AA389" i="6" s="1"/>
  <c r="L390" i="6"/>
  <c r="AA390" i="6" s="1"/>
  <c r="L391" i="6"/>
  <c r="AA391" i="6" s="1"/>
  <c r="L392" i="6"/>
  <c r="AA392" i="6" s="1"/>
  <c r="L393" i="6"/>
  <c r="AA393" i="6" s="1"/>
  <c r="L394" i="6"/>
  <c r="AA394" i="6" s="1"/>
  <c r="L395" i="6"/>
  <c r="AA395" i="6" s="1"/>
  <c r="L396" i="6"/>
  <c r="AA396" i="6" s="1"/>
  <c r="L397" i="6"/>
  <c r="AA397" i="6" s="1"/>
  <c r="L398" i="6"/>
  <c r="AA398" i="6" s="1"/>
  <c r="L399" i="6"/>
  <c r="AA399" i="6" s="1"/>
  <c r="L400" i="6"/>
  <c r="AA400" i="6" s="1"/>
  <c r="L401" i="6"/>
  <c r="AA401" i="6" s="1"/>
  <c r="L402" i="6"/>
  <c r="AA402" i="6" s="1"/>
  <c r="L403" i="6"/>
  <c r="AA403" i="6" s="1"/>
  <c r="L404" i="6"/>
  <c r="AA404" i="6" s="1"/>
  <c r="L405" i="6"/>
  <c r="AA405" i="6" s="1"/>
  <c r="L406" i="6"/>
  <c r="AA406" i="6" s="1"/>
  <c r="L407" i="6"/>
  <c r="AA407" i="6" s="1"/>
  <c r="L408" i="6"/>
  <c r="AA408" i="6" s="1"/>
  <c r="L409" i="6"/>
  <c r="AA409" i="6" s="1"/>
  <c r="L410" i="6"/>
  <c r="AA410" i="6" s="1"/>
  <c r="L411" i="6"/>
  <c r="AA411" i="6" s="1"/>
  <c r="L412" i="6"/>
  <c r="AA412" i="6" s="1"/>
  <c r="L413" i="6"/>
  <c r="AA413" i="6" s="1"/>
  <c r="L414" i="6"/>
  <c r="AA414" i="6" s="1"/>
  <c r="L415" i="6"/>
  <c r="AA415" i="6" s="1"/>
  <c r="L416" i="6"/>
  <c r="AA416" i="6" s="1"/>
  <c r="L417" i="6"/>
  <c r="AA417" i="6" s="1"/>
  <c r="L418" i="6"/>
  <c r="AA418" i="6" s="1"/>
  <c r="L419" i="6"/>
  <c r="AA419" i="6" s="1"/>
  <c r="L420" i="6"/>
  <c r="AA420" i="6" s="1"/>
  <c r="L421" i="6"/>
  <c r="AA421" i="6" s="1"/>
  <c r="L422" i="6"/>
  <c r="AA422" i="6" s="1"/>
  <c r="L423" i="6"/>
  <c r="AA423" i="6" s="1"/>
  <c r="L424" i="6"/>
  <c r="AA424" i="6" s="1"/>
  <c r="L425" i="6"/>
  <c r="AA425" i="6" s="1"/>
  <c r="L426" i="6"/>
  <c r="AA426" i="6" s="1"/>
  <c r="L427" i="6"/>
  <c r="AA427" i="6" s="1"/>
  <c r="L428" i="6"/>
  <c r="AA428" i="6" s="1"/>
  <c r="L429" i="6"/>
  <c r="AA429" i="6" s="1"/>
  <c r="L430" i="6"/>
  <c r="AA430" i="6" s="1"/>
  <c r="L431" i="6"/>
  <c r="AA431" i="6" s="1"/>
  <c r="L432" i="6"/>
  <c r="AA432" i="6" s="1"/>
  <c r="L433" i="6"/>
  <c r="AA433" i="6" s="1"/>
  <c r="L434" i="6"/>
  <c r="AA434" i="6" s="1"/>
  <c r="L435" i="6"/>
  <c r="AA435" i="6" s="1"/>
  <c r="L436" i="6"/>
  <c r="AA436" i="6" s="1"/>
  <c r="L437" i="6"/>
  <c r="AA437" i="6" s="1"/>
  <c r="L438" i="6"/>
  <c r="AA438" i="6" s="1"/>
  <c r="L439" i="6"/>
  <c r="AA439" i="6" s="1"/>
  <c r="L440" i="6"/>
  <c r="AA440" i="6" s="1"/>
  <c r="L441" i="6"/>
  <c r="AA441" i="6" s="1"/>
  <c r="L442" i="6"/>
  <c r="AA442" i="6" s="1"/>
  <c r="L443" i="6"/>
  <c r="AA443" i="6" s="1"/>
  <c r="L444" i="6"/>
  <c r="AA444" i="6" s="1"/>
  <c r="L445" i="6"/>
  <c r="AA445" i="6" s="1"/>
  <c r="L446" i="6"/>
  <c r="AA446" i="6" s="1"/>
  <c r="L447" i="6"/>
  <c r="AA447" i="6" s="1"/>
  <c r="L448" i="6"/>
  <c r="AA448" i="6" s="1"/>
  <c r="L449" i="6"/>
  <c r="AA449" i="6" s="1"/>
  <c r="L450" i="6"/>
  <c r="AA450" i="6" s="1"/>
  <c r="L451" i="6"/>
  <c r="AA451" i="6" s="1"/>
  <c r="L452" i="6"/>
  <c r="AA452" i="6" s="1"/>
  <c r="L453" i="6"/>
  <c r="AA453" i="6" s="1"/>
  <c r="L454" i="6"/>
  <c r="AA454" i="6" s="1"/>
  <c r="L455" i="6"/>
  <c r="AA455" i="6" s="1"/>
  <c r="L456" i="6"/>
  <c r="AA456" i="6" s="1"/>
  <c r="L457" i="6"/>
  <c r="AA457" i="6" s="1"/>
  <c r="L458" i="6"/>
  <c r="AA458" i="6" s="1"/>
  <c r="L459" i="6"/>
  <c r="AA459" i="6" s="1"/>
  <c r="L460" i="6"/>
  <c r="AA460" i="6" s="1"/>
  <c r="L461" i="6"/>
  <c r="AA461" i="6" s="1"/>
  <c r="L462" i="6"/>
  <c r="AA462" i="6" s="1"/>
  <c r="L463" i="6"/>
  <c r="AA463" i="6" s="1"/>
  <c r="L464" i="6"/>
  <c r="AA464" i="6" s="1"/>
  <c r="L465" i="6"/>
  <c r="AA465" i="6" s="1"/>
  <c r="L466" i="6"/>
  <c r="AA466" i="6" s="1"/>
  <c r="L467" i="6"/>
  <c r="AA467" i="6" s="1"/>
  <c r="L468" i="6"/>
  <c r="AA468" i="6" s="1"/>
  <c r="L469" i="6"/>
  <c r="AA469" i="6" s="1"/>
  <c r="L470" i="6"/>
  <c r="AA470" i="6" s="1"/>
  <c r="L471" i="6"/>
  <c r="AA471" i="6" s="1"/>
  <c r="L472" i="6"/>
  <c r="AA472" i="6" s="1"/>
  <c r="L473" i="6"/>
  <c r="AA473" i="6" s="1"/>
  <c r="L474" i="6"/>
  <c r="AA474" i="6" s="1"/>
  <c r="L475" i="6"/>
  <c r="AA475" i="6" s="1"/>
  <c r="L476" i="6"/>
  <c r="AA476" i="6" s="1"/>
  <c r="L477" i="6"/>
  <c r="AA477" i="6" s="1"/>
  <c r="L478" i="6"/>
  <c r="AA478" i="6" s="1"/>
  <c r="L479" i="6"/>
  <c r="AA479" i="6" s="1"/>
  <c r="L480" i="6"/>
  <c r="AA480" i="6" s="1"/>
  <c r="L481" i="6"/>
  <c r="AA481" i="6" s="1"/>
  <c r="L482" i="6"/>
  <c r="AA482" i="6" s="1"/>
  <c r="L483" i="6"/>
  <c r="AA483" i="6" s="1"/>
  <c r="L484" i="6"/>
  <c r="AA484" i="6" s="1"/>
  <c r="L485" i="6"/>
  <c r="AA485" i="6" s="1"/>
  <c r="L486" i="6"/>
  <c r="AA486" i="6" s="1"/>
  <c r="L487" i="6"/>
  <c r="AA487" i="6" s="1"/>
  <c r="L488" i="6"/>
  <c r="AA488" i="6" s="1"/>
  <c r="L489" i="6"/>
  <c r="AA489" i="6" s="1"/>
  <c r="L490" i="6"/>
  <c r="AA490" i="6" s="1"/>
  <c r="L491" i="6"/>
  <c r="AA491" i="6" s="1"/>
  <c r="L492" i="6"/>
  <c r="AA492" i="6" s="1"/>
  <c r="L493" i="6"/>
  <c r="AA493" i="6" s="1"/>
  <c r="L494" i="6"/>
  <c r="AA494" i="6" s="1"/>
  <c r="L495" i="6"/>
  <c r="AA495" i="6" s="1"/>
  <c r="L496" i="6"/>
  <c r="AA496" i="6" s="1"/>
  <c r="L497" i="6"/>
  <c r="AA497" i="6" s="1"/>
  <c r="L498" i="6"/>
  <c r="AA498" i="6" s="1"/>
  <c r="L499" i="6"/>
  <c r="AA499" i="6" s="1"/>
  <c r="L500" i="6"/>
  <c r="AA500" i="6" s="1"/>
  <c r="L501" i="6"/>
  <c r="AA501" i="6" s="1"/>
  <c r="L502" i="6"/>
  <c r="AA502" i="6" s="1"/>
  <c r="L503" i="6"/>
  <c r="AA503" i="6" s="1"/>
  <c r="L504" i="6"/>
  <c r="AA504" i="6" s="1"/>
  <c r="L505" i="6"/>
  <c r="AA505" i="6" s="1"/>
  <c r="L506" i="6"/>
  <c r="AA506" i="6" s="1"/>
  <c r="L507" i="6"/>
  <c r="AA507" i="6" s="1"/>
  <c r="L508" i="6"/>
  <c r="AA508" i="6" s="1"/>
  <c r="L509" i="6"/>
  <c r="AA509" i="6" s="1"/>
  <c r="L510" i="6"/>
  <c r="AA510" i="6" s="1"/>
  <c r="L511" i="6"/>
  <c r="AA511" i="6" s="1"/>
  <c r="L512" i="6"/>
  <c r="AA512" i="6" s="1"/>
  <c r="L513" i="6"/>
  <c r="AA513" i="6" s="1"/>
  <c r="L514" i="6"/>
  <c r="AA514" i="6" s="1"/>
  <c r="L515" i="6"/>
  <c r="AA515" i="6" s="1"/>
  <c r="L516" i="6"/>
  <c r="AA516" i="6" s="1"/>
  <c r="L517" i="6"/>
  <c r="AA517" i="6" s="1"/>
  <c r="L518" i="6"/>
  <c r="AA518" i="6" s="1"/>
  <c r="L519" i="6"/>
  <c r="AA519" i="6" s="1"/>
  <c r="L520" i="6"/>
  <c r="AA520" i="6" s="1"/>
  <c r="L521" i="6"/>
  <c r="AA521" i="6" s="1"/>
  <c r="L522" i="6"/>
  <c r="AA522" i="6" s="1"/>
  <c r="L523" i="6"/>
  <c r="AA523" i="6" s="1"/>
  <c r="L524" i="6"/>
  <c r="AA524" i="6" s="1"/>
  <c r="L525" i="6"/>
  <c r="AA525" i="6" s="1"/>
  <c r="L526" i="6"/>
  <c r="AA526" i="6" s="1"/>
  <c r="L527" i="6"/>
  <c r="AA527" i="6" s="1"/>
  <c r="L528" i="6"/>
  <c r="AA528" i="6" s="1"/>
  <c r="L529" i="6"/>
  <c r="AA529" i="6" s="1"/>
  <c r="L530" i="6"/>
  <c r="AA530" i="6" s="1"/>
  <c r="L531" i="6"/>
  <c r="AA531" i="6" s="1"/>
  <c r="L532" i="6"/>
  <c r="AA532" i="6" s="1"/>
  <c r="L533" i="6"/>
  <c r="AA533" i="6" s="1"/>
  <c r="L534" i="6"/>
  <c r="AA534" i="6" s="1"/>
  <c r="L535" i="6"/>
  <c r="AA535" i="6" s="1"/>
  <c r="L536" i="6"/>
  <c r="AA536" i="6" s="1"/>
  <c r="L537" i="6"/>
  <c r="AA537" i="6" s="1"/>
  <c r="L538" i="6"/>
  <c r="AA538" i="6" s="1"/>
  <c r="L539" i="6"/>
  <c r="AA539" i="6" s="1"/>
  <c r="L540" i="6"/>
  <c r="AA540" i="6" s="1"/>
  <c r="L541" i="6"/>
  <c r="AA541" i="6" s="1"/>
  <c r="L542" i="6"/>
  <c r="AA542" i="6" s="1"/>
  <c r="L543" i="6"/>
  <c r="AA543" i="6" s="1"/>
  <c r="L544" i="6"/>
  <c r="AA544" i="6" s="1"/>
  <c r="L545" i="6"/>
  <c r="AA545" i="6" s="1"/>
  <c r="L546" i="6"/>
  <c r="AA546" i="6" s="1"/>
  <c r="L547" i="6"/>
  <c r="AA547" i="6" s="1"/>
  <c r="L548" i="6"/>
  <c r="AA548" i="6" s="1"/>
  <c r="L549" i="6"/>
  <c r="AA549" i="6" s="1"/>
  <c r="L550" i="6"/>
  <c r="AA550" i="6" s="1"/>
  <c r="L551" i="6"/>
  <c r="AA551" i="6" s="1"/>
  <c r="L552" i="6"/>
  <c r="AA552" i="6" s="1"/>
  <c r="L553" i="6"/>
  <c r="AA553" i="6" s="1"/>
  <c r="L554" i="6"/>
  <c r="AA554" i="6" s="1"/>
  <c r="L555" i="6"/>
  <c r="AA555" i="6" s="1"/>
  <c r="L556" i="6"/>
  <c r="AA556" i="6" s="1"/>
  <c r="L557" i="6"/>
  <c r="AA557" i="6" s="1"/>
  <c r="L558" i="6"/>
  <c r="AA558" i="6" s="1"/>
  <c r="L559" i="6"/>
  <c r="AA559" i="6" s="1"/>
  <c r="L560" i="6"/>
  <c r="AA560" i="6" s="1"/>
  <c r="L561" i="6"/>
  <c r="AA561" i="6" s="1"/>
  <c r="L562" i="6"/>
  <c r="AA562" i="6" s="1"/>
  <c r="L563" i="6"/>
  <c r="AA563" i="6" s="1"/>
  <c r="L564" i="6"/>
  <c r="AA564" i="6" s="1"/>
  <c r="L565" i="6"/>
  <c r="AA565" i="6" s="1"/>
  <c r="L566" i="6"/>
  <c r="AA566" i="6" s="1"/>
  <c r="L567" i="6"/>
  <c r="AA567" i="6" s="1"/>
  <c r="L568" i="6"/>
  <c r="AA568" i="6" s="1"/>
  <c r="L569" i="6"/>
  <c r="AA569" i="6" s="1"/>
  <c r="L570" i="6"/>
  <c r="AA570" i="6" s="1"/>
  <c r="L571" i="6"/>
  <c r="AA571" i="6" s="1"/>
  <c r="L572" i="6"/>
  <c r="AA572" i="6" s="1"/>
  <c r="L573" i="6"/>
  <c r="AA573" i="6" s="1"/>
  <c r="L574" i="6"/>
  <c r="AA574" i="6" s="1"/>
  <c r="L575" i="6"/>
  <c r="AA575" i="6" s="1"/>
  <c r="L576" i="6"/>
  <c r="AA576" i="6" s="1"/>
  <c r="L577" i="6"/>
  <c r="AA577" i="6" s="1"/>
  <c r="N385" i="6" l="1"/>
  <c r="N384" i="6"/>
  <c r="N383" i="6"/>
  <c r="N382" i="6"/>
  <c r="N381" i="6"/>
  <c r="N380" i="6"/>
  <c r="N379" i="6"/>
  <c r="N378" i="6"/>
  <c r="N377" i="6"/>
  <c r="N376" i="6"/>
  <c r="N375" i="6"/>
  <c r="N374" i="6"/>
  <c r="N373" i="6"/>
  <c r="N372" i="6"/>
  <c r="N371" i="6"/>
  <c r="N370" i="6"/>
  <c r="N369" i="6"/>
  <c r="N368" i="6"/>
  <c r="N367" i="6"/>
  <c r="N366" i="6"/>
  <c r="N365" i="6"/>
  <c r="N364" i="6"/>
  <c r="N363" i="6"/>
  <c r="N362" i="6"/>
  <c r="N361" i="6"/>
  <c r="N360" i="6"/>
  <c r="N359" i="6"/>
  <c r="N358" i="6"/>
  <c r="N357" i="6"/>
  <c r="N356" i="6"/>
  <c r="N355" i="6"/>
  <c r="N354" i="6"/>
  <c r="N353" i="6"/>
  <c r="N352" i="6"/>
  <c r="N351" i="6"/>
  <c r="N350" i="6"/>
  <c r="N349" i="6"/>
  <c r="N348" i="6"/>
  <c r="N347" i="6"/>
  <c r="N346" i="6"/>
  <c r="N345" i="6"/>
  <c r="N344" i="6"/>
  <c r="N343" i="6"/>
  <c r="N342" i="6"/>
  <c r="N341" i="6"/>
  <c r="N340" i="6"/>
  <c r="N339" i="6"/>
  <c r="N338" i="6"/>
  <c r="N337" i="6"/>
  <c r="N336" i="6"/>
  <c r="N335" i="6"/>
  <c r="N334" i="6"/>
  <c r="N333" i="6"/>
  <c r="N332" i="6"/>
  <c r="N331" i="6"/>
  <c r="N330" i="6"/>
  <c r="N329" i="6"/>
  <c r="N328" i="6"/>
  <c r="N327" i="6"/>
  <c r="N326" i="6"/>
  <c r="N325" i="6"/>
  <c r="N324" i="6"/>
  <c r="N323" i="6"/>
  <c r="N322" i="6"/>
  <c r="N321" i="6"/>
  <c r="N320" i="6"/>
  <c r="N319" i="6"/>
  <c r="N318" i="6"/>
  <c r="N317" i="6"/>
  <c r="N316" i="6"/>
  <c r="N315" i="6"/>
  <c r="N314" i="6"/>
  <c r="N313" i="6"/>
  <c r="N312" i="6"/>
  <c r="N311" i="6"/>
  <c r="N310" i="6"/>
  <c r="N309" i="6"/>
  <c r="N308" i="6"/>
  <c r="N307" i="6"/>
  <c r="N306" i="6"/>
  <c r="N305" i="6"/>
  <c r="N304" i="6"/>
  <c r="N303" i="6"/>
  <c r="N302" i="6"/>
  <c r="N301" i="6"/>
  <c r="N300" i="6"/>
  <c r="N299" i="6"/>
  <c r="N298" i="6"/>
  <c r="N297" i="6"/>
  <c r="N296" i="6"/>
  <c r="N295" i="6"/>
  <c r="N294" i="6"/>
  <c r="N293" i="6"/>
  <c r="N292" i="6"/>
  <c r="N291" i="6"/>
  <c r="N290" i="6"/>
  <c r="N289" i="6"/>
  <c r="N288" i="6"/>
  <c r="N287" i="6"/>
  <c r="N286" i="6"/>
  <c r="N285" i="6"/>
  <c r="N284" i="6"/>
  <c r="N283" i="6"/>
  <c r="N282" i="6"/>
  <c r="N281" i="6"/>
  <c r="N280" i="6"/>
  <c r="N279" i="6"/>
  <c r="N278" i="6"/>
  <c r="N277" i="6"/>
  <c r="N276" i="6"/>
  <c r="N275" i="6"/>
  <c r="N274" i="6"/>
  <c r="N225" i="6"/>
  <c r="N224" i="6"/>
  <c r="N223" i="6"/>
  <c r="N222" i="6"/>
  <c r="N221" i="6"/>
  <c r="N220" i="6"/>
  <c r="N219" i="6"/>
  <c r="N218" i="6"/>
  <c r="N65" i="6"/>
  <c r="N64" i="6"/>
  <c r="N63" i="6"/>
  <c r="N62" i="6"/>
  <c r="N61" i="6"/>
  <c r="N60" i="6"/>
  <c r="N59" i="6"/>
  <c r="N58" i="6"/>
  <c r="N57" i="6"/>
  <c r="N56" i="6"/>
  <c r="N55" i="6"/>
  <c r="N54" i="6"/>
  <c r="N49" i="6"/>
  <c r="N48" i="6"/>
  <c r="N47" i="6"/>
  <c r="N46" i="6"/>
  <c r="N45" i="6"/>
  <c r="N44" i="6"/>
  <c r="N43" i="6"/>
  <c r="N42" i="6"/>
  <c r="N41" i="6"/>
  <c r="N40" i="6"/>
  <c r="N39" i="6"/>
  <c r="N38" i="6"/>
  <c r="N33" i="6"/>
  <c r="N32" i="6"/>
  <c r="N31" i="6"/>
  <c r="N30" i="6"/>
  <c r="N29" i="6"/>
  <c r="N28" i="6"/>
  <c r="N27" i="6"/>
  <c r="N26" i="6"/>
  <c r="N24" i="6"/>
  <c r="N23" i="6"/>
  <c r="N22" i="6"/>
  <c r="R18" i="6" l="1"/>
  <c r="U20" i="90" l="1"/>
  <c r="V20" i="90"/>
  <c r="W20" i="90"/>
  <c r="X20" i="90"/>
  <c r="Y20" i="90"/>
  <c r="Z20" i="90"/>
  <c r="B20" i="90"/>
  <c r="C20" i="90"/>
  <c r="D20" i="90"/>
  <c r="E20" i="90"/>
  <c r="F20" i="90"/>
  <c r="G20" i="90"/>
  <c r="H20" i="90"/>
  <c r="I20" i="90"/>
  <c r="J20" i="90"/>
  <c r="K20" i="90"/>
  <c r="L20" i="90"/>
  <c r="M20" i="90"/>
  <c r="N20" i="90"/>
  <c r="O20" i="90"/>
  <c r="P20" i="90"/>
  <c r="Q20" i="90"/>
  <c r="R20" i="90"/>
  <c r="S20" i="90"/>
  <c r="T20" i="90"/>
  <c r="A20" i="90"/>
  <c r="G1" i="88" l="1"/>
  <c r="G1" i="89"/>
  <c r="L1" i="89"/>
  <c r="L1" i="88"/>
  <c r="L8" i="88" l="1"/>
  <c r="S8" i="88" s="1"/>
  <c r="L29" i="88"/>
  <c r="S29" i="88" s="1"/>
  <c r="L45" i="88"/>
  <c r="S45" i="88" s="1"/>
  <c r="L41" i="88"/>
  <c r="S41" i="88" s="1"/>
  <c r="L37" i="88"/>
  <c r="S37" i="88" s="1"/>
  <c r="L12" i="88"/>
  <c r="S12" i="88" s="1"/>
  <c r="L28" i="88"/>
  <c r="S28" i="88" s="1"/>
  <c r="L24" i="88"/>
  <c r="S24" i="88" s="1"/>
  <c r="L20" i="88"/>
  <c r="S20" i="88" s="1"/>
  <c r="L16" i="88"/>
  <c r="S16" i="88" s="1"/>
  <c r="L48" i="88"/>
  <c r="S48" i="88" s="1"/>
  <c r="L44" i="88"/>
  <c r="S44" i="88" s="1"/>
  <c r="L40" i="88"/>
  <c r="S40" i="88" s="1"/>
  <c r="L36" i="88"/>
  <c r="S36" i="88" s="1"/>
  <c r="L27" i="88"/>
  <c r="S27" i="88" s="1"/>
  <c r="L23" i="88"/>
  <c r="S23" i="88" s="1"/>
  <c r="L19" i="88"/>
  <c r="S19" i="88" s="1"/>
  <c r="L15" i="88"/>
  <c r="S15" i="88" s="1"/>
  <c r="L11" i="88"/>
  <c r="S11" i="88" s="1"/>
  <c r="L7" i="88"/>
  <c r="S7" i="88" s="1"/>
  <c r="L47" i="88"/>
  <c r="S47" i="88" s="1"/>
  <c r="L43" i="88"/>
  <c r="S43" i="88" s="1"/>
  <c r="L35" i="88"/>
  <c r="S35" i="88" s="1"/>
  <c r="L30" i="88"/>
  <c r="S30" i="88" s="1"/>
  <c r="L26" i="88"/>
  <c r="S26" i="88" s="1"/>
  <c r="L22" i="88"/>
  <c r="S22" i="88" s="1"/>
  <c r="L18" i="88"/>
  <c r="S18" i="88" s="1"/>
  <c r="L14" i="88"/>
  <c r="S14" i="88" s="1"/>
  <c r="L6" i="88"/>
  <c r="S6" i="88" s="1"/>
  <c r="L50" i="88"/>
  <c r="S50" i="88" s="1"/>
  <c r="L46" i="88"/>
  <c r="S46" i="88" s="1"/>
  <c r="L42" i="88"/>
  <c r="S42" i="88" s="1"/>
  <c r="L38" i="88"/>
  <c r="S38" i="88" s="1"/>
  <c r="L34" i="88"/>
  <c r="S34" i="88" s="1"/>
  <c r="L25" i="88"/>
  <c r="S25" i="88" s="1"/>
  <c r="L21" i="88"/>
  <c r="S21" i="88" s="1"/>
  <c r="L17" i="88"/>
  <c r="S17" i="88" s="1"/>
  <c r="L9" i="88"/>
  <c r="S9" i="88" s="1"/>
  <c r="L3" i="89"/>
  <c r="S3" i="89" s="1"/>
  <c r="L8" i="89"/>
  <c r="S8" i="89" s="1"/>
  <c r="L4" i="89"/>
  <c r="S4" i="89" s="1"/>
  <c r="L7" i="89"/>
  <c r="S7" i="89" s="1"/>
  <c r="L31" i="88"/>
  <c r="S31" i="88" s="1"/>
  <c r="L3" i="88"/>
  <c r="S3" i="88" s="1"/>
  <c r="L5" i="88"/>
  <c r="S5" i="88" s="1"/>
  <c r="L33" i="88"/>
  <c r="S33" i="88" s="1"/>
  <c r="L4" i="88"/>
  <c r="S4" i="88" s="1"/>
  <c r="L32" i="88"/>
  <c r="S32" i="88" s="1"/>
  <c r="S578" i="6"/>
  <c r="D22" i="84" l="1"/>
  <c r="E22" i="84" s="1"/>
  <c r="F22" i="84" s="1"/>
  <c r="D23" i="84"/>
  <c r="E23" i="84"/>
  <c r="F23" i="84" s="1"/>
  <c r="D24" i="84"/>
  <c r="E24" i="84"/>
  <c r="F24" i="84" s="1"/>
  <c r="E1" i="84"/>
  <c r="F1" i="84" s="1"/>
  <c r="G17" i="84"/>
  <c r="D18" i="84" s="1"/>
  <c r="E18" i="84" s="1"/>
  <c r="F18" i="84" s="1"/>
  <c r="G18" i="84"/>
  <c r="D19" i="84" s="1"/>
  <c r="E19" i="84" s="1"/>
  <c r="F19" i="84" s="1"/>
  <c r="G19" i="84"/>
  <c r="D20" i="84" s="1"/>
  <c r="E20" i="84" s="1"/>
  <c r="F20" i="84" s="1"/>
  <c r="G20" i="84"/>
  <c r="D21" i="84" s="1"/>
  <c r="E21" i="84" s="1"/>
  <c r="F21" i="84" s="1"/>
  <c r="G21" i="84"/>
  <c r="G22" i="84"/>
  <c r="G23" i="84"/>
  <c r="G24" i="84"/>
  <c r="D25" i="84" s="1"/>
  <c r="E25" i="84" s="1"/>
  <c r="F25" i="84" s="1"/>
  <c r="G25" i="84"/>
  <c r="D26" i="84" s="1"/>
  <c r="E26" i="84" s="1"/>
  <c r="F26" i="84" s="1"/>
  <c r="G26" i="84"/>
  <c r="D27" i="84" s="1"/>
  <c r="E27" i="84" s="1"/>
  <c r="F27" i="84" s="1"/>
  <c r="G27" i="84"/>
  <c r="D28" i="84" s="1"/>
  <c r="E28" i="84" s="1"/>
  <c r="F28" i="84" s="1"/>
  <c r="G28" i="84"/>
  <c r="D29" i="84" s="1"/>
  <c r="E29" i="84" s="1"/>
  <c r="F29" i="84" s="1"/>
  <c r="G29" i="84"/>
  <c r="D30" i="84" s="1"/>
  <c r="E30" i="84" s="1"/>
  <c r="F30" i="84" s="1"/>
  <c r="G30" i="84"/>
  <c r="G15" i="84"/>
  <c r="D16" i="84" s="1"/>
  <c r="E16" i="84" s="1"/>
  <c r="F16" i="84" s="1"/>
  <c r="G16" i="84"/>
  <c r="D17" i="84" s="1"/>
  <c r="E17" i="84" s="1"/>
  <c r="F17" i="84" s="1"/>
  <c r="G2" i="84"/>
  <c r="D3" i="84" s="1"/>
  <c r="E3" i="84" s="1"/>
  <c r="F3" i="84" s="1"/>
  <c r="G3" i="84"/>
  <c r="D4" i="84" s="1"/>
  <c r="E4" i="84" s="1"/>
  <c r="F4" i="84" s="1"/>
  <c r="G4" i="84"/>
  <c r="D5" i="84" s="1"/>
  <c r="E5" i="84" s="1"/>
  <c r="F5" i="84" s="1"/>
  <c r="G5" i="84"/>
  <c r="D6" i="84" s="1"/>
  <c r="E6" i="84" s="1"/>
  <c r="F6" i="84" s="1"/>
  <c r="G6" i="84"/>
  <c r="D7" i="84" s="1"/>
  <c r="E7" i="84" s="1"/>
  <c r="F7" i="84" s="1"/>
  <c r="G7" i="84"/>
  <c r="D8" i="84" s="1"/>
  <c r="E8" i="84" s="1"/>
  <c r="F8" i="84" s="1"/>
  <c r="G8" i="84"/>
  <c r="D9" i="84" s="1"/>
  <c r="E9" i="84" s="1"/>
  <c r="F9" i="84" s="1"/>
  <c r="G9" i="84"/>
  <c r="D10" i="84" s="1"/>
  <c r="E10" i="84" s="1"/>
  <c r="F10" i="84" s="1"/>
  <c r="G10" i="84"/>
  <c r="D11" i="84" s="1"/>
  <c r="E11" i="84" s="1"/>
  <c r="F11" i="84" s="1"/>
  <c r="G11" i="84"/>
  <c r="D12" i="84" s="1"/>
  <c r="E12" i="84" s="1"/>
  <c r="F12" i="84" s="1"/>
  <c r="G12" i="84"/>
  <c r="D13" i="84" s="1"/>
  <c r="E13" i="84" s="1"/>
  <c r="F13" i="84" s="1"/>
  <c r="G13" i="84"/>
  <c r="D14" i="84" s="1"/>
  <c r="E14" i="84" s="1"/>
  <c r="F14" i="84" s="1"/>
  <c r="G14" i="84"/>
  <c r="D15" i="84" s="1"/>
  <c r="E15" i="84" s="1"/>
  <c r="F15" i="84" s="1"/>
  <c r="G1" i="84"/>
  <c r="D2" i="84" s="1"/>
  <c r="E2" i="84" s="1"/>
  <c r="F2" i="84" s="1"/>
  <c r="H8" i="83" l="1"/>
  <c r="C18" i="97" s="1"/>
  <c r="G8" i="83"/>
  <c r="E9" i="83"/>
  <c r="H9" i="83" s="1"/>
  <c r="D18" i="97" s="1"/>
  <c r="E7" i="83"/>
  <c r="E10" i="83" l="1"/>
  <c r="G9" i="83"/>
  <c r="H7" i="83"/>
  <c r="G7" i="83"/>
  <c r="R33" i="82"/>
  <c r="L33" i="82"/>
  <c r="L34" i="82"/>
  <c r="B18" i="97" l="1"/>
  <c r="H10" i="83"/>
  <c r="E18" i="97" s="1"/>
  <c r="G10" i="83"/>
  <c r="E11" i="83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2" i="82"/>
  <c r="N23" i="82"/>
  <c r="N24" i="82"/>
  <c r="N25" i="82"/>
  <c r="N26" i="82"/>
  <c r="N27" i="82"/>
  <c r="N28" i="82"/>
  <c r="N29" i="82"/>
  <c r="N30" i="82"/>
  <c r="N31" i="82"/>
  <c r="N21" i="82"/>
  <c r="L1" i="6"/>
  <c r="G11" i="83" l="1"/>
  <c r="E12" i="83"/>
  <c r="H11" i="83"/>
  <c r="F18" i="97" s="1"/>
  <c r="R31" i="82"/>
  <c r="R4" i="82"/>
  <c r="R5" i="82"/>
  <c r="R6" i="82"/>
  <c r="R7" i="82"/>
  <c r="R8" i="82"/>
  <c r="R9" i="82"/>
  <c r="R10" i="82"/>
  <c r="R11" i="82"/>
  <c r="R12" i="82"/>
  <c r="R13" i="82"/>
  <c r="R14" i="82"/>
  <c r="R15" i="82"/>
  <c r="R16" i="82"/>
  <c r="R17" i="82"/>
  <c r="R18" i="82"/>
  <c r="R19" i="82"/>
  <c r="R20" i="82"/>
  <c r="R21" i="82"/>
  <c r="R22" i="82"/>
  <c r="R23" i="82"/>
  <c r="R24" i="82"/>
  <c r="R25" i="82"/>
  <c r="R26" i="82"/>
  <c r="R27" i="82"/>
  <c r="R28" i="82"/>
  <c r="R29" i="82"/>
  <c r="R30" i="82"/>
  <c r="L4" i="82"/>
  <c r="S4" i="82" s="1"/>
  <c r="L5" i="82"/>
  <c r="S5" i="82" s="1"/>
  <c r="L6" i="82"/>
  <c r="S6" i="82" s="1"/>
  <c r="L7" i="82"/>
  <c r="S7" i="82" s="1"/>
  <c r="L8" i="82"/>
  <c r="S8" i="82" s="1"/>
  <c r="L9" i="82"/>
  <c r="S9" i="82" s="1"/>
  <c r="L10" i="82"/>
  <c r="S10" i="82" s="1"/>
  <c r="L11" i="82"/>
  <c r="S11" i="82" s="1"/>
  <c r="L12" i="82"/>
  <c r="S12" i="82" s="1"/>
  <c r="L13" i="82"/>
  <c r="S13" i="82" s="1"/>
  <c r="L14" i="82"/>
  <c r="S14" i="82" s="1"/>
  <c r="L15" i="82"/>
  <c r="S15" i="82" s="1"/>
  <c r="L16" i="82"/>
  <c r="S16" i="82" s="1"/>
  <c r="L17" i="82"/>
  <c r="S17" i="82" s="1"/>
  <c r="L18" i="82"/>
  <c r="S18" i="82" s="1"/>
  <c r="L19" i="82"/>
  <c r="S19" i="82" s="1"/>
  <c r="L20" i="82"/>
  <c r="S20" i="82" s="1"/>
  <c r="L21" i="82"/>
  <c r="S21" i="82" s="1"/>
  <c r="L22" i="82"/>
  <c r="S22" i="82" s="1"/>
  <c r="L23" i="82"/>
  <c r="S23" i="82" s="1"/>
  <c r="L24" i="82"/>
  <c r="S24" i="82" s="1"/>
  <c r="L25" i="82"/>
  <c r="S25" i="82" s="1"/>
  <c r="L26" i="82"/>
  <c r="S26" i="82" s="1"/>
  <c r="L27" i="82"/>
  <c r="S27" i="82" s="1"/>
  <c r="L28" i="82"/>
  <c r="S28" i="82" s="1"/>
  <c r="L29" i="82"/>
  <c r="S29" i="82" s="1"/>
  <c r="L30" i="82"/>
  <c r="S30" i="82" s="1"/>
  <c r="L31" i="82"/>
  <c r="S31" i="82" s="1"/>
  <c r="R3" i="82"/>
  <c r="L3" i="82"/>
  <c r="S3" i="82" s="1"/>
  <c r="L1" i="82"/>
  <c r="H12" i="83" l="1"/>
  <c r="G18" i="97" s="1"/>
  <c r="G12" i="83"/>
  <c r="E13" i="83"/>
  <c r="L66" i="6"/>
  <c r="AA66" i="6" s="1"/>
  <c r="L65" i="6"/>
  <c r="AA65" i="6" s="1"/>
  <c r="L64" i="6"/>
  <c r="AA64" i="6" s="1"/>
  <c r="L63" i="6"/>
  <c r="AA63" i="6" s="1"/>
  <c r="L62" i="6"/>
  <c r="AA62" i="6" s="1"/>
  <c r="L61" i="6"/>
  <c r="AA61" i="6" s="1"/>
  <c r="L60" i="6"/>
  <c r="AA60" i="6" s="1"/>
  <c r="L59" i="6"/>
  <c r="AA59" i="6" s="1"/>
  <c r="L58" i="6"/>
  <c r="AA58" i="6" s="1"/>
  <c r="L57" i="6"/>
  <c r="AA57" i="6" s="1"/>
  <c r="L56" i="6"/>
  <c r="AA56" i="6" s="1"/>
  <c r="L55" i="6"/>
  <c r="AA55" i="6" s="1"/>
  <c r="L54" i="6"/>
  <c r="AA54" i="6" s="1"/>
  <c r="L53" i="6"/>
  <c r="AA53" i="6" s="1"/>
  <c r="L52" i="6"/>
  <c r="AA52" i="6" s="1"/>
  <c r="L51" i="6"/>
  <c r="AA51" i="6" s="1"/>
  <c r="L50" i="6"/>
  <c r="AA50" i="6" s="1"/>
  <c r="L49" i="6"/>
  <c r="AA49" i="6" s="1"/>
  <c r="L48" i="6"/>
  <c r="AA48" i="6" s="1"/>
  <c r="L47" i="6"/>
  <c r="AA47" i="6" s="1"/>
  <c r="L46" i="6"/>
  <c r="AA46" i="6" s="1"/>
  <c r="L45" i="6"/>
  <c r="AA45" i="6" s="1"/>
  <c r="L44" i="6"/>
  <c r="AA44" i="6" s="1"/>
  <c r="L43" i="6"/>
  <c r="AA43" i="6" s="1"/>
  <c r="L42" i="6"/>
  <c r="AA42" i="6" s="1"/>
  <c r="L41" i="6"/>
  <c r="AA41" i="6" s="1"/>
  <c r="L40" i="6"/>
  <c r="AA40" i="6" s="1"/>
  <c r="L39" i="6"/>
  <c r="AA39" i="6" s="1"/>
  <c r="L38" i="6"/>
  <c r="AA38" i="6" s="1"/>
  <c r="L37" i="6"/>
  <c r="AA37" i="6" s="1"/>
  <c r="L36" i="6"/>
  <c r="AA36" i="6" s="1"/>
  <c r="L35" i="6"/>
  <c r="AA35" i="6" s="1"/>
  <c r="L34" i="6"/>
  <c r="AA34" i="6" s="1"/>
  <c r="L33" i="6"/>
  <c r="AA33" i="6" s="1"/>
  <c r="L32" i="6"/>
  <c r="AA32" i="6" s="1"/>
  <c r="L31" i="6"/>
  <c r="AA31" i="6" s="1"/>
  <c r="L30" i="6"/>
  <c r="AA30" i="6" s="1"/>
  <c r="L29" i="6"/>
  <c r="AA29" i="6" s="1"/>
  <c r="L28" i="6"/>
  <c r="AA28" i="6" s="1"/>
  <c r="L27" i="6"/>
  <c r="AA27" i="6" s="1"/>
  <c r="L26" i="6"/>
  <c r="AA26" i="6" s="1"/>
  <c r="L25" i="6"/>
  <c r="AA25" i="6" s="1"/>
  <c r="L24" i="6"/>
  <c r="AA24" i="6" s="1"/>
  <c r="L23" i="6"/>
  <c r="AA23" i="6" s="1"/>
  <c r="L22" i="6"/>
  <c r="AA22" i="6" s="1"/>
  <c r="L21" i="6"/>
  <c r="AA21" i="6" s="1"/>
  <c r="L20" i="6"/>
  <c r="AA20" i="6" s="1"/>
  <c r="L19" i="6"/>
  <c r="AA19" i="6" s="1"/>
  <c r="L18" i="6"/>
  <c r="AA18" i="6" s="1"/>
  <c r="G13" i="83" l="1"/>
  <c r="H13" i="83"/>
  <c r="H18" i="97" s="1"/>
  <c r="E14" i="83"/>
  <c r="S115" i="6"/>
  <c r="S339" i="6"/>
  <c r="S419" i="6"/>
  <c r="S451" i="6"/>
  <c r="S36" i="6"/>
  <c r="S148" i="6"/>
  <c r="S228" i="6"/>
  <c r="S260" i="6"/>
  <c r="S276" i="6"/>
  <c r="S292" i="6"/>
  <c r="S308" i="6"/>
  <c r="S324" i="6"/>
  <c r="S340" i="6"/>
  <c r="S356" i="6"/>
  <c r="S372" i="6"/>
  <c r="S388" i="6"/>
  <c r="S404" i="6"/>
  <c r="S420" i="6"/>
  <c r="S436" i="6"/>
  <c r="S452" i="6"/>
  <c r="S468" i="6"/>
  <c r="S484" i="6"/>
  <c r="S500" i="6"/>
  <c r="S516" i="6"/>
  <c r="S532" i="6"/>
  <c r="S548" i="6"/>
  <c r="S564" i="6"/>
  <c r="S99" i="6"/>
  <c r="S259" i="6"/>
  <c r="S371" i="6"/>
  <c r="S515" i="6"/>
  <c r="S52" i="6"/>
  <c r="S116" i="6"/>
  <c r="S21" i="6"/>
  <c r="S117" i="6"/>
  <c r="S181" i="6"/>
  <c r="S197" i="6"/>
  <c r="S213" i="6"/>
  <c r="S229" i="6"/>
  <c r="S261" i="6"/>
  <c r="S277" i="6"/>
  <c r="S293" i="6"/>
  <c r="S309" i="6"/>
  <c r="S325" i="6"/>
  <c r="S341" i="6"/>
  <c r="S357" i="6"/>
  <c r="S373" i="6"/>
  <c r="S389" i="6"/>
  <c r="S405" i="6"/>
  <c r="S421" i="6"/>
  <c r="S437" i="6"/>
  <c r="S453" i="6"/>
  <c r="S469" i="6"/>
  <c r="S485" i="6"/>
  <c r="S501" i="6"/>
  <c r="S517" i="6"/>
  <c r="S533" i="6"/>
  <c r="S549" i="6"/>
  <c r="S565" i="6"/>
  <c r="S51" i="6"/>
  <c r="S195" i="6"/>
  <c r="S291" i="6"/>
  <c r="S387" i="6"/>
  <c r="S467" i="6"/>
  <c r="S20" i="6"/>
  <c r="S196" i="6"/>
  <c r="S101" i="6"/>
  <c r="S38" i="6"/>
  <c r="S70" i="6"/>
  <c r="S86" i="6"/>
  <c r="S102" i="6"/>
  <c r="S118" i="6"/>
  <c r="S134" i="6"/>
  <c r="S150" i="6"/>
  <c r="S166" i="6"/>
  <c r="S182" i="6"/>
  <c r="S198" i="6"/>
  <c r="S214" i="6"/>
  <c r="S230" i="6"/>
  <c r="S262" i="6"/>
  <c r="S278" i="6"/>
  <c r="S294" i="6"/>
  <c r="S310" i="6"/>
  <c r="S326" i="6"/>
  <c r="S342" i="6"/>
  <c r="S358" i="6"/>
  <c r="S374" i="6"/>
  <c r="S390" i="6"/>
  <c r="S406" i="6"/>
  <c r="S422" i="6"/>
  <c r="S438" i="6"/>
  <c r="S454" i="6"/>
  <c r="S470" i="6"/>
  <c r="S486" i="6"/>
  <c r="S502" i="6"/>
  <c r="S518" i="6"/>
  <c r="S534" i="6"/>
  <c r="S550" i="6"/>
  <c r="S566" i="6"/>
  <c r="S147" i="6"/>
  <c r="S307" i="6"/>
  <c r="S547" i="6"/>
  <c r="S212" i="6"/>
  <c r="S85" i="6"/>
  <c r="S22" i="6"/>
  <c r="S71" i="6"/>
  <c r="S87" i="6"/>
  <c r="S103" i="6"/>
  <c r="S119" i="6"/>
  <c r="S135" i="6"/>
  <c r="S151" i="6"/>
  <c r="S167" i="6"/>
  <c r="S183" i="6"/>
  <c r="S199" i="6"/>
  <c r="S215" i="6"/>
  <c r="S231" i="6"/>
  <c r="S263" i="6"/>
  <c r="S279" i="6"/>
  <c r="S295" i="6"/>
  <c r="S311" i="6"/>
  <c r="S327" i="6"/>
  <c r="S343" i="6"/>
  <c r="S359" i="6"/>
  <c r="S375" i="6"/>
  <c r="S391" i="6"/>
  <c r="S407" i="6"/>
  <c r="S423" i="6"/>
  <c r="S439" i="6"/>
  <c r="S455" i="6"/>
  <c r="S471" i="6"/>
  <c r="S487" i="6"/>
  <c r="S503" i="6"/>
  <c r="S519" i="6"/>
  <c r="S535" i="6"/>
  <c r="S551" i="6"/>
  <c r="S567" i="6"/>
  <c r="S131" i="6"/>
  <c r="S275" i="6"/>
  <c r="S403" i="6"/>
  <c r="S499" i="6"/>
  <c r="S84" i="6"/>
  <c r="S180" i="6"/>
  <c r="S53" i="6"/>
  <c r="S165" i="6"/>
  <c r="S39" i="6"/>
  <c r="S40" i="6"/>
  <c r="S88" i="6"/>
  <c r="S104" i="6"/>
  <c r="S120" i="6"/>
  <c r="S136" i="6"/>
  <c r="S152" i="6"/>
  <c r="S168" i="6"/>
  <c r="S184" i="6"/>
  <c r="S200" i="6"/>
  <c r="S216" i="6"/>
  <c r="S232" i="6"/>
  <c r="S264" i="6"/>
  <c r="S280" i="6"/>
  <c r="S296" i="6"/>
  <c r="S312" i="6"/>
  <c r="S328" i="6"/>
  <c r="S344" i="6"/>
  <c r="S360" i="6"/>
  <c r="S376" i="6"/>
  <c r="S392" i="6"/>
  <c r="S408" i="6"/>
  <c r="S424" i="6"/>
  <c r="S440" i="6"/>
  <c r="S456" i="6"/>
  <c r="S472" i="6"/>
  <c r="S488" i="6"/>
  <c r="S504" i="6"/>
  <c r="S520" i="6"/>
  <c r="S536" i="6"/>
  <c r="S552" i="6"/>
  <c r="S568" i="6"/>
  <c r="S19" i="6"/>
  <c r="S227" i="6"/>
  <c r="S483" i="6"/>
  <c r="S68" i="6"/>
  <c r="S132" i="6"/>
  <c r="S37" i="6"/>
  <c r="S133" i="6"/>
  <c r="S54" i="6"/>
  <c r="S55" i="6"/>
  <c r="S56" i="6"/>
  <c r="S25" i="6"/>
  <c r="S57" i="6"/>
  <c r="S73" i="6"/>
  <c r="S89" i="6"/>
  <c r="S105" i="6"/>
  <c r="S121" i="6"/>
  <c r="S137" i="6"/>
  <c r="S153" i="6"/>
  <c r="S169" i="6"/>
  <c r="S185" i="6"/>
  <c r="S201" i="6"/>
  <c r="S217" i="6"/>
  <c r="S233" i="6"/>
  <c r="S249" i="6"/>
  <c r="S265" i="6"/>
  <c r="S281" i="6"/>
  <c r="S297" i="6"/>
  <c r="S313" i="6"/>
  <c r="S329" i="6"/>
  <c r="S345" i="6"/>
  <c r="S361" i="6"/>
  <c r="S377" i="6"/>
  <c r="S393" i="6"/>
  <c r="S409" i="6"/>
  <c r="S425" i="6"/>
  <c r="S441" i="6"/>
  <c r="S457" i="6"/>
  <c r="S473" i="6"/>
  <c r="S489" i="6"/>
  <c r="S505" i="6"/>
  <c r="S521" i="6"/>
  <c r="S537" i="6"/>
  <c r="S553" i="6"/>
  <c r="S569" i="6"/>
  <c r="S323" i="6"/>
  <c r="S531" i="6"/>
  <c r="S100" i="6"/>
  <c r="S164" i="6"/>
  <c r="S69" i="6"/>
  <c r="S149" i="6"/>
  <c r="S23" i="6"/>
  <c r="S24" i="6"/>
  <c r="S72" i="6"/>
  <c r="S41" i="6"/>
  <c r="S26" i="6"/>
  <c r="S42" i="6"/>
  <c r="S58" i="6"/>
  <c r="S74" i="6"/>
  <c r="S90" i="6"/>
  <c r="S106" i="6"/>
  <c r="S122" i="6"/>
  <c r="S138" i="6"/>
  <c r="S154" i="6"/>
  <c r="S170" i="6"/>
  <c r="S186" i="6"/>
  <c r="S202" i="6"/>
  <c r="S218" i="6"/>
  <c r="S234" i="6"/>
  <c r="S250" i="6"/>
  <c r="S266" i="6"/>
  <c r="S282" i="6"/>
  <c r="S298" i="6"/>
  <c r="S314" i="6"/>
  <c r="S330" i="6"/>
  <c r="S346" i="6"/>
  <c r="S362" i="6"/>
  <c r="S378" i="6"/>
  <c r="S394" i="6"/>
  <c r="S410" i="6"/>
  <c r="S426" i="6"/>
  <c r="S442" i="6"/>
  <c r="S458" i="6"/>
  <c r="S474" i="6"/>
  <c r="S490" i="6"/>
  <c r="S506" i="6"/>
  <c r="S522" i="6"/>
  <c r="S538" i="6"/>
  <c r="S554" i="6"/>
  <c r="S570" i="6"/>
  <c r="S179" i="6"/>
  <c r="S355" i="6"/>
  <c r="S563" i="6"/>
  <c r="S27" i="6"/>
  <c r="S43" i="6"/>
  <c r="S59" i="6"/>
  <c r="S75" i="6"/>
  <c r="S91" i="6"/>
  <c r="S107" i="6"/>
  <c r="S123" i="6"/>
  <c r="S139" i="6"/>
  <c r="S155" i="6"/>
  <c r="S171" i="6"/>
  <c r="S187" i="6"/>
  <c r="S203" i="6"/>
  <c r="S219" i="6"/>
  <c r="S235" i="6"/>
  <c r="S251" i="6"/>
  <c r="S267" i="6"/>
  <c r="S283" i="6"/>
  <c r="S299" i="6"/>
  <c r="S315" i="6"/>
  <c r="S331" i="6"/>
  <c r="S347" i="6"/>
  <c r="S363" i="6"/>
  <c r="S379" i="6"/>
  <c r="S395" i="6"/>
  <c r="S411" i="6"/>
  <c r="S427" i="6"/>
  <c r="S443" i="6"/>
  <c r="S459" i="6"/>
  <c r="S475" i="6"/>
  <c r="S491" i="6"/>
  <c r="S507" i="6"/>
  <c r="S523" i="6"/>
  <c r="S539" i="6"/>
  <c r="S555" i="6"/>
  <c r="S571" i="6"/>
  <c r="S35" i="6"/>
  <c r="S163" i="6"/>
  <c r="S435" i="6"/>
  <c r="S60" i="6"/>
  <c r="S92" i="6"/>
  <c r="S124" i="6"/>
  <c r="S156" i="6"/>
  <c r="S188" i="6"/>
  <c r="S220" i="6"/>
  <c r="S252" i="6"/>
  <c r="S284" i="6"/>
  <c r="S300" i="6"/>
  <c r="S332" i="6"/>
  <c r="S348" i="6"/>
  <c r="S364" i="6"/>
  <c r="S380" i="6"/>
  <c r="S396" i="6"/>
  <c r="S412" i="6"/>
  <c r="S428" i="6"/>
  <c r="S444" i="6"/>
  <c r="S460" i="6"/>
  <c r="S476" i="6"/>
  <c r="S508" i="6"/>
  <c r="S524" i="6"/>
  <c r="S540" i="6"/>
  <c r="S556" i="6"/>
  <c r="S572" i="6"/>
  <c r="S211" i="6"/>
  <c r="S28" i="6"/>
  <c r="S44" i="6"/>
  <c r="S76" i="6"/>
  <c r="S108" i="6"/>
  <c r="S140" i="6"/>
  <c r="S172" i="6"/>
  <c r="S204" i="6"/>
  <c r="S236" i="6"/>
  <c r="S268" i="6"/>
  <c r="S316" i="6"/>
  <c r="S492" i="6"/>
  <c r="S29" i="6"/>
  <c r="S45" i="6"/>
  <c r="S61" i="6"/>
  <c r="S77" i="6"/>
  <c r="S93" i="6"/>
  <c r="S109" i="6"/>
  <c r="S125" i="6"/>
  <c r="S141" i="6"/>
  <c r="S157" i="6"/>
  <c r="S173" i="6"/>
  <c r="S189" i="6"/>
  <c r="S205" i="6"/>
  <c r="S221" i="6"/>
  <c r="S237" i="6"/>
  <c r="S253" i="6"/>
  <c r="S269" i="6"/>
  <c r="S285" i="6"/>
  <c r="S301" i="6"/>
  <c r="S317" i="6"/>
  <c r="S333" i="6"/>
  <c r="S349" i="6"/>
  <c r="S365" i="6"/>
  <c r="S381" i="6"/>
  <c r="S397" i="6"/>
  <c r="S413" i="6"/>
  <c r="S429" i="6"/>
  <c r="S445" i="6"/>
  <c r="S461" i="6"/>
  <c r="S477" i="6"/>
  <c r="S493" i="6"/>
  <c r="S509" i="6"/>
  <c r="S525" i="6"/>
  <c r="S541" i="6"/>
  <c r="S557" i="6"/>
  <c r="S573" i="6"/>
  <c r="S222" i="6"/>
  <c r="S238" i="6"/>
  <c r="S254" i="6"/>
  <c r="S270" i="6"/>
  <c r="S286" i="6"/>
  <c r="S302" i="6"/>
  <c r="S318" i="6"/>
  <c r="S334" i="6"/>
  <c r="S350" i="6"/>
  <c r="S366" i="6"/>
  <c r="S382" i="6"/>
  <c r="S398" i="6"/>
  <c r="S414" i="6"/>
  <c r="S430" i="6"/>
  <c r="S446" i="6"/>
  <c r="S462" i="6"/>
  <c r="S478" i="6"/>
  <c r="S494" i="6"/>
  <c r="S510" i="6"/>
  <c r="S526" i="6"/>
  <c r="S542" i="6"/>
  <c r="S558" i="6"/>
  <c r="S574" i="6"/>
  <c r="S30" i="6"/>
  <c r="S78" i="6"/>
  <c r="S94" i="6"/>
  <c r="S126" i="6"/>
  <c r="S142" i="6"/>
  <c r="S158" i="6"/>
  <c r="S174" i="6"/>
  <c r="S190" i="6"/>
  <c r="S206" i="6"/>
  <c r="S31" i="6"/>
  <c r="S47" i="6"/>
  <c r="S63" i="6"/>
  <c r="S79" i="6"/>
  <c r="S95" i="6"/>
  <c r="S111" i="6"/>
  <c r="S127" i="6"/>
  <c r="S143" i="6"/>
  <c r="S159" i="6"/>
  <c r="S175" i="6"/>
  <c r="S191" i="6"/>
  <c r="S207" i="6"/>
  <c r="S223" i="6"/>
  <c r="S239" i="6"/>
  <c r="S255" i="6"/>
  <c r="S271" i="6"/>
  <c r="S287" i="6"/>
  <c r="S303" i="6"/>
  <c r="S319" i="6"/>
  <c r="S335" i="6"/>
  <c r="S351" i="6"/>
  <c r="S367" i="6"/>
  <c r="S383" i="6"/>
  <c r="S399" i="6"/>
  <c r="S415" i="6"/>
  <c r="S431" i="6"/>
  <c r="S447" i="6"/>
  <c r="S463" i="6"/>
  <c r="S479" i="6"/>
  <c r="S495" i="6"/>
  <c r="S511" i="6"/>
  <c r="S527" i="6"/>
  <c r="S543" i="6"/>
  <c r="S559" i="6"/>
  <c r="S575" i="6"/>
  <c r="S67" i="6"/>
  <c r="S62" i="6"/>
  <c r="S110" i="6"/>
  <c r="S80" i="6"/>
  <c r="S112" i="6"/>
  <c r="S144" i="6"/>
  <c r="S176" i="6"/>
  <c r="S208" i="6"/>
  <c r="S240" i="6"/>
  <c r="S272" i="6"/>
  <c r="S288" i="6"/>
  <c r="S320" i="6"/>
  <c r="S336" i="6"/>
  <c r="S352" i="6"/>
  <c r="S368" i="6"/>
  <c r="S384" i="6"/>
  <c r="S400" i="6"/>
  <c r="S416" i="6"/>
  <c r="S432" i="6"/>
  <c r="S448" i="6"/>
  <c r="S464" i="6"/>
  <c r="S480" i="6"/>
  <c r="S512" i="6"/>
  <c r="S528" i="6"/>
  <c r="S544" i="6"/>
  <c r="S560" i="6"/>
  <c r="S576" i="6"/>
  <c r="S83" i="6"/>
  <c r="S46" i="6"/>
  <c r="S32" i="6"/>
  <c r="S48" i="6"/>
  <c r="S64" i="6"/>
  <c r="S96" i="6"/>
  <c r="S128" i="6"/>
  <c r="S160" i="6"/>
  <c r="S192" i="6"/>
  <c r="S224" i="6"/>
  <c r="S256" i="6"/>
  <c r="S304" i="6"/>
  <c r="S496" i="6"/>
  <c r="S33" i="6"/>
  <c r="S49" i="6"/>
  <c r="S65" i="6"/>
  <c r="S81" i="6"/>
  <c r="S97" i="6"/>
  <c r="S113" i="6"/>
  <c r="S129" i="6"/>
  <c r="S145" i="6"/>
  <c r="S161" i="6"/>
  <c r="S177" i="6"/>
  <c r="S193" i="6"/>
  <c r="S209" i="6"/>
  <c r="S225" i="6"/>
  <c r="S241" i="6"/>
  <c r="S257" i="6"/>
  <c r="S273" i="6"/>
  <c r="S289" i="6"/>
  <c r="S305" i="6"/>
  <c r="S321" i="6"/>
  <c r="S337" i="6"/>
  <c r="S353" i="6"/>
  <c r="S369" i="6"/>
  <c r="S385" i="6"/>
  <c r="S401" i="6"/>
  <c r="S417" i="6"/>
  <c r="S433" i="6"/>
  <c r="S449" i="6"/>
  <c r="S465" i="6"/>
  <c r="S481" i="6"/>
  <c r="S497" i="6"/>
  <c r="S513" i="6"/>
  <c r="S529" i="6"/>
  <c r="S545" i="6"/>
  <c r="S561" i="6"/>
  <c r="S577" i="6"/>
  <c r="S18" i="6"/>
  <c r="S34" i="6"/>
  <c r="S50" i="6"/>
  <c r="S66" i="6"/>
  <c r="S82" i="6"/>
  <c r="S98" i="6"/>
  <c r="S114" i="6"/>
  <c r="S130" i="6"/>
  <c r="S146" i="6"/>
  <c r="S162" i="6"/>
  <c r="S178" i="6"/>
  <c r="S194" i="6"/>
  <c r="S210" i="6"/>
  <c r="S226" i="6"/>
  <c r="S242" i="6"/>
  <c r="S258" i="6"/>
  <c r="S274" i="6"/>
  <c r="S290" i="6"/>
  <c r="S306" i="6"/>
  <c r="S322" i="6"/>
  <c r="S338" i="6"/>
  <c r="S354" i="6"/>
  <c r="S370" i="6"/>
  <c r="S386" i="6"/>
  <c r="S402" i="6"/>
  <c r="S418" i="6"/>
  <c r="S434" i="6"/>
  <c r="S450" i="6"/>
  <c r="S466" i="6"/>
  <c r="S482" i="6"/>
  <c r="S498" i="6"/>
  <c r="S514" i="6"/>
  <c r="S530" i="6"/>
  <c r="S546" i="6"/>
  <c r="S562" i="6"/>
  <c r="H14" i="83" l="1"/>
  <c r="I18" i="97" s="1"/>
  <c r="G14" i="83"/>
  <c r="E15" i="83"/>
  <c r="H15" i="83" l="1"/>
  <c r="J18" i="97" s="1"/>
  <c r="G15" i="83"/>
  <c r="E16" i="83"/>
  <c r="H16" i="83" l="1"/>
  <c r="K18" i="97" s="1"/>
  <c r="E17" i="83"/>
  <c r="G16" i="83"/>
  <c r="B306" i="6"/>
  <c r="G17" i="83" l="1"/>
  <c r="H17" i="83"/>
  <c r="L18" i="97" s="1"/>
  <c r="E18" i="83"/>
  <c r="B210" i="6"/>
  <c r="B242" i="6"/>
  <c r="N256" i="6" l="1"/>
  <c r="N255" i="6"/>
  <c r="N254" i="6"/>
  <c r="N253" i="6"/>
  <c r="N252" i="6"/>
  <c r="N249" i="6"/>
  <c r="N257" i="6"/>
  <c r="H18" i="83"/>
  <c r="M18" i="97" s="1"/>
  <c r="E19" i="83"/>
  <c r="G18" i="83"/>
  <c r="N251" i="6"/>
  <c r="N250" i="6"/>
  <c r="N242" i="6"/>
  <c r="N212" i="6"/>
  <c r="N211" i="6"/>
  <c r="N210" i="6"/>
  <c r="N217" i="6"/>
  <c r="N215" i="6"/>
  <c r="N214" i="6"/>
  <c r="N213" i="6"/>
  <c r="N216" i="6"/>
  <c r="H19" i="83" l="1"/>
  <c r="B23" i="97" s="1"/>
  <c r="G19" i="83"/>
  <c r="E20" i="83"/>
  <c r="L580" i="6"/>
  <c r="AA580" i="6" s="1"/>
  <c r="I20" i="83" l="1"/>
  <c r="G20" i="83"/>
  <c r="E21" i="83"/>
  <c r="H20" i="83"/>
  <c r="C23" i="97" s="1"/>
  <c r="O371" i="6"/>
  <c r="O372" i="6"/>
  <c r="O373" i="6"/>
  <c r="O374" i="6"/>
  <c r="O375" i="6"/>
  <c r="O376" i="6"/>
  <c r="O377" i="6"/>
  <c r="O378" i="6"/>
  <c r="O379" i="6"/>
  <c r="O380" i="6"/>
  <c r="O381" i="6"/>
  <c r="O382" i="6"/>
  <c r="O383" i="6"/>
  <c r="O384" i="6"/>
  <c r="O385" i="6"/>
  <c r="O370" i="6"/>
  <c r="O355" i="6"/>
  <c r="O356" i="6"/>
  <c r="O357" i="6"/>
  <c r="O358" i="6"/>
  <c r="O359" i="6"/>
  <c r="O360" i="6"/>
  <c r="O361" i="6"/>
  <c r="O362" i="6"/>
  <c r="O363" i="6"/>
  <c r="O364" i="6"/>
  <c r="O365" i="6"/>
  <c r="O366" i="6"/>
  <c r="O367" i="6"/>
  <c r="O368" i="6"/>
  <c r="O369" i="6"/>
  <c r="O354" i="6"/>
  <c r="O339" i="6"/>
  <c r="O340" i="6"/>
  <c r="O341" i="6"/>
  <c r="O342" i="6"/>
  <c r="O343" i="6"/>
  <c r="O344" i="6"/>
  <c r="O345" i="6"/>
  <c r="O346" i="6"/>
  <c r="O347" i="6"/>
  <c r="O348" i="6"/>
  <c r="O349" i="6"/>
  <c r="O350" i="6"/>
  <c r="O351" i="6"/>
  <c r="O352" i="6"/>
  <c r="O353" i="6"/>
  <c r="O338" i="6"/>
  <c r="O323" i="6"/>
  <c r="O324" i="6"/>
  <c r="O325" i="6"/>
  <c r="O326" i="6"/>
  <c r="O327" i="6"/>
  <c r="O328" i="6"/>
  <c r="O329" i="6"/>
  <c r="O330" i="6"/>
  <c r="O331" i="6"/>
  <c r="O332" i="6"/>
  <c r="O333" i="6"/>
  <c r="O334" i="6"/>
  <c r="O335" i="6"/>
  <c r="O336" i="6"/>
  <c r="O337" i="6"/>
  <c r="O322" i="6"/>
  <c r="O307" i="6"/>
  <c r="O308" i="6"/>
  <c r="O309" i="6"/>
  <c r="O310" i="6"/>
  <c r="O311" i="6"/>
  <c r="O312" i="6"/>
  <c r="O313" i="6"/>
  <c r="O314" i="6"/>
  <c r="O315" i="6"/>
  <c r="O316" i="6"/>
  <c r="O317" i="6"/>
  <c r="O318" i="6"/>
  <c r="O319" i="6"/>
  <c r="O320" i="6"/>
  <c r="O321" i="6"/>
  <c r="O306" i="6"/>
  <c r="O291" i="6"/>
  <c r="O292" i="6"/>
  <c r="O293" i="6"/>
  <c r="O294" i="6"/>
  <c r="O295" i="6"/>
  <c r="O296" i="6"/>
  <c r="O297" i="6"/>
  <c r="O298" i="6"/>
  <c r="O299" i="6"/>
  <c r="O300" i="6"/>
  <c r="O301" i="6"/>
  <c r="O302" i="6"/>
  <c r="O303" i="6"/>
  <c r="O304" i="6"/>
  <c r="O305" i="6"/>
  <c r="O290" i="6"/>
  <c r="O275" i="6"/>
  <c r="O276" i="6"/>
  <c r="O277" i="6"/>
  <c r="O278" i="6"/>
  <c r="O279" i="6"/>
  <c r="O280" i="6"/>
  <c r="O281" i="6"/>
  <c r="O282" i="6"/>
  <c r="O283" i="6"/>
  <c r="O284" i="6"/>
  <c r="O285" i="6"/>
  <c r="O286" i="6"/>
  <c r="O287" i="6"/>
  <c r="O288" i="6"/>
  <c r="O289" i="6"/>
  <c r="O274" i="6"/>
  <c r="O259" i="6"/>
  <c r="O260" i="6"/>
  <c r="O261" i="6"/>
  <c r="O262" i="6"/>
  <c r="O263" i="6"/>
  <c r="O264" i="6"/>
  <c r="O265" i="6"/>
  <c r="O266" i="6"/>
  <c r="O267" i="6"/>
  <c r="O268" i="6"/>
  <c r="O269" i="6"/>
  <c r="O270" i="6"/>
  <c r="O271" i="6"/>
  <c r="O272" i="6"/>
  <c r="O273" i="6"/>
  <c r="O258" i="6"/>
  <c r="O249" i="6"/>
  <c r="O250" i="6"/>
  <c r="O251" i="6"/>
  <c r="O252" i="6"/>
  <c r="O253" i="6"/>
  <c r="O254" i="6"/>
  <c r="O255" i="6"/>
  <c r="O256" i="6"/>
  <c r="O257" i="6"/>
  <c r="O242" i="6"/>
  <c r="O227" i="6"/>
  <c r="O228" i="6"/>
  <c r="O229" i="6"/>
  <c r="O230" i="6"/>
  <c r="O231" i="6"/>
  <c r="O232" i="6"/>
  <c r="O233" i="6"/>
  <c r="O234" i="6"/>
  <c r="O235" i="6"/>
  <c r="O236" i="6"/>
  <c r="O237" i="6"/>
  <c r="O238" i="6"/>
  <c r="O239" i="6"/>
  <c r="O240" i="6"/>
  <c r="O241" i="6"/>
  <c r="O226" i="6"/>
  <c r="O211" i="6"/>
  <c r="O212" i="6"/>
  <c r="O213" i="6"/>
  <c r="O214" i="6"/>
  <c r="O215" i="6"/>
  <c r="O216" i="6"/>
  <c r="O217" i="6"/>
  <c r="O218" i="6"/>
  <c r="O219" i="6"/>
  <c r="O220" i="6"/>
  <c r="O221" i="6"/>
  <c r="O222" i="6"/>
  <c r="O223" i="6"/>
  <c r="O224" i="6"/>
  <c r="O225" i="6"/>
  <c r="O210" i="6"/>
  <c r="O195" i="6"/>
  <c r="O196" i="6"/>
  <c r="O197" i="6"/>
  <c r="O198" i="6"/>
  <c r="O199" i="6"/>
  <c r="O200" i="6"/>
  <c r="O201" i="6"/>
  <c r="O202" i="6"/>
  <c r="O203" i="6"/>
  <c r="O204" i="6"/>
  <c r="O205" i="6"/>
  <c r="O206" i="6"/>
  <c r="O207" i="6"/>
  <c r="O208" i="6"/>
  <c r="O209" i="6"/>
  <c r="O194" i="6"/>
  <c r="O179" i="6"/>
  <c r="O180" i="6"/>
  <c r="O181" i="6"/>
  <c r="O182" i="6"/>
  <c r="O183" i="6"/>
  <c r="O184" i="6"/>
  <c r="O185" i="6"/>
  <c r="O186" i="6"/>
  <c r="O187" i="6"/>
  <c r="O188" i="6"/>
  <c r="O189" i="6"/>
  <c r="O190" i="6"/>
  <c r="O191" i="6"/>
  <c r="O192" i="6"/>
  <c r="O193" i="6"/>
  <c r="O178" i="6"/>
  <c r="O163" i="6"/>
  <c r="O164" i="6"/>
  <c r="O165" i="6"/>
  <c r="O166" i="6"/>
  <c r="O167" i="6"/>
  <c r="O168" i="6"/>
  <c r="O169" i="6"/>
  <c r="O170" i="6"/>
  <c r="O171" i="6"/>
  <c r="O172" i="6"/>
  <c r="O173" i="6"/>
  <c r="O174" i="6"/>
  <c r="O175" i="6"/>
  <c r="O176" i="6"/>
  <c r="O177" i="6"/>
  <c r="O162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46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30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14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98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82" i="6"/>
  <c r="O73" i="6"/>
  <c r="O74" i="6"/>
  <c r="O75" i="6"/>
  <c r="O76" i="6"/>
  <c r="O77" i="6"/>
  <c r="O78" i="6"/>
  <c r="O79" i="6"/>
  <c r="O80" i="6"/>
  <c r="O81" i="6"/>
  <c r="O66" i="6"/>
  <c r="O46" i="6"/>
  <c r="O47" i="6"/>
  <c r="O48" i="6"/>
  <c r="O49" i="6"/>
  <c r="O35" i="6"/>
  <c r="O36" i="6"/>
  <c r="O37" i="6"/>
  <c r="O38" i="6"/>
  <c r="O39" i="6"/>
  <c r="O40" i="6"/>
  <c r="O41" i="6"/>
  <c r="O42" i="6"/>
  <c r="O43" i="6"/>
  <c r="O44" i="6"/>
  <c r="O45" i="6"/>
  <c r="O34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50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18" i="6"/>
  <c r="B18" i="6"/>
  <c r="N25" i="6" s="1"/>
  <c r="H21" i="83" l="1"/>
  <c r="E22" i="83"/>
  <c r="G21" i="83"/>
  <c r="N21" i="6"/>
  <c r="N19" i="6"/>
  <c r="N18" i="6"/>
  <c r="N20" i="6"/>
  <c r="I8" i="83"/>
  <c r="P346" i="6"/>
  <c r="P347" i="6"/>
  <c r="P348" i="6"/>
  <c r="P349" i="6"/>
  <c r="P350" i="6"/>
  <c r="P351" i="6"/>
  <c r="P352" i="6"/>
  <c r="P353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13" i="6"/>
  <c r="P314" i="6"/>
  <c r="P315" i="6"/>
  <c r="P316" i="6"/>
  <c r="P317" i="6"/>
  <c r="P318" i="6"/>
  <c r="P319" i="6"/>
  <c r="P320" i="6"/>
  <c r="P321" i="6"/>
  <c r="D23" i="97" l="1"/>
  <c r="H22" i="83"/>
  <c r="G22" i="83"/>
  <c r="E23" i="83"/>
  <c r="I22" i="83"/>
  <c r="P298" i="6"/>
  <c r="P299" i="6"/>
  <c r="P300" i="6"/>
  <c r="P301" i="6"/>
  <c r="P302" i="6"/>
  <c r="P303" i="6"/>
  <c r="P304" i="6"/>
  <c r="P305" i="6"/>
  <c r="H23" i="83" l="1"/>
  <c r="E23" i="97" s="1"/>
  <c r="G23" i="83"/>
  <c r="E24" i="83"/>
  <c r="P250" i="6"/>
  <c r="P251" i="6"/>
  <c r="P252" i="6"/>
  <c r="P253" i="6"/>
  <c r="P254" i="6"/>
  <c r="P255" i="6"/>
  <c r="P256" i="6"/>
  <c r="P257" i="6"/>
  <c r="E25" i="83" l="1"/>
  <c r="G24" i="83"/>
  <c r="H24" i="83"/>
  <c r="F23" i="97" s="1"/>
  <c r="G25" i="83" l="1"/>
  <c r="H25" i="83"/>
  <c r="G23" i="97" s="1"/>
  <c r="E26" i="83"/>
  <c r="B562" i="6"/>
  <c r="B546" i="6"/>
  <c r="B530" i="6"/>
  <c r="B514" i="6"/>
  <c r="B498" i="6"/>
  <c r="B482" i="6"/>
  <c r="B466" i="6"/>
  <c r="B450" i="6"/>
  <c r="B434" i="6"/>
  <c r="B418" i="6"/>
  <c r="B402" i="6"/>
  <c r="B386" i="6"/>
  <c r="B370" i="6"/>
  <c r="B354" i="6"/>
  <c r="B338" i="6"/>
  <c r="B322" i="6"/>
  <c r="B290" i="6"/>
  <c r="I25" i="83" s="1"/>
  <c r="B274" i="6"/>
  <c r="B258" i="6"/>
  <c r="B226" i="6"/>
  <c r="B194" i="6"/>
  <c r="B178" i="6"/>
  <c r="B162" i="6"/>
  <c r="B146" i="6"/>
  <c r="B130" i="6"/>
  <c r="B114" i="6"/>
  <c r="B98" i="6"/>
  <c r="N105" i="6" s="1"/>
  <c r="B82" i="6"/>
  <c r="B66" i="6"/>
  <c r="B50" i="6"/>
  <c r="B34" i="6"/>
  <c r="B2" i="6"/>
  <c r="N68" i="6" l="1"/>
  <c r="P68" i="6" s="1"/>
  <c r="N67" i="6"/>
  <c r="P67" i="6" s="1"/>
  <c r="N71" i="6"/>
  <c r="P71" i="6" s="1"/>
  <c r="N69" i="6"/>
  <c r="P69" i="6" s="1"/>
  <c r="N72" i="6"/>
  <c r="P72" i="6" s="1"/>
  <c r="N237" i="6"/>
  <c r="P237" i="6" s="1"/>
  <c r="N236" i="6"/>
  <c r="P236" i="6" s="1"/>
  <c r="N235" i="6"/>
  <c r="P235" i="6" s="1"/>
  <c r="N234" i="6"/>
  <c r="P234" i="6" s="1"/>
  <c r="N258" i="6"/>
  <c r="P258" i="6" s="1"/>
  <c r="N273" i="6"/>
  <c r="P273" i="6" s="1"/>
  <c r="N272" i="6"/>
  <c r="P272" i="6" s="1"/>
  <c r="N271" i="6"/>
  <c r="P271" i="6" s="1"/>
  <c r="N270" i="6"/>
  <c r="P270" i="6" s="1"/>
  <c r="N261" i="6"/>
  <c r="P261" i="6" s="1"/>
  <c r="N269" i="6"/>
  <c r="P269" i="6" s="1"/>
  <c r="N260" i="6"/>
  <c r="P260" i="6" s="1"/>
  <c r="N268" i="6"/>
  <c r="P268" i="6" s="1"/>
  <c r="N267" i="6"/>
  <c r="P267" i="6" s="1"/>
  <c r="N266" i="6"/>
  <c r="P266" i="6" s="1"/>
  <c r="N265" i="6"/>
  <c r="P265" i="6" s="1"/>
  <c r="N264" i="6"/>
  <c r="P264" i="6" s="1"/>
  <c r="N262" i="6"/>
  <c r="P262" i="6" s="1"/>
  <c r="N263" i="6"/>
  <c r="P263" i="6" s="1"/>
  <c r="N259" i="6"/>
  <c r="P259" i="6" s="1"/>
  <c r="E27" i="83"/>
  <c r="I27" i="83" s="1"/>
  <c r="G26" i="83"/>
  <c r="I26" i="83"/>
  <c r="H26" i="83"/>
  <c r="H23" i="97" s="1"/>
  <c r="N50" i="6"/>
  <c r="P50" i="6" s="1"/>
  <c r="N51" i="6"/>
  <c r="P51" i="6" s="1"/>
  <c r="N53" i="6"/>
  <c r="P53" i="6" s="1"/>
  <c r="N52" i="6"/>
  <c r="P52" i="6" s="1"/>
  <c r="N76" i="6"/>
  <c r="P76" i="6" s="1"/>
  <c r="N77" i="6"/>
  <c r="P77" i="6" s="1"/>
  <c r="N81" i="6"/>
  <c r="P81" i="6" s="1"/>
  <c r="N78" i="6"/>
  <c r="P78" i="6" s="1"/>
  <c r="N74" i="6"/>
  <c r="P74" i="6" s="1"/>
  <c r="N80" i="6"/>
  <c r="P80" i="6" s="1"/>
  <c r="N79" i="6"/>
  <c r="P79" i="6" s="1"/>
  <c r="N75" i="6"/>
  <c r="P75" i="6" s="1"/>
  <c r="N89" i="6"/>
  <c r="P89" i="6" s="1"/>
  <c r="N88" i="6"/>
  <c r="P88" i="6" s="1"/>
  <c r="N95" i="6"/>
  <c r="P95" i="6" s="1"/>
  <c r="N87" i="6"/>
  <c r="P87" i="6" s="1"/>
  <c r="N92" i="6"/>
  <c r="P92" i="6" s="1"/>
  <c r="N86" i="6"/>
  <c r="P86" i="6" s="1"/>
  <c r="N97" i="6"/>
  <c r="P97" i="6" s="1"/>
  <c r="N96" i="6"/>
  <c r="P96" i="6" s="1"/>
  <c r="N94" i="6"/>
  <c r="P94" i="6" s="1"/>
  <c r="N90" i="6"/>
  <c r="P90" i="6" s="1"/>
  <c r="N93" i="6"/>
  <c r="P93" i="6" s="1"/>
  <c r="N91" i="6"/>
  <c r="P91" i="6" s="1"/>
  <c r="N36" i="6"/>
  <c r="P36" i="6" s="1"/>
  <c r="N35" i="6"/>
  <c r="P35" i="6" s="1"/>
  <c r="N37" i="6"/>
  <c r="P37" i="6" s="1"/>
  <c r="N34" i="6"/>
  <c r="P34" i="6" s="1"/>
  <c r="N199" i="6"/>
  <c r="P199" i="6" s="1"/>
  <c r="N198" i="6"/>
  <c r="P198" i="6" s="1"/>
  <c r="N197" i="6"/>
  <c r="P197" i="6" s="1"/>
  <c r="N196" i="6"/>
  <c r="P196" i="6" s="1"/>
  <c r="N227" i="6"/>
  <c r="P227" i="6" s="1"/>
  <c r="N233" i="6"/>
  <c r="P233" i="6" s="1"/>
  <c r="N226" i="6"/>
  <c r="P226" i="6" s="1"/>
  <c r="N232" i="6"/>
  <c r="P232" i="6" s="1"/>
  <c r="N231" i="6"/>
  <c r="P231" i="6" s="1"/>
  <c r="N228" i="6"/>
  <c r="P228" i="6" s="1"/>
  <c r="N230" i="6"/>
  <c r="P230" i="6" s="1"/>
  <c r="N229" i="6"/>
  <c r="P229" i="6" s="1"/>
  <c r="N109" i="6"/>
  <c r="P109" i="6" s="1"/>
  <c r="N108" i="6"/>
  <c r="P108" i="6" s="1"/>
  <c r="N107" i="6"/>
  <c r="P107" i="6" s="1"/>
  <c r="N98" i="6"/>
  <c r="P98" i="6" s="1"/>
  <c r="N110" i="6"/>
  <c r="P110" i="6" s="1"/>
  <c r="N106" i="6"/>
  <c r="P106" i="6" s="1"/>
  <c r="N102" i="6"/>
  <c r="P102" i="6" s="1"/>
  <c r="N101" i="6"/>
  <c r="P101" i="6" s="1"/>
  <c r="N113" i="6"/>
  <c r="P113" i="6" s="1"/>
  <c r="N111" i="6"/>
  <c r="P111" i="6" s="1"/>
  <c r="N104" i="6"/>
  <c r="P104" i="6" s="1"/>
  <c r="N103" i="6"/>
  <c r="P103" i="6" s="1"/>
  <c r="N100" i="6"/>
  <c r="P100" i="6" s="1"/>
  <c r="N99" i="6"/>
  <c r="P99" i="6" s="1"/>
  <c r="N112" i="6"/>
  <c r="P112" i="6" s="1"/>
  <c r="I12" i="83"/>
  <c r="N84" i="6"/>
  <c r="P84" i="6" s="1"/>
  <c r="N85" i="6"/>
  <c r="P85" i="6" s="1"/>
  <c r="N83" i="6"/>
  <c r="P83" i="6" s="1"/>
  <c r="N82" i="6"/>
  <c r="P82" i="6" s="1"/>
  <c r="N141" i="6"/>
  <c r="P141" i="6" s="1"/>
  <c r="N140" i="6"/>
  <c r="P140" i="6" s="1"/>
  <c r="N139" i="6"/>
  <c r="P139" i="6" s="1"/>
  <c r="N132" i="6"/>
  <c r="P132" i="6" s="1"/>
  <c r="N143" i="6"/>
  <c r="P143" i="6" s="1"/>
  <c r="N138" i="6"/>
  <c r="P138" i="6" s="1"/>
  <c r="N135" i="6"/>
  <c r="P135" i="6" s="1"/>
  <c r="N134" i="6"/>
  <c r="P134" i="6" s="1"/>
  <c r="N133" i="6"/>
  <c r="P133" i="6" s="1"/>
  <c r="N131" i="6"/>
  <c r="P131" i="6" s="1"/>
  <c r="N144" i="6"/>
  <c r="P144" i="6" s="1"/>
  <c r="N142" i="6"/>
  <c r="P142" i="6" s="1"/>
  <c r="N137" i="6"/>
  <c r="P137" i="6" s="1"/>
  <c r="N136" i="6"/>
  <c r="P136" i="6" s="1"/>
  <c r="N130" i="6"/>
  <c r="P130" i="6" s="1"/>
  <c r="N145" i="6"/>
  <c r="P145" i="6" s="1"/>
  <c r="I11" i="83"/>
  <c r="N66" i="6"/>
  <c r="P66" i="6" s="1"/>
  <c r="N73" i="6"/>
  <c r="P73" i="6" s="1"/>
  <c r="N157" i="6"/>
  <c r="P157" i="6" s="1"/>
  <c r="N156" i="6"/>
  <c r="P156" i="6" s="1"/>
  <c r="N155" i="6"/>
  <c r="P155" i="6" s="1"/>
  <c r="N146" i="6"/>
  <c r="P146" i="6" s="1"/>
  <c r="N158" i="6"/>
  <c r="P158" i="6" s="1"/>
  <c r="N154" i="6"/>
  <c r="P154" i="6" s="1"/>
  <c r="N161" i="6"/>
  <c r="P161" i="6" s="1"/>
  <c r="N153" i="6"/>
  <c r="P153" i="6" s="1"/>
  <c r="N152" i="6"/>
  <c r="P152" i="6" s="1"/>
  <c r="N151" i="6"/>
  <c r="P151" i="6" s="1"/>
  <c r="N150" i="6"/>
  <c r="P150" i="6" s="1"/>
  <c r="N149" i="6"/>
  <c r="P149" i="6" s="1"/>
  <c r="N148" i="6"/>
  <c r="P148" i="6" s="1"/>
  <c r="N147" i="6"/>
  <c r="P147" i="6" s="1"/>
  <c r="N160" i="6"/>
  <c r="P160" i="6" s="1"/>
  <c r="N159" i="6"/>
  <c r="P159" i="6" s="1"/>
  <c r="N189" i="6"/>
  <c r="P189" i="6" s="1"/>
  <c r="N188" i="6"/>
  <c r="P188" i="6" s="1"/>
  <c r="N187" i="6"/>
  <c r="P187" i="6" s="1"/>
  <c r="N186" i="6"/>
  <c r="P186" i="6" s="1"/>
  <c r="N179" i="6"/>
  <c r="P179" i="6" s="1"/>
  <c r="N192" i="6"/>
  <c r="P192" i="6" s="1"/>
  <c r="N190" i="6"/>
  <c r="P190" i="6" s="1"/>
  <c r="N185" i="6"/>
  <c r="P185" i="6" s="1"/>
  <c r="N184" i="6"/>
  <c r="P184" i="6" s="1"/>
  <c r="N183" i="6"/>
  <c r="P183" i="6" s="1"/>
  <c r="N182" i="6"/>
  <c r="P182" i="6" s="1"/>
  <c r="N181" i="6"/>
  <c r="P181" i="6" s="1"/>
  <c r="N180" i="6"/>
  <c r="P180" i="6" s="1"/>
  <c r="N178" i="6"/>
  <c r="P178" i="6" s="1"/>
  <c r="N193" i="6"/>
  <c r="P193" i="6" s="1"/>
  <c r="N191" i="6"/>
  <c r="P191" i="6" s="1"/>
  <c r="N125" i="6"/>
  <c r="P125" i="6" s="1"/>
  <c r="N124" i="6"/>
  <c r="P124" i="6" s="1"/>
  <c r="N123" i="6"/>
  <c r="P123" i="6" s="1"/>
  <c r="N122" i="6"/>
  <c r="P122" i="6" s="1"/>
  <c r="N119" i="6"/>
  <c r="P119" i="6" s="1"/>
  <c r="N115" i="6"/>
  <c r="P115" i="6" s="1"/>
  <c r="N129" i="6"/>
  <c r="P129" i="6" s="1"/>
  <c r="N128" i="6"/>
  <c r="P128" i="6" s="1"/>
  <c r="N116" i="6"/>
  <c r="P116" i="6" s="1"/>
  <c r="N114" i="6"/>
  <c r="P114" i="6" s="1"/>
  <c r="N121" i="6"/>
  <c r="P121" i="6" s="1"/>
  <c r="N120" i="6"/>
  <c r="P120" i="6" s="1"/>
  <c r="N118" i="6"/>
  <c r="P118" i="6" s="1"/>
  <c r="N117" i="6"/>
  <c r="P117" i="6" s="1"/>
  <c r="N127" i="6"/>
  <c r="P127" i="6" s="1"/>
  <c r="N126" i="6"/>
  <c r="P126" i="6" s="1"/>
  <c r="N205" i="6"/>
  <c r="P205" i="6" s="1"/>
  <c r="N203" i="6"/>
  <c r="P203" i="6" s="1"/>
  <c r="N194" i="6"/>
  <c r="P194" i="6" s="1"/>
  <c r="N207" i="6"/>
  <c r="P207" i="6" s="1"/>
  <c r="N206" i="6"/>
  <c r="P206" i="6" s="1"/>
  <c r="N204" i="6"/>
  <c r="P204" i="6" s="1"/>
  <c r="N202" i="6"/>
  <c r="P202" i="6" s="1"/>
  <c r="N195" i="6"/>
  <c r="P195" i="6" s="1"/>
  <c r="N209" i="6"/>
  <c r="P209" i="6" s="1"/>
  <c r="N201" i="6"/>
  <c r="P201" i="6" s="1"/>
  <c r="N200" i="6"/>
  <c r="P200" i="6" s="1"/>
  <c r="N208" i="6"/>
  <c r="P208" i="6" s="1"/>
  <c r="N173" i="6"/>
  <c r="P173" i="6" s="1"/>
  <c r="N172" i="6"/>
  <c r="P172" i="6" s="1"/>
  <c r="N171" i="6"/>
  <c r="P171" i="6" s="1"/>
  <c r="N167" i="6"/>
  <c r="P167" i="6" s="1"/>
  <c r="N163" i="6"/>
  <c r="P163" i="6" s="1"/>
  <c r="N177" i="6"/>
  <c r="P177" i="6" s="1"/>
  <c r="N176" i="6"/>
  <c r="P176" i="6" s="1"/>
  <c r="N170" i="6"/>
  <c r="P170" i="6" s="1"/>
  <c r="N166" i="6"/>
  <c r="P166" i="6" s="1"/>
  <c r="N165" i="6"/>
  <c r="P165" i="6" s="1"/>
  <c r="N164" i="6"/>
  <c r="P164" i="6" s="1"/>
  <c r="N162" i="6"/>
  <c r="P162" i="6" s="1"/>
  <c r="N175" i="6"/>
  <c r="P175" i="6" s="1"/>
  <c r="N169" i="6"/>
  <c r="P169" i="6" s="1"/>
  <c r="N168" i="6"/>
  <c r="P168" i="6" s="1"/>
  <c r="N174" i="6"/>
  <c r="P174" i="6" s="1"/>
  <c r="N241" i="6"/>
  <c r="P241" i="6" s="1"/>
  <c r="N240" i="6"/>
  <c r="P240" i="6" s="1"/>
  <c r="N239" i="6"/>
  <c r="P239" i="6" s="1"/>
  <c r="N238" i="6"/>
  <c r="P238" i="6" s="1"/>
  <c r="I15" i="83"/>
  <c r="I13" i="83"/>
  <c r="I7" i="83"/>
  <c r="I23" i="83"/>
  <c r="I24" i="83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74" i="6"/>
  <c r="P275" i="6"/>
  <c r="I19" i="83"/>
  <c r="I18" i="83"/>
  <c r="I21" i="83"/>
  <c r="I17" i="83"/>
  <c r="I16" i="83"/>
  <c r="I10" i="83"/>
  <c r="P56" i="6"/>
  <c r="P59" i="6"/>
  <c r="P60" i="6"/>
  <c r="P61" i="6"/>
  <c r="P62" i="6"/>
  <c r="P63" i="6"/>
  <c r="P64" i="6"/>
  <c r="P65" i="6"/>
  <c r="P54" i="6"/>
  <c r="P55" i="6"/>
  <c r="P57" i="6"/>
  <c r="P58" i="6"/>
  <c r="I9" i="83"/>
  <c r="P43" i="6"/>
  <c r="P45" i="6"/>
  <c r="P42" i="6"/>
  <c r="P44" i="6"/>
  <c r="P46" i="6"/>
  <c r="I14" i="83"/>
  <c r="P38" i="6"/>
  <c r="P39" i="6"/>
  <c r="P40" i="6"/>
  <c r="P41" i="6"/>
  <c r="P105" i="6"/>
  <c r="P48" i="6"/>
  <c r="P49" i="6"/>
  <c r="P47" i="6"/>
  <c r="P333" i="6"/>
  <c r="P326" i="6"/>
  <c r="P334" i="6"/>
  <c r="P328" i="6"/>
  <c r="P336" i="6"/>
  <c r="P327" i="6"/>
  <c r="P335" i="6"/>
  <c r="P332" i="6"/>
  <c r="P329" i="6"/>
  <c r="P337" i="6"/>
  <c r="P330" i="6"/>
  <c r="P331" i="6"/>
  <c r="P355" i="6"/>
  <c r="P356" i="6"/>
  <c r="P354" i="6"/>
  <c r="P339" i="6"/>
  <c r="P344" i="6"/>
  <c r="P340" i="6"/>
  <c r="P341" i="6"/>
  <c r="P342" i="6"/>
  <c r="P343" i="6"/>
  <c r="P345" i="6"/>
  <c r="P338" i="6"/>
  <c r="P323" i="6"/>
  <c r="P324" i="6"/>
  <c r="P325" i="6"/>
  <c r="P322" i="6"/>
  <c r="P218" i="6"/>
  <c r="P223" i="6"/>
  <c r="P219" i="6"/>
  <c r="P220" i="6"/>
  <c r="P221" i="6"/>
  <c r="P225" i="6"/>
  <c r="P222" i="6"/>
  <c r="P224" i="6"/>
  <c r="P296" i="6"/>
  <c r="P297" i="6"/>
  <c r="P307" i="6"/>
  <c r="P311" i="6"/>
  <c r="P308" i="6"/>
  <c r="P309" i="6"/>
  <c r="P310" i="6"/>
  <c r="P312" i="6"/>
  <c r="P306" i="6"/>
  <c r="P292" i="6"/>
  <c r="P294" i="6"/>
  <c r="P293" i="6"/>
  <c r="P290" i="6"/>
  <c r="P291" i="6"/>
  <c r="P295" i="6"/>
  <c r="P249" i="6"/>
  <c r="P242" i="6"/>
  <c r="P212" i="6"/>
  <c r="P217" i="6"/>
  <c r="P213" i="6"/>
  <c r="P214" i="6"/>
  <c r="P215" i="6"/>
  <c r="P216" i="6"/>
  <c r="P210" i="6"/>
  <c r="P211" i="6"/>
  <c r="P30" i="6"/>
  <c r="P33" i="6"/>
  <c r="P20" i="6"/>
  <c r="P26" i="6"/>
  <c r="P32" i="6"/>
  <c r="P22" i="6"/>
  <c r="P19" i="6"/>
  <c r="P31" i="6"/>
  <c r="P27" i="6"/>
  <c r="P28" i="6"/>
  <c r="P29" i="6"/>
  <c r="P18" i="6"/>
  <c r="P23" i="6"/>
  <c r="P21" i="6"/>
  <c r="P24" i="6"/>
  <c r="P25" i="6"/>
  <c r="E28" i="83" l="1"/>
  <c r="H27" i="83"/>
  <c r="I23" i="97" s="1"/>
  <c r="G27" i="83"/>
  <c r="I28" i="83" l="1"/>
  <c r="E29" i="83"/>
  <c r="G28" i="83"/>
  <c r="H28" i="83"/>
  <c r="J23" i="97" s="1"/>
  <c r="I29" i="83" l="1"/>
  <c r="H29" i="83"/>
  <c r="K23" i="97" s="1"/>
  <c r="G29" i="83"/>
  <c r="E30" i="83"/>
  <c r="E31" i="83" l="1"/>
  <c r="H30" i="83"/>
  <c r="L23" i="97" s="1"/>
  <c r="G30" i="83"/>
  <c r="I30" i="83"/>
  <c r="E32" i="83" l="1"/>
  <c r="G31" i="83"/>
  <c r="H31" i="83"/>
  <c r="M23" i="97" s="1"/>
  <c r="I31" i="83"/>
  <c r="E33" i="83" l="1"/>
  <c r="H32" i="83"/>
  <c r="B28" i="97" s="1"/>
  <c r="G32" i="83"/>
  <c r="I32" i="83"/>
  <c r="E34" i="83" l="1"/>
  <c r="H33" i="83"/>
  <c r="C28" i="97" s="1"/>
  <c r="G33" i="83"/>
  <c r="I33" i="83"/>
  <c r="E35" i="83" l="1"/>
  <c r="H34" i="83"/>
  <c r="D28" i="97" s="1"/>
  <c r="G34" i="83"/>
  <c r="I34" i="83"/>
  <c r="E36" i="83" l="1"/>
  <c r="H35" i="83"/>
  <c r="E28" i="97" s="1"/>
  <c r="G35" i="83"/>
  <c r="I35" i="83"/>
  <c r="E37" i="83" l="1"/>
  <c r="G36" i="83"/>
  <c r="H36" i="83"/>
  <c r="F28" i="97" s="1"/>
  <c r="I36" i="83"/>
  <c r="E38" i="83" l="1"/>
  <c r="H37" i="83"/>
  <c r="G28" i="97" s="1"/>
  <c r="I37" i="83"/>
  <c r="G37" i="83"/>
  <c r="G38" i="83" l="1"/>
  <c r="I38" i="83"/>
  <c r="E39" i="83"/>
  <c r="H38" i="83"/>
  <c r="H28" i="97" s="1"/>
  <c r="H39" i="83" l="1"/>
  <c r="I28" i="97" s="1"/>
  <c r="I39" i="83"/>
  <c r="E40" i="83"/>
  <c r="G39" i="83"/>
  <c r="E41" i="83" l="1"/>
  <c r="G40" i="83"/>
  <c r="I40" i="83"/>
  <c r="H40" i="83"/>
  <c r="J28" i="97" s="1"/>
  <c r="E42" i="83" l="1"/>
  <c r="H41" i="83"/>
  <c r="K28" i="97" s="1"/>
  <c r="G41" i="83"/>
  <c r="I41" i="83"/>
  <c r="E43" i="83" l="1"/>
  <c r="H42" i="83"/>
  <c r="L28" i="97" s="1"/>
  <c r="G42" i="83"/>
  <c r="I42" i="83"/>
  <c r="I43" i="83" l="1"/>
  <c r="G43" i="83"/>
  <c r="H43" i="83"/>
  <c r="M28" i="97" s="1"/>
  <c r="E44" i="83"/>
  <c r="G44" i="83" l="1"/>
  <c r="E45" i="83"/>
  <c r="H44" i="83"/>
  <c r="I44" i="83"/>
  <c r="E46" i="83" l="1"/>
  <c r="H45" i="83"/>
  <c r="G45" i="83"/>
  <c r="I45" i="83"/>
  <c r="E47" i="83" l="1"/>
  <c r="G46" i="83"/>
  <c r="H46" i="83"/>
  <c r="I46" i="83"/>
  <c r="I47" i="83" l="1"/>
  <c r="H47" i="83"/>
  <c r="E48" i="83"/>
  <c r="G47" i="83"/>
  <c r="E49" i="83" l="1"/>
  <c r="I48" i="83"/>
  <c r="H48" i="83"/>
  <c r="G48" i="83"/>
  <c r="E50" i="83" l="1"/>
  <c r="G49" i="83"/>
  <c r="H49" i="83"/>
  <c r="I49" i="83"/>
  <c r="E51" i="83" l="1"/>
  <c r="G50" i="83"/>
  <c r="H50" i="83"/>
  <c r="I50" i="83"/>
  <c r="E52" i="83" l="1"/>
  <c r="H51" i="83"/>
  <c r="G51" i="83"/>
  <c r="I51" i="83"/>
  <c r="E53" i="83" l="1"/>
  <c r="I52" i="83"/>
  <c r="G52" i="83"/>
  <c r="H52" i="83"/>
  <c r="E54" i="83" l="1"/>
  <c r="G53" i="83"/>
  <c r="I53" i="83"/>
  <c r="H53" i="83"/>
  <c r="E55" i="83" l="1"/>
  <c r="G54" i="83"/>
  <c r="I54" i="83"/>
  <c r="H54" i="83"/>
  <c r="E56" i="83" l="1"/>
  <c r="H55" i="83"/>
  <c r="G55" i="83"/>
  <c r="I55" i="83"/>
  <c r="H56" i="83" l="1"/>
  <c r="I56" i="83"/>
  <c r="E57" i="83"/>
  <c r="G56" i="83"/>
  <c r="H57" i="83" l="1"/>
  <c r="I57" i="83"/>
  <c r="E58" i="83"/>
  <c r="G57" i="83"/>
  <c r="H58" i="83" l="1"/>
  <c r="I58" i="83"/>
  <c r="G58" i="83"/>
  <c r="E59" i="83"/>
  <c r="E60" i="83" l="1"/>
  <c r="I59" i="83"/>
  <c r="H59" i="83"/>
  <c r="G59" i="83"/>
  <c r="I60" i="83" l="1"/>
  <c r="H60" i="83"/>
  <c r="E61" i="83"/>
  <c r="G60" i="83"/>
  <c r="E62" i="83" l="1"/>
  <c r="H61" i="83"/>
  <c r="G61" i="83"/>
  <c r="I61" i="83"/>
  <c r="H62" i="83" l="1"/>
  <c r="G62" i="83"/>
  <c r="E63" i="83"/>
  <c r="I62" i="83"/>
  <c r="E64" i="83" l="1"/>
  <c r="I63" i="83"/>
  <c r="H63" i="83"/>
  <c r="G63" i="83"/>
  <c r="H64" i="83" l="1"/>
  <c r="I64" i="83"/>
  <c r="E65" i="83"/>
  <c r="G64" i="83"/>
  <c r="E66" i="83" l="1"/>
  <c r="H65" i="83"/>
  <c r="I65" i="83"/>
  <c r="G65" i="83"/>
  <c r="E67" i="83" l="1"/>
  <c r="H66" i="83"/>
  <c r="G66" i="83"/>
  <c r="I66" i="83"/>
  <c r="I67" i="83" l="1"/>
  <c r="H67" i="83"/>
  <c r="E68" i="83"/>
  <c r="G67" i="83"/>
  <c r="E69" i="83" l="1"/>
  <c r="I68" i="83"/>
  <c r="G68" i="83"/>
  <c r="H68" i="83"/>
  <c r="E70" i="83" l="1"/>
  <c r="G69" i="83"/>
  <c r="H69" i="83"/>
  <c r="I69" i="83"/>
  <c r="E71" i="83" l="1"/>
  <c r="G70" i="83"/>
  <c r="I70" i="83"/>
  <c r="H70" i="83"/>
  <c r="I71" i="83" l="1"/>
  <c r="E72" i="83"/>
  <c r="H71" i="83"/>
  <c r="G71" i="83"/>
  <c r="G72" i="83" l="1"/>
  <c r="E73" i="83"/>
  <c r="I72" i="83"/>
  <c r="H72" i="83"/>
  <c r="E74" i="83" l="1"/>
  <c r="G73" i="83"/>
  <c r="H73" i="83"/>
  <c r="I73" i="83"/>
  <c r="G74" i="83" l="1"/>
  <c r="H74" i="83"/>
  <c r="I74" i="83"/>
  <c r="E75" i="83"/>
  <c r="I75" i="83" l="1"/>
  <c r="G75" i="83"/>
  <c r="H75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Marco Bilz:</t>
        </r>
        <r>
          <rPr>
            <sz val="9"/>
            <color indexed="81"/>
            <rFont val="Tahoma"/>
            <family val="2"/>
          </rPr>
          <t xml:space="preserve">
Bezeichnung der Steuerung</t>
        </r>
      </text>
    </comment>
    <comment ref="H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Marco Bilz:</t>
        </r>
        <r>
          <rPr>
            <sz val="9"/>
            <color indexed="81"/>
            <rFont val="Tahoma"/>
            <family val="2"/>
          </rPr>
          <t xml:space="preserve">
X bei RIO</t>
        </r>
      </text>
    </comment>
    <comment ref="F200" authorId="0" shapeId="0" xr:uid="{9A7B9294-5857-4CA2-8A13-1DA2A8AE3337}">
      <text>
        <r>
          <rPr>
            <b/>
            <sz val="9"/>
            <color indexed="81"/>
            <rFont val="Segoe UI"/>
            <family val="2"/>
          </rPr>
          <t>Marco Bilz
kein Ausgang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D1" authorId="0" shapeId="0" xr:uid="{B3C73570-B68C-48B5-839B-ED65F4EB2ECE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M001</t>
        </r>
      </text>
    </comment>
    <comment ref="F1" authorId="0" shapeId="0" xr:uid="{9A0F86C9-23E8-4487-98D3-B08740D49DB4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Bauteil 
22M1</t>
        </r>
      </text>
    </comment>
    <comment ref="G1" authorId="0" shapeId="0" xr:uid="{04240442-888E-4F54-98C0-B8300FD661F7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NAME
RLT001 Zuluftventilator</t>
        </r>
      </text>
    </comment>
    <comment ref="M1" authorId="0" shapeId="0" xr:uid="{80892B7A-E347-4023-A526-88EAE4296BFA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AKS - Komplett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Marco Bilz</author>
  </authors>
  <commentList>
    <comment ref="D1" authorId="0" shapeId="0" xr:uid="{F837E5B0-1D0A-482D-AF5C-4DCD5080BA4F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M001</t>
        </r>
      </text>
    </comment>
    <comment ref="F1" authorId="0" shapeId="0" xr:uid="{FF249AB0-D8EE-452F-9DF3-DE3EF8082056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Bauteil 
22M1</t>
        </r>
      </text>
    </comment>
    <comment ref="G1" authorId="0" shapeId="0" xr:uid="{A9AAD353-4B32-4C47-91EC-5579029CA2DA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NAME
RLT001 Zuluftventilator</t>
        </r>
      </text>
    </comment>
    <comment ref="M1" authorId="0" shapeId="0" xr:uid="{1EB8D368-71F9-46DB-8C12-6F0A049F4EF8}">
      <text>
        <r>
          <rPr>
            <b/>
            <sz val="9"/>
            <color indexed="81"/>
            <rFont val="Segoe UI"/>
            <family val="2"/>
          </rPr>
          <t>Marco Bilz:</t>
        </r>
        <r>
          <rPr>
            <sz val="9"/>
            <color indexed="81"/>
            <rFont val="Segoe UI"/>
            <family val="2"/>
          </rPr>
          <t xml:space="preserve">
AKS - Komplett</t>
        </r>
      </text>
    </comment>
  </commentList>
</comments>
</file>

<file path=xl/sharedStrings.xml><?xml version="1.0" encoding="utf-8"?>
<sst xmlns="http://schemas.openxmlformats.org/spreadsheetml/2006/main" count="4131" uniqueCount="1780">
  <si>
    <t>PCD3.A465</t>
  </si>
  <si>
    <t>PCD3.E165</t>
  </si>
  <si>
    <t>PCD3.W400</t>
  </si>
  <si>
    <t>PCD3.W340</t>
  </si>
  <si>
    <t>DigitalInput</t>
  </si>
  <si>
    <t>DigitalOutput</t>
  </si>
  <si>
    <t>AnalogueOutput</t>
  </si>
  <si>
    <t>AnalogueInput</t>
  </si>
  <si>
    <t>Slot0</t>
  </si>
  <si>
    <t>Slot1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</si>
  <si>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</si>
  <si>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</si>
  <si>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</si>
  <si>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</si>
  <si>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</si>
  <si>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</si>
  <si>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</si>
  <si>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</si>
  <si>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Slot10</t>
  </si>
  <si>
    <t>Slot11</t>
  </si>
  <si>
    <t>Slot12</t>
  </si>
  <si>
    <t>Slot13</t>
  </si>
  <si>
    <t>Slot14</t>
  </si>
  <si>
    <t>Slot15</t>
  </si>
  <si>
    <t>Slot16</t>
  </si>
  <si>
    <t>Slot17</t>
  </si>
  <si>
    <t>Slot18</t>
  </si>
  <si>
    <t>Slot19</t>
  </si>
  <si>
    <t>Slot20</t>
  </si>
  <si>
    <t>Slot21</t>
  </si>
  <si>
    <t>Slot22</t>
  </si>
  <si>
    <t>Slot23</t>
  </si>
  <si>
    <t>Slot24</t>
  </si>
  <si>
    <t>Slot25</t>
  </si>
  <si>
    <t>Slot26</t>
  </si>
  <si>
    <t>Slot27</t>
  </si>
  <si>
    <t>Slot28</t>
  </si>
  <si>
    <t>Slot29</t>
  </si>
  <si>
    <t>Slot30</t>
  </si>
  <si>
    <t>Slot31</t>
  </si>
  <si>
    <t>Slot32</t>
  </si>
  <si>
    <t>Slot33</t>
  </si>
  <si>
    <t>Slot34</t>
  </si>
  <si>
    <t>Slot35</t>
  </si>
  <si>
    <t>x</t>
  </si>
  <si>
    <t>.</t>
  </si>
  <si>
    <t>Geprüft</t>
  </si>
  <si>
    <t>Datum</t>
  </si>
  <si>
    <t>Bemerkung</t>
  </si>
  <si>
    <t>F.</t>
  </si>
  <si>
    <t>R.</t>
  </si>
  <si>
    <t>MES01</t>
  </si>
  <si>
    <t>OBJECT</t>
  </si>
  <si>
    <t>DMS-NAME</t>
  </si>
  <si>
    <t>NAME</t>
  </si>
  <si>
    <t>MOT10</t>
  </si>
  <si>
    <t>Messwerte</t>
  </si>
  <si>
    <t>MOT01</t>
  </si>
  <si>
    <t>Motor ohne FU</t>
  </si>
  <si>
    <t>Motor mit FU</t>
  </si>
  <si>
    <t>I/O - PG5</t>
  </si>
  <si>
    <t>I/O - Promos</t>
  </si>
  <si>
    <t>R.IO.Slot12.AnalogueInput0</t>
  </si>
  <si>
    <t>R.IO.Slot12.AnalogueInput1</t>
  </si>
  <si>
    <t>R.IO.Slot12.AnalogueInput2</t>
  </si>
  <si>
    <t>R.IO.Slot12.AnalogueInput3</t>
  </si>
  <si>
    <t>R.IO.Slot12.AnalogueInput4</t>
  </si>
  <si>
    <t>R.IO.Slot12.AnalogueInput5</t>
  </si>
  <si>
    <t>R.IO.Slot12.AnalogueInput6</t>
  </si>
  <si>
    <t>R.IO.Slot12.AnalogueInput7</t>
  </si>
  <si>
    <t>R.IO.Slot13.AnalogueInput0</t>
  </si>
  <si>
    <t>R.IO.Slot13.AnalogueInput1</t>
  </si>
  <si>
    <t>R.IO.Slot13.AnalogueInput2</t>
  </si>
  <si>
    <t>R.IO.Slot13.AnalogueInput3</t>
  </si>
  <si>
    <t>R.IO.Slot13.AnalogueInput4</t>
  </si>
  <si>
    <t>R.IO.Slot13.AnalogueInput5</t>
  </si>
  <si>
    <t>R.IO.Slot13.AnalogueInput6</t>
  </si>
  <si>
    <t>R.IO.Slot13.AnalogueInput7</t>
  </si>
  <si>
    <t>R.IO.Slot14.AnalogueInput0</t>
  </si>
  <si>
    <t>R.IO.Slot14.AnalogueInput1</t>
  </si>
  <si>
    <t>R.IO.Slot14.AnalogueInput2</t>
  </si>
  <si>
    <t>R.IO.Slot14.AnalogueInput3</t>
  </si>
  <si>
    <t>R.IO.Slot14.AnalogueInput4</t>
  </si>
  <si>
    <t>R.IO.Slot14.AnalogueInput5</t>
  </si>
  <si>
    <t>R.IO.Slot14.AnalogueInput6</t>
  </si>
  <si>
    <t>R.IO.Slot14.AnalogueInput7</t>
  </si>
  <si>
    <t>R.IO.Slot16.AnalogueInput0</t>
  </si>
  <si>
    <t>R.IO.Slot16.AnalogueInput1</t>
  </si>
  <si>
    <t>R.IO.Slot16.AnalogueInput2</t>
  </si>
  <si>
    <t>R.IO.Slot16.AnalogueInput4</t>
  </si>
  <si>
    <t>R.IO.Slot16.AnalogueInput5</t>
  </si>
  <si>
    <t>R.IO.Slot16.AnalogueInput6</t>
  </si>
  <si>
    <t>R.IO.Slot17.AnalogueInput3</t>
  </si>
  <si>
    <t>R.IO.Slot17.AnalogueInput4</t>
  </si>
  <si>
    <t>ACH0101:H_:HP01:B001:IW01:001:Eing_R</t>
  </si>
  <si>
    <t>ACH0101:H_:HP01:B002:IW01:001:Eing_R</t>
  </si>
  <si>
    <t>ACH0101:H_:HP01:B003:IW01:001:Eing_R</t>
  </si>
  <si>
    <t>ACH0101:H_:HK01:B001:IW01:001:Eing_R</t>
  </si>
  <si>
    <t>ACH0101:H_:HK01:B002:IW01:001:Eing_R</t>
  </si>
  <si>
    <t>ACH0101:H_:HK02:B001:IW01:001:Eing_R</t>
  </si>
  <si>
    <t>ACH0101:H_:HK02:B002:IW01:001:Eing_R</t>
  </si>
  <si>
    <t>ACH0101:H_:HK02:B003:IW01:001:Eing_R</t>
  </si>
  <si>
    <t>ACH0101:H_:HK02:B004:IW01:001:Eing_R</t>
  </si>
  <si>
    <t>ACH0101:H_:HK02:B005:IW01:001:Eing_R</t>
  </si>
  <si>
    <t>ACH0101:H_:HK02:B006:IW01:001:Eing_R</t>
  </si>
  <si>
    <t>ACH0101:H_:HK04:B002:IW01:001:Eing_R</t>
  </si>
  <si>
    <t>ACH0101:H_:HK04:B003:IW01:001:Eing_R</t>
  </si>
  <si>
    <t>ACH0101:H_:HK04:B004:IW01:001:Eing_R</t>
  </si>
  <si>
    <t>ACH0101:H_:HK04:B005:IW01:001:Eing_R</t>
  </si>
  <si>
    <t>ACH0101:H_:HK04:B006:IW01:001:Eing_R</t>
  </si>
  <si>
    <t>ACH0101:H_:HK05:B001:IW01:001:Eing_R</t>
  </si>
  <si>
    <t>ACH0101:H_:HK05:B002:IW01:001:Eing_R</t>
  </si>
  <si>
    <t>ACH0101:L_:L001:M001:IW01:001:Eing_R</t>
  </si>
  <si>
    <t>ACH0101:L_:L001:M002:IW01:001:Eing_R</t>
  </si>
  <si>
    <t>ACH0101:L_:L001:B001:IW01:001:Eing_R</t>
  </si>
  <si>
    <t>ACH0101:L_:L001:B002:IW01:001:Eing_R</t>
  </si>
  <si>
    <t>ACH0101:L_:L001:B003:IW01:001:Eing_R</t>
  </si>
  <si>
    <t>ACH0101:L_:L001:B004:IW01:001:Eing_R</t>
  </si>
  <si>
    <t>ACH0101:L_:L001:B008:IW01:001:Eing_R</t>
  </si>
  <si>
    <t>ACH0101:L_:L001:B009:IW01:001:Eing_R</t>
  </si>
  <si>
    <t>ACH0101:L_:L004:B005:IW01:001:Eing_R</t>
  </si>
  <si>
    <t>ACH0101:L_:L004:B006:IW01:001:Eing_R</t>
  </si>
  <si>
    <t>ACH0101:L_:L004:B007:IW01:001:Eing_R</t>
  </si>
  <si>
    <t>ACH0101:L_:L004:B001:IW01:001:Eing_R</t>
  </si>
  <si>
    <t>ACH0101:A_:AXXX:B001:IW01:001:Eing_R</t>
  </si>
  <si>
    <t>ACH0101:H_:HK04:B001:IW01:001:Eing_R</t>
  </si>
  <si>
    <t>SB1</t>
  </si>
  <si>
    <t>PG5-Symbole</t>
  </si>
  <si>
    <t>A_</t>
  </si>
  <si>
    <t>M01</t>
  </si>
  <si>
    <t>M02</t>
  </si>
  <si>
    <t>A001</t>
  </si>
  <si>
    <t>SM1</t>
  </si>
  <si>
    <t>RM1</t>
  </si>
  <si>
    <t>F01</t>
  </si>
  <si>
    <t>F02</t>
  </si>
  <si>
    <t>Y01</t>
  </si>
  <si>
    <t>MW1</t>
  </si>
  <si>
    <t>B01</t>
  </si>
  <si>
    <t>B02</t>
  </si>
  <si>
    <t>B03</t>
  </si>
  <si>
    <t>B04</t>
  </si>
  <si>
    <t>B05</t>
  </si>
  <si>
    <t>B06</t>
  </si>
  <si>
    <t>Erweiterung</t>
  </si>
  <si>
    <t xml:space="preserve">Ein_Ausg </t>
  </si>
  <si>
    <t>Hand_Eing</t>
  </si>
  <si>
    <t>Rep_Eing</t>
  </si>
  <si>
    <t>RM_Eing</t>
  </si>
  <si>
    <t>RMP_Eing</t>
  </si>
  <si>
    <t>SM_Eing</t>
  </si>
  <si>
    <t>_MOT01_</t>
  </si>
  <si>
    <t>_MOT10_</t>
  </si>
  <si>
    <t>_MEL01_</t>
  </si>
  <si>
    <t>_MES01_</t>
  </si>
  <si>
    <t>_VEN01_</t>
  </si>
  <si>
    <t>_VEN02_</t>
  </si>
  <si>
    <t>_DIG01_</t>
  </si>
  <si>
    <t>Eing_R</t>
  </si>
  <si>
    <t>SMFU_Eing</t>
  </si>
  <si>
    <t>0</t>
  </si>
  <si>
    <t>F.Null</t>
  </si>
  <si>
    <t>Aus_Eing</t>
  </si>
  <si>
    <t>StGr_Ausg_R</t>
  </si>
  <si>
    <t>R.__frame.rDummy</t>
  </si>
  <si>
    <t>RM_Eing_R</t>
  </si>
  <si>
    <t>R.__frame.rNull</t>
  </si>
  <si>
    <t>O.</t>
  </si>
  <si>
    <t>Ein_Ausg</t>
  </si>
  <si>
    <t>RM_Offen_Eing</t>
  </si>
  <si>
    <t>RM_Zu_Eing</t>
  </si>
  <si>
    <t>HW_IN_Err_Par</t>
  </si>
  <si>
    <t>F.__frame.fNull</t>
  </si>
  <si>
    <t>_ANA01_</t>
  </si>
  <si>
    <t>L_</t>
  </si>
  <si>
    <t>RLT01</t>
  </si>
  <si>
    <t>P063A</t>
  </si>
  <si>
    <t>ESCO</t>
  </si>
  <si>
    <t>MODBUS</t>
  </si>
  <si>
    <t>A00</t>
  </si>
  <si>
    <t>A01</t>
  </si>
  <si>
    <t>A02</t>
  </si>
  <si>
    <t>A03</t>
  </si>
  <si>
    <t>A04</t>
  </si>
  <si>
    <t>A05</t>
  </si>
  <si>
    <t>R0</t>
  </si>
  <si>
    <t>R1</t>
  </si>
  <si>
    <t>R2</t>
  </si>
  <si>
    <t>R3</t>
  </si>
  <si>
    <t>R4</t>
  </si>
  <si>
    <t>R5</t>
  </si>
  <si>
    <t>R6</t>
  </si>
  <si>
    <t>XI0</t>
  </si>
  <si>
    <t>XI1</t>
  </si>
  <si>
    <t>XI2</t>
  </si>
  <si>
    <t>XI3</t>
  </si>
  <si>
    <t>XI4</t>
  </si>
  <si>
    <t>XI5</t>
  </si>
  <si>
    <t>XI6</t>
  </si>
  <si>
    <t>XI7</t>
  </si>
  <si>
    <t>DI0</t>
  </si>
  <si>
    <t>DI1</t>
  </si>
  <si>
    <t>DI2</t>
  </si>
  <si>
    <t>DI3</t>
  </si>
  <si>
    <t>DI4</t>
  </si>
  <si>
    <t>DI5</t>
  </si>
  <si>
    <t>DI6</t>
  </si>
  <si>
    <t>DI7</t>
  </si>
  <si>
    <t>Promos - NAME</t>
  </si>
  <si>
    <t>RLT01 FOL Fühler 1 (PT1000)</t>
  </si>
  <si>
    <t>Adresse</t>
  </si>
  <si>
    <t>I/O</t>
  </si>
  <si>
    <t>BUS</t>
  </si>
  <si>
    <t>Art</t>
  </si>
  <si>
    <t>RLT01 AUL Fühler 2 (PT1000)</t>
  </si>
  <si>
    <t>RLT01 ZUL Fühler (PT1000)</t>
  </si>
  <si>
    <t>RLT01 ABL Fühler (PT1000)</t>
  </si>
  <si>
    <t>RLT01 Sollwertgeber (0-10V)</t>
  </si>
  <si>
    <t>RLT01 ZUL-Ventilator Störung</t>
  </si>
  <si>
    <t>RLT01 ABL-Ventilator Störung</t>
  </si>
  <si>
    <t>T01</t>
  </si>
  <si>
    <t>RLT01 Taster-Fernbedienung</t>
  </si>
  <si>
    <t>RLT01 Aussenluftklappen Rückmeldung</t>
  </si>
  <si>
    <t>RLT01 ZUL Filter</t>
  </si>
  <si>
    <t>RLT01 ABL Filter</t>
  </si>
  <si>
    <t>RLT01 Rauchmelder</t>
  </si>
  <si>
    <t>RLT01 Frostschutzwächter</t>
  </si>
  <si>
    <t>F03</t>
  </si>
  <si>
    <t>F04</t>
  </si>
  <si>
    <t>RLT01 ZUL-Ventilator Stellsignal</t>
  </si>
  <si>
    <t>RLT01 ABL-Ventilator Stellsignal</t>
  </si>
  <si>
    <t>AUL - Klappen</t>
  </si>
  <si>
    <t>RLT01 ZUL-Ventilator</t>
  </si>
  <si>
    <t>RLT01 ABL-Ventilator</t>
  </si>
  <si>
    <t>RLT01 WRG Klappen</t>
  </si>
  <si>
    <t>Y02</t>
  </si>
  <si>
    <t>RLT01 Störungsleuchte</t>
  </si>
  <si>
    <t>Anschluss
klemmen</t>
  </si>
  <si>
    <t>Typ
(I/O-Modul)</t>
  </si>
  <si>
    <t>Typ
MODBUS RTU</t>
  </si>
  <si>
    <t>Register
S-BUS</t>
  </si>
  <si>
    <t xml:space="preserve">DI-24 </t>
  </si>
  <si>
    <t xml:space="preserve">DI0 </t>
  </si>
  <si>
    <t xml:space="preserve">Digitaleingang 0 </t>
  </si>
  <si>
    <t xml:space="preserve">Input status 0 </t>
  </si>
  <si>
    <t xml:space="preserve">DI1 </t>
  </si>
  <si>
    <t xml:space="preserve">Digitaleingang 1 </t>
  </si>
  <si>
    <t xml:space="preserve">Input status 1 </t>
  </si>
  <si>
    <t xml:space="preserve">DI2 </t>
  </si>
  <si>
    <t xml:space="preserve">Digitaleingang 2 </t>
  </si>
  <si>
    <t xml:space="preserve">Input status 2 </t>
  </si>
  <si>
    <t xml:space="preserve">DI3 </t>
  </si>
  <si>
    <t xml:space="preserve">Digitaleingang 3 </t>
  </si>
  <si>
    <t xml:space="preserve">Input status 3 </t>
  </si>
  <si>
    <t xml:space="preserve">DI4 </t>
  </si>
  <si>
    <t xml:space="preserve">Digitaleingang 4 </t>
  </si>
  <si>
    <t xml:space="preserve">Input status 4 </t>
  </si>
  <si>
    <t xml:space="preserve">DI5 </t>
  </si>
  <si>
    <t xml:space="preserve">Digitaleingang 5 </t>
  </si>
  <si>
    <t xml:space="preserve">Input status 5 </t>
  </si>
  <si>
    <t xml:space="preserve">DI6 </t>
  </si>
  <si>
    <t xml:space="preserve">Digitaleingang 6 </t>
  </si>
  <si>
    <t xml:space="preserve">Input status 6 </t>
  </si>
  <si>
    <t xml:space="preserve">DI7 </t>
  </si>
  <si>
    <t xml:space="preserve">Digitaleingang 7 </t>
  </si>
  <si>
    <t xml:space="preserve">Input status 7 </t>
  </si>
  <si>
    <t xml:space="preserve">Wortadressierung </t>
  </si>
  <si>
    <t xml:space="preserve">DI0- DI7 </t>
  </si>
  <si>
    <t xml:space="preserve">Digitaleingang 0-7 </t>
  </si>
  <si>
    <t xml:space="preserve">Input register 0 </t>
  </si>
  <si>
    <t xml:space="preserve">Bit-Adressierung </t>
  </si>
  <si>
    <t xml:space="preserve">Input status 0 – 7 </t>
  </si>
  <si>
    <t>---</t>
  </si>
  <si>
    <t>1: Temperatureingang PT/NI, T1S 1 bit je Kanal</t>
  </si>
  <si>
    <t xml:space="preserve">XI-Variante 0-10V </t>
  </si>
  <si>
    <t xml:space="preserve">XI0 </t>
  </si>
  <si>
    <t xml:space="preserve">Universaleingang 0 </t>
  </si>
  <si>
    <t xml:space="preserve">Input register 1 </t>
  </si>
  <si>
    <t xml:space="preserve">XI1 </t>
  </si>
  <si>
    <t xml:space="preserve">Universaleingang 1 </t>
  </si>
  <si>
    <t xml:space="preserve">Input register 2 </t>
  </si>
  <si>
    <t xml:space="preserve">XI2 </t>
  </si>
  <si>
    <t xml:space="preserve">Universaleingang 2 </t>
  </si>
  <si>
    <t xml:space="preserve">Input register 3 </t>
  </si>
  <si>
    <t xml:space="preserve">XI3 </t>
  </si>
  <si>
    <t xml:space="preserve">Universaleingang 3 </t>
  </si>
  <si>
    <t xml:space="preserve">Input register 4 </t>
  </si>
  <si>
    <t xml:space="preserve">XI4 </t>
  </si>
  <si>
    <t xml:space="preserve">Universaleingang 4 </t>
  </si>
  <si>
    <t xml:space="preserve">Input register 5 </t>
  </si>
  <si>
    <t xml:space="preserve">XI5 </t>
  </si>
  <si>
    <t xml:space="preserve">Universaleingang 5 </t>
  </si>
  <si>
    <t xml:space="preserve">Input register 6 </t>
  </si>
  <si>
    <t xml:space="preserve">XI6 </t>
  </si>
  <si>
    <t xml:space="preserve">Universaleingang 6 </t>
  </si>
  <si>
    <t xml:space="preserve">Input register 7 </t>
  </si>
  <si>
    <t xml:space="preserve">XI7 </t>
  </si>
  <si>
    <t xml:space="preserve">Universaleingang 7 </t>
  </si>
  <si>
    <t xml:space="preserve">Input register 8 </t>
  </si>
  <si>
    <t xml:space="preserve">XI-Variante PT/NI </t>
  </si>
  <si>
    <t xml:space="preserve">Input register T9* </t>
  </si>
  <si>
    <t xml:space="preserve">Input register T10* </t>
  </si>
  <si>
    <t xml:space="preserve">Input register T11* </t>
  </si>
  <si>
    <t xml:space="preserve">Input register T12* </t>
  </si>
  <si>
    <t xml:space="preserve">Input register T13* </t>
  </si>
  <si>
    <t xml:space="preserve">Input register T14* </t>
  </si>
  <si>
    <t xml:space="preserve">Input register T15* </t>
  </si>
  <si>
    <t xml:space="preserve">Input register T16* </t>
  </si>
  <si>
    <t xml:space="preserve">XI-Variante T1S </t>
  </si>
  <si>
    <t xml:space="preserve">Input register T49 </t>
  </si>
  <si>
    <t xml:space="preserve">Input register T50 </t>
  </si>
  <si>
    <t xml:space="preserve">Input register T51 </t>
  </si>
  <si>
    <t xml:space="preserve">Input register T52 </t>
  </si>
  <si>
    <t xml:space="preserve">Input register T53 </t>
  </si>
  <si>
    <t xml:space="preserve">Input register T54 </t>
  </si>
  <si>
    <t xml:space="preserve">Input register T55 </t>
  </si>
  <si>
    <t xml:space="preserve">Input register T56 </t>
  </si>
  <si>
    <t xml:space="preserve">AO-U (0-10V) </t>
  </si>
  <si>
    <t xml:space="preserve">AO0 </t>
  </si>
  <si>
    <t xml:space="preserve">Analogausgang 0 </t>
  </si>
  <si>
    <t xml:space="preserve">Holding register 1 </t>
  </si>
  <si>
    <t xml:space="preserve">AO1 </t>
  </si>
  <si>
    <t xml:space="preserve">Analogausgang 1 </t>
  </si>
  <si>
    <t xml:space="preserve">Holding register 2 </t>
  </si>
  <si>
    <t xml:space="preserve">AO2 </t>
  </si>
  <si>
    <t xml:space="preserve">Analogausgang 2 </t>
  </si>
  <si>
    <t xml:space="preserve">Holding register 3 </t>
  </si>
  <si>
    <t xml:space="preserve">AO3 </t>
  </si>
  <si>
    <t xml:space="preserve">Analogausgang 3 </t>
  </si>
  <si>
    <t xml:space="preserve">Holding register 4 </t>
  </si>
  <si>
    <t xml:space="preserve">AO4 </t>
  </si>
  <si>
    <t xml:space="preserve">Analogausgang 4 </t>
  </si>
  <si>
    <t xml:space="preserve">Holding register 5 </t>
  </si>
  <si>
    <t xml:space="preserve">AO5 </t>
  </si>
  <si>
    <t xml:space="preserve">Analogausgang 5 </t>
  </si>
  <si>
    <t xml:space="preserve">Holding register 6 </t>
  </si>
  <si>
    <t xml:space="preserve">DO-R </t>
  </si>
  <si>
    <t xml:space="preserve">R0 </t>
  </si>
  <si>
    <t xml:space="preserve">Relaisausgang 0 </t>
  </si>
  <si>
    <t xml:space="preserve">Coil 0 </t>
  </si>
  <si>
    <t xml:space="preserve">R1 </t>
  </si>
  <si>
    <t xml:space="preserve">Relaisausgang 1 </t>
  </si>
  <si>
    <t xml:space="preserve">Coil 1 </t>
  </si>
  <si>
    <t xml:space="preserve">R2 </t>
  </si>
  <si>
    <t xml:space="preserve">Relaisausgang 2 </t>
  </si>
  <si>
    <t xml:space="preserve">Coil 2 </t>
  </si>
  <si>
    <t xml:space="preserve">R3 </t>
  </si>
  <si>
    <t xml:space="preserve">Relaisausgang 3 </t>
  </si>
  <si>
    <t xml:space="preserve">Coil 3 </t>
  </si>
  <si>
    <t xml:space="preserve">R4 </t>
  </si>
  <si>
    <t xml:space="preserve">Relaisausgang 4 </t>
  </si>
  <si>
    <t xml:space="preserve">Coil 4 </t>
  </si>
  <si>
    <t xml:space="preserve">R5 </t>
  </si>
  <si>
    <t xml:space="preserve">Relaisausgang 5 </t>
  </si>
  <si>
    <t xml:space="preserve">Coil 5 </t>
  </si>
  <si>
    <t xml:space="preserve">R6 </t>
  </si>
  <si>
    <t xml:space="preserve">Relaisausgang 6 </t>
  </si>
  <si>
    <t xml:space="preserve">Coil 6 </t>
  </si>
  <si>
    <t xml:space="preserve">R0-R6 </t>
  </si>
  <si>
    <t xml:space="preserve">Relaisausgang 0-6 </t>
  </si>
  <si>
    <t xml:space="preserve">Holding register 0 </t>
  </si>
  <si>
    <t xml:space="preserve">Coil 0 – Coil 6 </t>
  </si>
  <si>
    <t xml:space="preserve">to = timeout [0,1sec], 0..deaktiviert </t>
  </si>
  <si>
    <t xml:space="preserve">Holding register 8 </t>
  </si>
  <si>
    <t xml:space="preserve">toS= Sollwert der bei Timeout
ausgegeben wird </t>
  </si>
  <si>
    <t xml:space="preserve">Holding register 9-15 </t>
  </si>
  <si>
    <t xml:space="preserve">M = Handbedienebene </t>
  </si>
  <si>
    <t xml:space="preserve">Input register 57 </t>
  </si>
  <si>
    <t xml:space="preserve">Info </t>
  </si>
  <si>
    <t xml:space="preserve">Input register 1000-1001 </t>
  </si>
  <si>
    <t>1000-1001</t>
  </si>
  <si>
    <t>** Konfiguration der Universaleingänge – XI3: Holding register 7 7</t>
  </si>
  <si>
    <t>0: 0-10V</t>
  </si>
  <si>
    <t>Register für diverse analoge Eingänge:</t>
  </si>
  <si>
    <t>R1 = Widerstand [0,1 Ohm] 0…65535: 0,0..6553,5 Ohm, Messbereich ca. 3,3 kOhm</t>
  </si>
  <si>
    <t xml:space="preserve">Feldbusmodul </t>
  </si>
  <si>
    <t xml:space="preserve">Analogeingänge </t>
  </si>
  <si>
    <t>Inputregister
Modbus RTU</t>
  </si>
  <si>
    <t>Inputregister
S-Bus</t>
  </si>
  <si>
    <t xml:space="preserve">0-3 </t>
  </si>
  <si>
    <t>105 - 108</t>
  </si>
  <si>
    <t>107 – 110</t>
  </si>
  <si>
    <t xml:space="preserve">0-9 </t>
  </si>
  <si>
    <t>110 - 119</t>
  </si>
  <si>
    <t xml:space="preserve">0-7 </t>
  </si>
  <si>
    <t>108 - 115</t>
  </si>
  <si>
    <t xml:space="preserve">0-4 </t>
  </si>
  <si>
    <t xml:space="preserve">15-19 </t>
  </si>
  <si>
    <t>115 – 119</t>
  </si>
  <si>
    <t xml:space="preserve">31-40 </t>
  </si>
  <si>
    <t>131 - 140</t>
  </si>
  <si>
    <t xml:space="preserve">16-23 </t>
  </si>
  <si>
    <t>116 - 123</t>
  </si>
  <si>
    <t>109 - 112</t>
  </si>
  <si>
    <t xml:space="preserve">17-24 </t>
  </si>
  <si>
    <t>117 - 124</t>
  </si>
  <si>
    <t>112 – 115</t>
  </si>
  <si>
    <t xml:space="preserve">20 -29 </t>
  </si>
  <si>
    <t>120 – 129</t>
  </si>
  <si>
    <t xml:space="preserve">16 -23 </t>
  </si>
  <si>
    <t>116 – 123</t>
  </si>
  <si>
    <t xml:space="preserve">20 –24 </t>
  </si>
  <si>
    <t>120 – 124</t>
  </si>
  <si>
    <t xml:space="preserve">41-50 </t>
  </si>
  <si>
    <t>141 – 150</t>
  </si>
  <si>
    <t xml:space="preserve">24-31 </t>
  </si>
  <si>
    <t>124 - 131</t>
  </si>
  <si>
    <t xml:space="preserve">13-16 </t>
  </si>
  <si>
    <t>113 - 116</t>
  </si>
  <si>
    <t xml:space="preserve">25-32 </t>
  </si>
  <si>
    <t>125 - 132</t>
  </si>
  <si>
    <t>T5 = Ni1000TK5000 Temperatur [0,1°C] -600..2500: -60,0°C...+250,0°C *</t>
  </si>
  <si>
    <t xml:space="preserve">17-20 </t>
  </si>
  <si>
    <t>117 - 120</t>
  </si>
  <si>
    <t xml:space="preserve">20-23 </t>
  </si>
  <si>
    <t>120 – 123</t>
  </si>
  <si>
    <t xml:space="preserve">40-49 </t>
  </si>
  <si>
    <t>140 – 149</t>
  </si>
  <si>
    <t xml:space="preserve">32-39 </t>
  </si>
  <si>
    <t>132 – 139</t>
  </si>
  <si>
    <t xml:space="preserve">30-34 </t>
  </si>
  <si>
    <t>130 – 134</t>
  </si>
  <si>
    <t xml:space="preserve">61-70 </t>
  </si>
  <si>
    <t>161 – 170</t>
  </si>
  <si>
    <t xml:space="preserve">40-47 </t>
  </si>
  <si>
    <t>140 – 147</t>
  </si>
  <si>
    <t xml:space="preserve">21-24 </t>
  </si>
  <si>
    <t>121 – 124</t>
  </si>
  <si>
    <t xml:space="preserve">41-48 </t>
  </si>
  <si>
    <t>141 – 148</t>
  </si>
  <si>
    <t>T3 = PT1000 auf 1/10 Temperatur [0,1°C] -2000..8000: -200,0 bis +800,0°C *</t>
  </si>
  <si>
    <t xml:space="preserve">16-19 </t>
  </si>
  <si>
    <t>116 – 119</t>
  </si>
  <si>
    <t xml:space="preserve">30-39 </t>
  </si>
  <si>
    <t>130 – 139</t>
  </si>
  <si>
    <t>124 – 131</t>
  </si>
  <si>
    <t xml:space="preserve">25-29 </t>
  </si>
  <si>
    <t>125 – 129</t>
  </si>
  <si>
    <t xml:space="preserve">51-60 </t>
  </si>
  <si>
    <t>151 - 160</t>
  </si>
  <si>
    <t>132 - 139</t>
  </si>
  <si>
    <t xml:space="preserve">33-40 </t>
  </si>
  <si>
    <t>133 - 140</t>
  </si>
  <si>
    <t>T1S = Siemens T1 *</t>
  </si>
  <si>
    <t xml:space="preserve">71-80 </t>
  </si>
  <si>
    <t>171 - 180</t>
  </si>
  <si>
    <t xml:space="preserve">25-28 </t>
  </si>
  <si>
    <t>125 - 128</t>
  </si>
  <si>
    <t xml:space="preserve">I/O-Modul 7737 (FB2DI.4PT/NI.6DO-R.M.S.) </t>
  </si>
  <si>
    <t xml:space="preserve">5-8 </t>
  </si>
  <si>
    <t xml:space="preserve">I/O-Modul 7814 (FB4PT/NI.3AI-U.4AO-U.M.S.) </t>
  </si>
  <si>
    <t xml:space="preserve">7-10 </t>
  </si>
  <si>
    <t xml:space="preserve">I/O-Modul 7741 (FB10PT/NI.6AO-U.M.S.) </t>
  </si>
  <si>
    <t xml:space="preserve">10-19 </t>
  </si>
  <si>
    <t xml:space="preserve">I/O-Modul 8534 (FB8PT/NI.8DO-OC.M.S.) </t>
  </si>
  <si>
    <t xml:space="preserve">8-15 </t>
  </si>
  <si>
    <t xml:space="preserve">I/O-Modul 8605 (FB5PT/NI.4XI-5TR.M.S.) </t>
  </si>
  <si>
    <t xml:space="preserve">I/O-Modul 8656 (FB10DI.10XI.M.S.) </t>
  </si>
  <si>
    <t xml:space="preserve">I/O-Modul 8698 (FB8XI.6AO-U.M.S.) </t>
  </si>
  <si>
    <t xml:space="preserve">I/O-Modul 8708 (FB2DI.4PT/NI.4AI-U.4AO-U.2DO-OC.2DO-R.M.S.) </t>
  </si>
  <si>
    <t xml:space="preserve">9-12 </t>
  </si>
  <si>
    <t xml:space="preserve">I/O-Modul 8709 (FB8XI.8DI.6AO-U.7DO-R.M.S.) </t>
  </si>
  <si>
    <t>T2 = NI1000 Temperatur [0,1°C] -2000..2800:- 200,0°C…+280,0°C, DIN43760, TK6180ppm *</t>
  </si>
  <si>
    <t xml:space="preserve">9 -12 </t>
  </si>
  <si>
    <t xml:space="preserve">12 -15 </t>
  </si>
  <si>
    <t>T3</t>
  </si>
  <si>
    <t>Zusatz Info</t>
  </si>
  <si>
    <t>Feldbusgeräte:</t>
  </si>
  <si>
    <t>I/O-Modul 8709 (Typ: FB8XI.8DI.6AO-U.7DO-R.M.S.)</t>
  </si>
  <si>
    <t>I/O-Modul 8709-2 (Typ: FBAH8XI.8DI.6AO-U.7DO-R.M.S.) inkl. Handbedienebene und LED´s</t>
  </si>
  <si>
    <t>* Eingänge auch als Widerstandswert 0…3300 Ohm, Ni1000 TK5000 oder PT1000 auf 1/10 – siehe Seite 27</t>
  </si>
  <si>
    <t>**Die Konfiguration kann auf den Neuzustand gesetzt werden, wenn die Adresse 0 eingestellt und dann die Versorgung eingeschaltet wird.</t>
  </si>
  <si>
    <t>RLT01 ZUL nach WRG Fühler (PT1000)</t>
  </si>
  <si>
    <t>MOD</t>
  </si>
  <si>
    <t>Modul-Typ</t>
  </si>
  <si>
    <t>Basisadresse</t>
  </si>
  <si>
    <t>Beschreibung</t>
  </si>
  <si>
    <t>PCD3.C100</t>
  </si>
  <si>
    <t>PCD3.C200</t>
  </si>
  <si>
    <t>Steckplätze</t>
  </si>
  <si>
    <t>Type</t>
  </si>
  <si>
    <t>PCD3.Onboard</t>
  </si>
  <si>
    <t>SLOT</t>
  </si>
  <si>
    <t>PCD3.C110</t>
  </si>
  <si>
    <t>PCD3.A810</t>
  </si>
  <si>
    <t>PCD3.W800</t>
  </si>
  <si>
    <t>Device_Configurator</t>
  </si>
  <si>
    <t>Die Korrektur kann leicht berechnet werden, mithilfe der Konvertierungs FBox aus der HVC allgemeine FBox-Bibliothek:</t>
  </si>
  <si>
    <t>https://sbc-support.com/de/faq/101330/</t>
  </si>
  <si>
    <t>M001</t>
  </si>
  <si>
    <t>M002</t>
  </si>
  <si>
    <t>FU01</t>
  </si>
  <si>
    <t>FU02</t>
  </si>
  <si>
    <t>M003</t>
  </si>
  <si>
    <t>H_</t>
  </si>
  <si>
    <t>K_</t>
  </si>
  <si>
    <t>Y001</t>
  </si>
  <si>
    <t>F001</t>
  </si>
  <si>
    <t>F002</t>
  </si>
  <si>
    <t>B001</t>
  </si>
  <si>
    <t>B002</t>
  </si>
  <si>
    <t>B003</t>
  </si>
  <si>
    <t>B004</t>
  </si>
  <si>
    <t>B005</t>
  </si>
  <si>
    <t>B006</t>
  </si>
  <si>
    <t>B007</t>
  </si>
  <si>
    <t>B008</t>
  </si>
  <si>
    <t>B009</t>
  </si>
  <si>
    <t>B010</t>
  </si>
  <si>
    <t>B020</t>
  </si>
  <si>
    <t>X001</t>
  </si>
  <si>
    <t>X003</t>
  </si>
  <si>
    <t>X002</t>
  </si>
  <si>
    <t>F003</t>
  </si>
  <si>
    <t xml:space="preserve"> </t>
  </si>
  <si>
    <t xml:space="preserve">  </t>
  </si>
  <si>
    <t>Y002</t>
  </si>
  <si>
    <t>FUNKTIONSTEXT</t>
  </si>
  <si>
    <t>ZIEL</t>
  </si>
  <si>
    <t>DO1</t>
  </si>
  <si>
    <t>DO2</t>
  </si>
  <si>
    <t>DO3</t>
  </si>
  <si>
    <t>DO4</t>
  </si>
  <si>
    <t>METZ CONNECT</t>
  </si>
  <si>
    <t>MRDO4</t>
  </si>
  <si>
    <t>AO1</t>
  </si>
  <si>
    <t>AO2</t>
  </si>
  <si>
    <t>AO3</t>
  </si>
  <si>
    <t>AO4</t>
  </si>
  <si>
    <t>MRDOC</t>
  </si>
  <si>
    <t>MRAOC</t>
  </si>
  <si>
    <t>X013</t>
  </si>
  <si>
    <t>X004</t>
  </si>
  <si>
    <t>X005</t>
  </si>
  <si>
    <t>X007</t>
  </si>
  <si>
    <t>X011</t>
  </si>
  <si>
    <t>X010</t>
  </si>
  <si>
    <t>X008</t>
  </si>
  <si>
    <t>X012</t>
  </si>
  <si>
    <t>X009</t>
  </si>
  <si>
    <t>X014</t>
  </si>
  <si>
    <t>BMKZ</t>
  </si>
  <si>
    <t>AKS T2</t>
  </si>
  <si>
    <t>AKS T3</t>
  </si>
  <si>
    <t>AKS T4</t>
  </si>
  <si>
    <t>AKS T5</t>
  </si>
  <si>
    <t>AKS_T1</t>
  </si>
  <si>
    <t>AKS_T2</t>
  </si>
  <si>
    <t>AKS_T3</t>
  </si>
  <si>
    <t>AKS_T4</t>
  </si>
  <si>
    <t>AKS_T5</t>
  </si>
  <si>
    <t>!Adresse!</t>
  </si>
  <si>
    <t>MODBUS-METZ CONNECT MRD04</t>
  </si>
  <si>
    <t>Quelle</t>
  </si>
  <si>
    <t>Ziel</t>
  </si>
  <si>
    <t>Name</t>
  </si>
  <si>
    <t>AKS Spalt Anfang</t>
  </si>
  <si>
    <t>AKS_T6</t>
  </si>
  <si>
    <t>MRAO4</t>
  </si>
  <si>
    <t>Promos - :NAME</t>
  </si>
  <si>
    <t>SAMMELSTÖRUNG</t>
  </si>
  <si>
    <t>M005</t>
  </si>
  <si>
    <t>M004</t>
  </si>
  <si>
    <t>F004</t>
  </si>
  <si>
    <t>Y003</t>
  </si>
  <si>
    <t>B011</t>
  </si>
  <si>
    <t>B012</t>
  </si>
  <si>
    <t>B013</t>
  </si>
  <si>
    <t>B014</t>
  </si>
  <si>
    <t>B015</t>
  </si>
  <si>
    <t>B016</t>
  </si>
  <si>
    <t>B017</t>
  </si>
  <si>
    <t>Y004</t>
  </si>
  <si>
    <t>Y005</t>
  </si>
  <si>
    <t>Y006</t>
  </si>
  <si>
    <t>WRG</t>
  </si>
  <si>
    <t>WRG2</t>
  </si>
  <si>
    <t>VL-prim</t>
  </si>
  <si>
    <t>RL-prim</t>
  </si>
  <si>
    <t>VL-sek</t>
  </si>
  <si>
    <t>RL-sek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</si>
  <si>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</si>
  <si>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</si>
  <si>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</si>
  <si>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</si>
  <si>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</si>
  <si>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</si>
  <si>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</si>
  <si>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</si>
  <si>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</si>
  <si>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</si>
  <si>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</si>
  <si>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</si>
  <si>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</si>
  <si>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</si>
  <si>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</si>
  <si>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</si>
  <si>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</si>
  <si>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F005</t>
  </si>
  <si>
    <t>F006</t>
  </si>
  <si>
    <t>B204</t>
  </si>
  <si>
    <t>B205</t>
  </si>
  <si>
    <t>B201</t>
  </si>
  <si>
    <t>B202</t>
  </si>
  <si>
    <t>B203</t>
  </si>
  <si>
    <t>T_ABL</t>
  </si>
  <si>
    <t>T_ABL2</t>
  </si>
  <si>
    <t>T_AUL</t>
  </si>
  <si>
    <t>T_FOL</t>
  </si>
  <si>
    <t>T_LE-RL</t>
  </si>
  <si>
    <t>T_LE-VL</t>
  </si>
  <si>
    <t>T_LK-RL</t>
  </si>
  <si>
    <t>T_LK-VL</t>
  </si>
  <si>
    <t>T_MIL</t>
  </si>
  <si>
    <t>T_MIL2</t>
  </si>
  <si>
    <t>T_NE-RL</t>
  </si>
  <si>
    <t>T_NE-VL</t>
  </si>
  <si>
    <t>T_NK-RL</t>
  </si>
  <si>
    <t>T_NK-VL</t>
  </si>
  <si>
    <t>T_ZUL</t>
  </si>
  <si>
    <t>L_Temp</t>
  </si>
  <si>
    <t>L_Feuchte</t>
  </si>
  <si>
    <t>F_AUL</t>
  </si>
  <si>
    <t>F_MIL</t>
  </si>
  <si>
    <t>F_MIL2</t>
  </si>
  <si>
    <t>F_ZUL</t>
  </si>
  <si>
    <t>F_ABL</t>
  </si>
  <si>
    <t>F_ABL2</t>
  </si>
  <si>
    <t>F_FOL</t>
  </si>
  <si>
    <t>F_LE-VL</t>
  </si>
  <si>
    <t>F_LE-RL</t>
  </si>
  <si>
    <t>F_LK-VL</t>
  </si>
  <si>
    <t>F_LK-RL</t>
  </si>
  <si>
    <t>F_NE-VL</t>
  </si>
  <si>
    <t>F_NE-RL</t>
  </si>
  <si>
    <t>F_NK-VL</t>
  </si>
  <si>
    <t>F_NK-RL</t>
  </si>
  <si>
    <t>L_Druck</t>
  </si>
  <si>
    <t>L_FU</t>
  </si>
  <si>
    <t>L_Motor</t>
  </si>
  <si>
    <t>L_Pumpe</t>
  </si>
  <si>
    <t>L_Klappe</t>
  </si>
  <si>
    <t>L_Meldung</t>
  </si>
  <si>
    <t>D_AUL</t>
  </si>
  <si>
    <t>D_MIL</t>
  </si>
  <si>
    <t>D_MIL2</t>
  </si>
  <si>
    <t>D_ZUL</t>
  </si>
  <si>
    <t>D_ABL</t>
  </si>
  <si>
    <t>D_ABL2</t>
  </si>
  <si>
    <t>D_FOL</t>
  </si>
  <si>
    <t>D_LE-VL</t>
  </si>
  <si>
    <t>D_LE-RL</t>
  </si>
  <si>
    <t>D_LK-VL</t>
  </si>
  <si>
    <t>D_LK-RL</t>
  </si>
  <si>
    <t>D_NE-VL</t>
  </si>
  <si>
    <t>D_NE-RL</t>
  </si>
  <si>
    <t>D_NK-VL</t>
  </si>
  <si>
    <t>D_NK-RL</t>
  </si>
  <si>
    <t>B206</t>
  </si>
  <si>
    <t>B207</t>
  </si>
  <si>
    <t>B208</t>
  </si>
  <si>
    <t>B209</t>
  </si>
  <si>
    <t>B210</t>
  </si>
  <si>
    <t>B211</t>
  </si>
  <si>
    <t>B212</t>
  </si>
  <si>
    <t>B213</t>
  </si>
  <si>
    <t>B214</t>
  </si>
  <si>
    <t>B215</t>
  </si>
  <si>
    <t>B216</t>
  </si>
  <si>
    <t>B217</t>
  </si>
  <si>
    <t>FU_ZUL</t>
  </si>
  <si>
    <t>FU_ABL</t>
  </si>
  <si>
    <t>M_ZUL</t>
  </si>
  <si>
    <t>M_ABL</t>
  </si>
  <si>
    <t>P_LE</t>
  </si>
  <si>
    <t>P_LK</t>
  </si>
  <si>
    <t>P_WRG</t>
  </si>
  <si>
    <t>K_ZUL</t>
  </si>
  <si>
    <t>K_FOL</t>
  </si>
  <si>
    <t>K_AUL</t>
  </si>
  <si>
    <t>K_ABL</t>
  </si>
  <si>
    <t>K_WRG</t>
  </si>
  <si>
    <t>L_Ventil</t>
  </si>
  <si>
    <t>V_LE</t>
  </si>
  <si>
    <t>V_LK</t>
  </si>
  <si>
    <t>V_WRG</t>
  </si>
  <si>
    <t>V_NE</t>
  </si>
  <si>
    <t>V_NK</t>
  </si>
  <si>
    <t>AUL_FILTER</t>
  </si>
  <si>
    <t>ZUL_FILTER</t>
  </si>
  <si>
    <t>ABL_FILTER</t>
  </si>
  <si>
    <t>L_Filter</t>
  </si>
  <si>
    <t>K_LE_VL</t>
  </si>
  <si>
    <t>K_LE_RL</t>
  </si>
  <si>
    <t>K_LK_VL</t>
  </si>
  <si>
    <t>K_LK_RL</t>
  </si>
  <si>
    <t>K_BYPASS</t>
  </si>
  <si>
    <t>MEL_BMZ</t>
  </si>
  <si>
    <t>MEL_FROST</t>
  </si>
  <si>
    <t>MEL_VEREIST</t>
  </si>
  <si>
    <t>H_Temp</t>
  </si>
  <si>
    <t>H_Druck</t>
  </si>
  <si>
    <t>H_Pumpe</t>
  </si>
  <si>
    <t>H_Ventil</t>
  </si>
  <si>
    <t>H_Klappe</t>
  </si>
  <si>
    <t>H_Meldung</t>
  </si>
  <si>
    <t>P-MIN</t>
  </si>
  <si>
    <t>P-MAX</t>
  </si>
  <si>
    <t>STB</t>
  </si>
  <si>
    <t>Wassermangel</t>
  </si>
  <si>
    <t>BMZ</t>
  </si>
  <si>
    <t>GAS</t>
  </si>
  <si>
    <t>K_Temp</t>
  </si>
  <si>
    <t>K_Pumpe</t>
  </si>
  <si>
    <t>K_Ventil</t>
  </si>
  <si>
    <t>K_Klappe</t>
  </si>
  <si>
    <t>K_Druck</t>
  </si>
  <si>
    <t>K_Meldung</t>
  </si>
  <si>
    <t>T_Raum1</t>
  </si>
  <si>
    <t>T_Raum2</t>
  </si>
  <si>
    <t>T_Raum3</t>
  </si>
  <si>
    <t>T_Raum4</t>
  </si>
  <si>
    <t>T_Raum5</t>
  </si>
  <si>
    <t>T_Raum6</t>
  </si>
  <si>
    <t>T_Raum7</t>
  </si>
  <si>
    <t>T_Raum8</t>
  </si>
  <si>
    <t>T_Raum9</t>
  </si>
  <si>
    <t>T_Raum10</t>
  </si>
  <si>
    <t>B018</t>
  </si>
  <si>
    <t>B019</t>
  </si>
  <si>
    <t>B021</t>
  </si>
  <si>
    <t>B022</t>
  </si>
  <si>
    <t>B023</t>
  </si>
  <si>
    <t>B024</t>
  </si>
  <si>
    <t>B025</t>
  </si>
  <si>
    <t>B026</t>
  </si>
  <si>
    <t>B027</t>
  </si>
  <si>
    <t>F_Raum1</t>
  </si>
  <si>
    <t>F_Raum2</t>
  </si>
  <si>
    <t>F_Raum3</t>
  </si>
  <si>
    <t>F_Raum4</t>
  </si>
  <si>
    <t>F_Raum5</t>
  </si>
  <si>
    <t>F_Raum6</t>
  </si>
  <si>
    <t>F_Raum7</t>
  </si>
  <si>
    <t>F_Raum8</t>
  </si>
  <si>
    <t>F_Raum9</t>
  </si>
  <si>
    <t>F_Raum10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</si>
  <si>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</si>
  <si>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</si>
  <si>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</si>
  <si>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</si>
  <si>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</si>
  <si>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</si>
  <si>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</si>
  <si>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</si>
  <si>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</si>
  <si>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</si>
  <si>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T_Raum11</t>
  </si>
  <si>
    <t>T_Raum12</t>
  </si>
  <si>
    <t>T_Raum13</t>
  </si>
  <si>
    <t>T_Raum14</t>
  </si>
  <si>
    <t>T_Raum15</t>
  </si>
  <si>
    <t>B028</t>
  </si>
  <si>
    <t>F_Raum11</t>
  </si>
  <si>
    <t>B128</t>
  </si>
  <si>
    <t>B029</t>
  </si>
  <si>
    <t>F_Raum12</t>
  </si>
  <si>
    <t>B129</t>
  </si>
  <si>
    <t>B030</t>
  </si>
  <si>
    <t>F_Raum13</t>
  </si>
  <si>
    <t>B130</t>
  </si>
  <si>
    <t>B031</t>
  </si>
  <si>
    <t>F_Raum14</t>
  </si>
  <si>
    <t>B131</t>
  </si>
  <si>
    <t>B032</t>
  </si>
  <si>
    <t>F_Raum15</t>
  </si>
  <si>
    <t>B132</t>
  </si>
  <si>
    <t>M_ABL2</t>
  </si>
  <si>
    <t>M022</t>
  </si>
  <si>
    <t>M_ZUL2</t>
  </si>
  <si>
    <t>M011</t>
  </si>
  <si>
    <t>LUEFTUNGSANLAGE RESTAURANT BATTERIE NE(+) REGELVENTIL STELLSIGNAL 0-10V -33Y1</t>
  </si>
  <si>
    <t>Geprueft</t>
  </si>
  <si>
    <t>Stammdaten</t>
  </si>
  <si>
    <t>BenutzerHausadresse</t>
  </si>
  <si>
    <t>Benutzer</t>
  </si>
  <si>
    <t>BenutzerBMKZ</t>
  </si>
  <si>
    <t>Zusatzinfo_Betriebsmittel</t>
  </si>
  <si>
    <t>Infotext</t>
  </si>
  <si>
    <t>Text1</t>
  </si>
  <si>
    <t>Text2</t>
  </si>
  <si>
    <t>Text_Wizard</t>
  </si>
  <si>
    <t>Anzahl</t>
  </si>
  <si>
    <t>Motorenliste</t>
  </si>
  <si>
    <t>-</t>
  </si>
  <si>
    <t>Name_DP1</t>
  </si>
  <si>
    <t>Beschreibung_DP1</t>
  </si>
  <si>
    <t>Text_Programm_DP1</t>
  </si>
  <si>
    <t>Hausadresse_DP1</t>
  </si>
  <si>
    <t>Kommunikativ_DP1</t>
  </si>
  <si>
    <t>Name_DP2</t>
  </si>
  <si>
    <t>Beschreibung_DP2</t>
  </si>
  <si>
    <t>Text_Programm_DP2</t>
  </si>
  <si>
    <t>Hausadresse_DP2</t>
  </si>
  <si>
    <t>Kommunikativ_DP2</t>
  </si>
  <si>
    <t>Name_DP3</t>
  </si>
  <si>
    <t>Beschreibung_DP3</t>
  </si>
  <si>
    <t>Text_Programm_DP3</t>
  </si>
  <si>
    <t>Hausadresse_DP3</t>
  </si>
  <si>
    <t>Kommunikativ_DP3</t>
  </si>
  <si>
    <t>Name_DP4</t>
  </si>
  <si>
    <t>Beschreibung_DP4</t>
  </si>
  <si>
    <t>Text_Programm_DP4</t>
  </si>
  <si>
    <t>Hausadresse_DP4</t>
  </si>
  <si>
    <t>Kommunikativ_DP4</t>
  </si>
  <si>
    <t>Name_DP5</t>
  </si>
  <si>
    <t>Beschreibung_DP5</t>
  </si>
  <si>
    <t>Text_Programm_DP5</t>
  </si>
  <si>
    <t>Hausadresse_DP5</t>
  </si>
  <si>
    <t>Kommunikativ_DP5</t>
  </si>
  <si>
    <t>Name_DP6</t>
  </si>
  <si>
    <t>Beschreibung_DP6</t>
  </si>
  <si>
    <t>Text_Programm_DP6</t>
  </si>
  <si>
    <t>Hausadresse_DP6</t>
  </si>
  <si>
    <t>Kommunikativ_DP6</t>
  </si>
  <si>
    <t>Name_DP7</t>
  </si>
  <si>
    <t>Beschreibung_DP7</t>
  </si>
  <si>
    <t>Text_Programm_DP7</t>
  </si>
  <si>
    <t>Hausadresse_DP7</t>
  </si>
  <si>
    <t>Kommunikativ_DP7</t>
  </si>
  <si>
    <t>Name_DP8</t>
  </si>
  <si>
    <t>Beschreibung_DP8</t>
  </si>
  <si>
    <t>Text_Programm_DP8</t>
  </si>
  <si>
    <t>Hausadresse_DP8</t>
  </si>
  <si>
    <t>Kommunikativ_DP8</t>
  </si>
  <si>
    <t>Name_DP9</t>
  </si>
  <si>
    <t>Beschreibung_DP9</t>
  </si>
  <si>
    <t>Text_Programm_DP9</t>
  </si>
  <si>
    <t>Hausadresse_DP9</t>
  </si>
  <si>
    <t>Kommunikativ_DP9</t>
  </si>
  <si>
    <t>Name_DP10</t>
  </si>
  <si>
    <t>Beschreibung_DP10</t>
  </si>
  <si>
    <t>Text_Programm_DP10</t>
  </si>
  <si>
    <t>Hausadresse_DP10</t>
  </si>
  <si>
    <t>Kommunikativ_DP10</t>
  </si>
  <si>
    <t>L_RLT005X001Y001</t>
  </si>
  <si>
    <t>L_RLT005X001</t>
  </si>
  <si>
    <t>Anlagenteil</t>
  </si>
  <si>
    <t>Prüfdatum</t>
  </si>
  <si>
    <t>Prüfer</t>
  </si>
  <si>
    <t>AKST1</t>
  </si>
  <si>
    <t>AKST2</t>
  </si>
  <si>
    <t>AKST3</t>
  </si>
  <si>
    <t>AKST4</t>
  </si>
  <si>
    <t>AKST5</t>
  </si>
  <si>
    <t>Inbetreibnahmeprotokoll</t>
  </si>
  <si>
    <t>PCD3.M5360</t>
  </si>
  <si>
    <t>PCD7.R562</t>
  </si>
  <si>
    <t>Kommunikation RS232 Port 0:</t>
  </si>
  <si>
    <t>Kommunikation RS485 Port 2:</t>
  </si>
  <si>
    <t>Kommunikation RS485 Port 3:</t>
  </si>
  <si>
    <t>Modulsteckplatz M1:</t>
  </si>
  <si>
    <t>Modulsteckplatz M2:</t>
  </si>
  <si>
    <t>Registerzuordnung: (siehe auch Registermapping im Anhang)</t>
  </si>
  <si>
    <t>Slot</t>
  </si>
  <si>
    <t>Modultyp</t>
  </si>
  <si>
    <t>Modulpunkt</t>
  </si>
  <si>
    <t>Symbol</t>
  </si>
  <si>
    <t>Bezeichnung</t>
  </si>
  <si>
    <t>Reserve</t>
  </si>
  <si>
    <t>Reserve-Platz</t>
  </si>
  <si>
    <t>MK01Y01SP</t>
  </si>
  <si>
    <t>Mischkammer Küche</t>
  </si>
  <si>
    <t>MK02Y01SP</t>
  </si>
  <si>
    <t>Mischkammer Restaurant</t>
  </si>
  <si>
    <t>VC01X01SP</t>
  </si>
  <si>
    <t xml:space="preserve">Conv.1Heizventil </t>
  </si>
  <si>
    <t>Küche</t>
  </si>
  <si>
    <t>VC01X02SP</t>
  </si>
  <si>
    <t>Conv.1Kühlventil</t>
  </si>
  <si>
    <t>VC01Y01SP</t>
  </si>
  <si>
    <t>Conv.1Ventilator</t>
  </si>
  <si>
    <t>VC02X01SP</t>
  </si>
  <si>
    <t xml:space="preserve">Conv.2Heizventil </t>
  </si>
  <si>
    <t>Restaurant</t>
  </si>
  <si>
    <t>VC02X02SP</t>
  </si>
  <si>
    <t>Conv.2Kühlventil</t>
  </si>
  <si>
    <t>VC02Y01SP</t>
  </si>
  <si>
    <t>Conv.2Ventilator</t>
  </si>
  <si>
    <t>VC03X01SP</t>
  </si>
  <si>
    <t xml:space="preserve">Conv.3Heizventil </t>
  </si>
  <si>
    <t>VC03X02SP</t>
  </si>
  <si>
    <t>Conv.3Kühlventil</t>
  </si>
  <si>
    <t>VC03Y01SP</t>
  </si>
  <si>
    <t>Conv.3Ventilator</t>
  </si>
  <si>
    <t>VC04X01SP</t>
  </si>
  <si>
    <t xml:space="preserve">Conv.4Heizventil </t>
  </si>
  <si>
    <t>VC04X02SP</t>
  </si>
  <si>
    <t>Conv.4Kühlventil</t>
  </si>
  <si>
    <t>VC04Y01SP</t>
  </si>
  <si>
    <t>Conv.4Ventilator</t>
  </si>
  <si>
    <t>AL01M01SB</t>
  </si>
  <si>
    <t>Ablüfter</t>
  </si>
  <si>
    <t>Küche/Restaurant</t>
  </si>
  <si>
    <t>VC01M01SB</t>
  </si>
  <si>
    <t xml:space="preserve">Konv.1Heizpumpe </t>
  </si>
  <si>
    <t>VC02M01SB</t>
  </si>
  <si>
    <t xml:space="preserve">Konv.2Heizpumpe </t>
  </si>
  <si>
    <t>VC03M01SB</t>
  </si>
  <si>
    <t xml:space="preserve">Konv.3Heizpumpe </t>
  </si>
  <si>
    <t>VC04M01SB</t>
  </si>
  <si>
    <t xml:space="preserve">Konv.4Heizpumpe </t>
  </si>
  <si>
    <t>Algemein</t>
  </si>
  <si>
    <t>Befehl C1</t>
  </si>
  <si>
    <t>Quittierung</t>
  </si>
  <si>
    <t>Befehl C2</t>
  </si>
  <si>
    <t xml:space="preserve">Meldung Modulen Handbetieb </t>
  </si>
  <si>
    <t>Befehl C3</t>
  </si>
  <si>
    <t xml:space="preserve">Meldung Sammelstörmeldung Relais </t>
  </si>
  <si>
    <t>Courroier Repriise</t>
  </si>
  <si>
    <t>U01A</t>
  </si>
  <si>
    <t>Phasenkontrolle</t>
  </si>
  <si>
    <t>Algemein ISP1</t>
  </si>
  <si>
    <t>F01A</t>
  </si>
  <si>
    <t>Überspannungsableiter</t>
  </si>
  <si>
    <t>F02A</t>
  </si>
  <si>
    <t>Hauptschalter</t>
  </si>
  <si>
    <t>F03A</t>
  </si>
  <si>
    <t>Steuerspannung 230V</t>
  </si>
  <si>
    <t>F04A</t>
  </si>
  <si>
    <t>Steuerspannung 24V</t>
  </si>
  <si>
    <t>F05A</t>
  </si>
  <si>
    <t>Brandmeldung</t>
  </si>
  <si>
    <t>F06A</t>
  </si>
  <si>
    <t>Not-Aus</t>
  </si>
  <si>
    <t>Q01</t>
  </si>
  <si>
    <t>Entriegelung</t>
  </si>
  <si>
    <t>S01</t>
  </si>
  <si>
    <t>Lampentest</t>
  </si>
  <si>
    <t>VC01F01SM</t>
  </si>
  <si>
    <t>Konv.1FrostsKhutz</t>
  </si>
  <si>
    <t>VC02F01SM</t>
  </si>
  <si>
    <t>Konv.2FrostsKhutz</t>
  </si>
  <si>
    <t>VC03F01SM</t>
  </si>
  <si>
    <t>Konv.3FrostsKhutz</t>
  </si>
  <si>
    <t>VC04F01SM</t>
  </si>
  <si>
    <t>Konv.4FrostsKhutz</t>
  </si>
  <si>
    <t>AL01M01SM</t>
  </si>
  <si>
    <t>Störung AbLüfter</t>
  </si>
  <si>
    <t>VC01M01SM</t>
  </si>
  <si>
    <t>Störung Conv.1 Heizpumpe</t>
  </si>
  <si>
    <t>VC02M01SM</t>
  </si>
  <si>
    <t>Störung Conv.2 Heizpumpe</t>
  </si>
  <si>
    <t>VC03M01SM</t>
  </si>
  <si>
    <t>Störung Conv.3 Heizpumpe</t>
  </si>
  <si>
    <t>VC04M01SM</t>
  </si>
  <si>
    <t>Störung Conv.4 Heizpumpe</t>
  </si>
  <si>
    <t>VC01F02SM</t>
  </si>
  <si>
    <t>Konf.1_Filter</t>
  </si>
  <si>
    <t>VC02F02SM</t>
  </si>
  <si>
    <t>Konf.2_Filter</t>
  </si>
  <si>
    <t>VC03F02SM</t>
  </si>
  <si>
    <t>Konf.3_Filter</t>
  </si>
  <si>
    <t>VC04F02SM</t>
  </si>
  <si>
    <t>Konf.4_Filter</t>
  </si>
  <si>
    <t>Auto</t>
  </si>
  <si>
    <t>CKAY0401R01</t>
  </si>
  <si>
    <t xml:space="preserve">Konv.1Heizventil </t>
  </si>
  <si>
    <t>Konv.1Kühlventil</t>
  </si>
  <si>
    <t>Konv.1Ventilator</t>
  </si>
  <si>
    <t xml:space="preserve">Konv.2Heizventil </t>
  </si>
  <si>
    <t>Konv.2Kühlventil</t>
  </si>
  <si>
    <t>Konv.2Ventilator</t>
  </si>
  <si>
    <t xml:space="preserve">Konv.3Heizventil </t>
  </si>
  <si>
    <t>Konv.3Kühlventil</t>
  </si>
  <si>
    <t>Konv.3Ventilator</t>
  </si>
  <si>
    <t xml:space="preserve">Konv.4Heizventil </t>
  </si>
  <si>
    <t>Konv.4Kühlventil</t>
  </si>
  <si>
    <t>Konv.4Ventilator</t>
  </si>
  <si>
    <t>VC01B01MW</t>
  </si>
  <si>
    <t>Fortluft Küche</t>
  </si>
  <si>
    <t>VC01B02MW</t>
  </si>
  <si>
    <t>Zuluft Küche</t>
  </si>
  <si>
    <t>VC01B03MW</t>
  </si>
  <si>
    <t>Rückluft Küche</t>
  </si>
  <si>
    <t>VC01B04MW</t>
  </si>
  <si>
    <t>Frischluft Küche</t>
  </si>
  <si>
    <t>VC03B01MW</t>
  </si>
  <si>
    <t>Fortluft Restaurant</t>
  </si>
  <si>
    <t>VC03B02MW</t>
  </si>
  <si>
    <t>Zuluft Restaurant</t>
  </si>
  <si>
    <t>VC03B03MW</t>
  </si>
  <si>
    <t>Rückluft Restaurant</t>
  </si>
  <si>
    <t>VC03B04MW</t>
  </si>
  <si>
    <t>Frischluft Restaurant</t>
  </si>
  <si>
    <t>LEER</t>
  </si>
  <si>
    <t>Projekt:</t>
  </si>
  <si>
    <t>Datenpunkte</t>
  </si>
  <si>
    <t>Projektschlüssel</t>
  </si>
  <si>
    <t>Projekt (XXXXX_)</t>
  </si>
  <si>
    <t>ISP (XX_)</t>
  </si>
  <si>
    <t>Controller XX:)</t>
  </si>
  <si>
    <t>Gewerk (X_:)</t>
  </si>
  <si>
    <t>Anlage (XXXXX_)</t>
  </si>
  <si>
    <t>Feldgerät (XX:XXX)</t>
  </si>
  <si>
    <t>Belegung der Steckplätze / Aufbau der PCD3</t>
  </si>
  <si>
    <t>Gerät</t>
  </si>
  <si>
    <t>Basis-Adresse</t>
  </si>
  <si>
    <t>PCD3.R561</t>
  </si>
  <si>
    <t>Modultypen</t>
  </si>
  <si>
    <t>PCD3.F221</t>
  </si>
  <si>
    <t>PCD3.R010</t>
  </si>
  <si>
    <t>Leer</t>
  </si>
  <si>
    <t>Summe</t>
  </si>
  <si>
    <t>Datum:</t>
  </si>
  <si>
    <t>PCD-Typ:</t>
  </si>
  <si>
    <t>PCD-Adresse:</t>
  </si>
  <si>
    <t>Kabelzugliste</t>
  </si>
  <si>
    <t>CC2 KLEINES BECKEN FILTER 1 DRUCKMESSUNG 0-10V</t>
  </si>
  <si>
    <t>CC2 KLEINES BECKEN FILTER 2 DRUCKMESSUNG 0-10V</t>
  </si>
  <si>
    <t>CC2 KLEINES BECKEN DURCHFLUSS-MESSUNG 0-20mA</t>
  </si>
  <si>
    <t>CC2 KLEINES BECKEN PUFFERTANK FÜLLSTANDS-MESSUNG0-10V</t>
  </si>
  <si>
    <t>RESERVE MESSUNG 0-10V</t>
  </si>
  <si>
    <t>CC2 KLEINES BECKEN MISCHTEMPERATUR</t>
  </si>
  <si>
    <t>CC2 KLEINES BECKEN BECKENAUSLASS-TEMPERATUR</t>
  </si>
  <si>
    <t>FREI</t>
  </si>
  <si>
    <t>CC2 KLEINES BECKEN PUMPE P3 RÜCKFÜHRUNG 0-20mA</t>
  </si>
  <si>
    <t>CC2 KLEINES BECKEN PUMPE P4 RÜCKFÜHRUNG 0-20mA</t>
  </si>
  <si>
    <t>MSR-SCHRANK HAUPTSCHALTER</t>
  </si>
  <si>
    <t>MSR-SCHRANK PHASENWÄCHTER</t>
  </si>
  <si>
    <t>MSR-SCHRANK SICHERUNGSFLL</t>
  </si>
  <si>
    <t>MSR-SCHRANK NOT-AUS</t>
  </si>
  <si>
    <t>MSR-SCHRANK BMA</t>
  </si>
  <si>
    <t>MSR-SCHRANK ÜBERSPANNUNG</t>
  </si>
  <si>
    <t>MSR-SCHRANK STÖRUNG QUITTIEREN</t>
  </si>
  <si>
    <t>CC2 KLEINES BECKEN FILTERMODUS AUTO-BETRIEB</t>
  </si>
  <si>
    <t>CC2 KLEINES BECKEN FILTERMODUS TAG-BETRIEB</t>
  </si>
  <si>
    <t>CC2 KLEINES BECKEN FILTERMODUS NACHT-BETRIEB</t>
  </si>
  <si>
    <t>CC2 KLEINES BECKEN FILTER 1 HAND-BETRIEB</t>
  </si>
  <si>
    <t>CC2 KLEINES BECKEN FILTER 1 AUTO-BETRIEB</t>
  </si>
  <si>
    <t>CC2 KLEINES BECKEN FILTER 2 HAND-BETRIEB</t>
  </si>
  <si>
    <t>CC2 KLEINES BECKEN FILTER 2 AUTO-BETRIEB</t>
  </si>
  <si>
    <t>CC2 KLEINES BECKEN KANALFILTER HAND-BETRIEB</t>
  </si>
  <si>
    <t>CC2 KLEINES BECKEN KANALFILTER AUTO-BETRIEB</t>
  </si>
  <si>
    <t>CC2 KLEINES BECKEN PUMPE P3 AUTO-BETRIEB</t>
  </si>
  <si>
    <t>CC2 KLEINES BECKEN PUMPE P3 HAND-BETRIEB</t>
  </si>
  <si>
    <t>CC2 KLEINES BECKEN PUMPE P3 RM BETRIEB</t>
  </si>
  <si>
    <t>CC2 KLEINES BECKEN PUMPE P3 ALARM</t>
  </si>
  <si>
    <t>CC2 KLEINES BECKEN PUMPE P4 AUTO-BETRIEB</t>
  </si>
  <si>
    <t>CC2 KLEINES BECKEN PUMPE P4 HAND-BETRIEB</t>
  </si>
  <si>
    <t>CC2 KLEINES BECKEN PUMPE P4 RM BETRIEB</t>
  </si>
  <si>
    <t>CC2 KLEINES BECKEN PUMPE P4 ALARM</t>
  </si>
  <si>
    <t>CC2 KLEINES BECKEN ANALYSE PUMPE P11 ALARM</t>
  </si>
  <si>
    <t>CC2 KLEINES BECKEN EVAKUIERUNGSVENTIL ABWASSERKANAL V02 RM AUF X035 (OPTION)</t>
  </si>
  <si>
    <t>CC2 KLEINES BECKEN EVAKUIERUNGSVENTIL ABWASSERKANAL V02 RM ZU X035 (OPTION)</t>
  </si>
  <si>
    <t>CC2 KLEINES BECKEN VENTIL V05FILTER 1 1. FILTRAT IN KANALISATION X051 RM AUF</t>
  </si>
  <si>
    <t>CC2 KLEINES BECKEN VENTIL V05FILTER 1 1. FILTRAT IN KANALISATION X051 RM ZU</t>
  </si>
  <si>
    <t>CC2 KLEINES BECKEN ABLASSVENTIL 1 V056 RM AUF X033</t>
  </si>
  <si>
    <t>CC2 KLEINES BECKEN ABLASSVENTIL 1 V056 RM ZU X033</t>
  </si>
  <si>
    <t>CC2 KLEINES BECKEN ABLASSVENTIL 2 V057 RM AUF X034</t>
  </si>
  <si>
    <t>CC2 KLEINES BECKEN ABLASSVENTIL 2 V057 RM ZU X034</t>
  </si>
  <si>
    <t>CC2 KLEINES BECKEN WASCHVENTIL V02 ÜBERLAUFRINNE 1 X035 RM AUF</t>
  </si>
  <si>
    <t>CC2 KLEINES BECKEN WASCHVENTIL V02 ÜBERLAUFRINNE 1 X035 RM ZU</t>
  </si>
  <si>
    <t>Frei</t>
  </si>
  <si>
    <t>CC2 KLEINES BECKEN VORGESCHALTETES ABSPERRVENTIL V050 PUMPE P3 RM AUF X019</t>
  </si>
  <si>
    <t>CC2 KLEINES BECKEN VORGESCHALTETES ABSPERRVENTIL V050 PUMPE P3 RM ZU X019</t>
  </si>
  <si>
    <t>CC2 KLEINES BECKEN NACHGESCHALTETES ABSPERRVENTIL V051 PUMPE P3 RM AUF X020</t>
  </si>
  <si>
    <t>CC2 KLEINES BECKEN NACHGESCHALTETES ABSPERRVENTIL V051 PUMPE P3 RM ZU X020</t>
  </si>
  <si>
    <t>CC2 KLEINES BECKEN VORGESCHALTETES ABSPERRVENTIL V052 PUMPE P4 RM AUF X022</t>
  </si>
  <si>
    <t>CC2 KLEINES BECKEN VORGESCHALTETES ABSPERRVENTIL V052 PUMPE P4 RM ZU X022</t>
  </si>
  <si>
    <t>CC2 KLEINES BECKEN NACHGESCHALTETES ABSPERRVENTIL V053 PUMPE P4 RM AUF X021</t>
  </si>
  <si>
    <t>CC2 KLEINES BECKEN NACHGESCHALTETES ABSPERRVENTIL V053 PUMPE P4 RM ZU X021</t>
  </si>
  <si>
    <t>CC2 KLEINES BECKEN ABFLUSSVENTIL V054 PUFFERTANK RM AUF X038</t>
  </si>
  <si>
    <t>CC2 KLEINES BECKEN ABFLUSSVENTIL V054 PUFFERTANK RM ZU X038</t>
  </si>
  <si>
    <t>CC2 KLEINES BECKEN FILTER 1 ROHWASSER-VENTIL V01 RMAUF X002</t>
  </si>
  <si>
    <t>CC2 KLEINES BECKEN FILTER 1 ROHWASSER-VENTIL V01 RM ZU X002</t>
  </si>
  <si>
    <t>CC2 KLEINES BECKEN FILTER 1 GEFILTERTES WASSER VENTIL V02 RM AUF X006</t>
  </si>
  <si>
    <t>CC2 KLEINES BECKEN FILTER 1 GEFILTERTES WASSER VENTIL V02 RM ZU X006</t>
  </si>
  <si>
    <t>CC2 KLEINES BECKEN FILTER 1 SPÜLWASSERVENTIL V03 X004 RM AUF</t>
  </si>
  <si>
    <t>CC2 KLEINES BECKEN FILTER 1 SPÜLWASSERVENTIL V03 X004 RM ZU</t>
  </si>
  <si>
    <t>CC2 KLEINES BECKEN FILTER 1 SCHLAMMAUSLASS-VENTIL V04 RM AUF X001</t>
  </si>
  <si>
    <t>CC2 KLEINES BECKEN FILTER 1 SCHLAMMAUSLASS-VENTIL V04 RM ZU X001</t>
  </si>
  <si>
    <t>CC2 KLEINES BECKEN FILTER 1 VENTIL 1.FILTRAT X005 RM AUF</t>
  </si>
  <si>
    <t>CC2 KLEINES BECKEN FILTER 1 VENTIL 1.FILTRAT X005 RM ZU</t>
  </si>
  <si>
    <t>CC2 KLEINES BECKEN FILTER 1 LUFTWÄSCHE-VENTIL V06 RM AUF X003</t>
  </si>
  <si>
    <t>CC2 KLEINES BECKEN FILTER 1 LUFTWÄSCHE-VENTIL V06 RM ZU X003</t>
  </si>
  <si>
    <t>CC2 KLEINES BECKEN FILTER 2 ROHWASSER-VENTIL V01 RM AUF X007</t>
  </si>
  <si>
    <t>CC2 KLEINES BECKEN FILTER 2 ROHWASSER-VENTIL V01 RM ZU X007</t>
  </si>
  <si>
    <t>CC2 KLEINES BECKEN FILTER 2 GEFILTERTES WASSER VENTIL V02 RM AUF X011</t>
  </si>
  <si>
    <t>CC2 KLEINES BECKEN FILTER 2 GEFILTERTES WASSER VENTIL V02 RM ZU X011</t>
  </si>
  <si>
    <t>CC2 KLEINES BECKEN FILTER 2 SPÜLWASSERVENTIL V03 X010 RM AUF</t>
  </si>
  <si>
    <t>CC2 KLEINES BECKEN FILTER 2 SPÜLWASSERVENTIL V03 X010 RM ZU</t>
  </si>
  <si>
    <t>CC2 KLEINES BECKEN FILTER 2 SCHLAMMAUSLASS-VENTIL V04 RM AUF X006</t>
  </si>
  <si>
    <t>CC2 KLEINES BECKEN FILTER 2 SCHLAMMAUSLASS-VENTIL V04 RM ZU X006</t>
  </si>
  <si>
    <t>CC2 KLEINES BECKEN FILTER 2 VENTIL 2. FILTRAT X012 RM AUF</t>
  </si>
  <si>
    <t>CC2 KLEINES BECKEN FILTER 2 VENTIL 2. FILTRAT X012 RM ZU</t>
  </si>
  <si>
    <t>CC2 KLEINES BECKEN FILTER 2 LUFTWÄSCHE-VENTIL V06 RM AUF X009</t>
  </si>
  <si>
    <t>CC2 KLEINES BECKEN FILTER 2 LUFTWÄSCHE-VENTIL V06 RM ZU X009</t>
  </si>
  <si>
    <t>CC2 KLEINES BECKEN THERMOSTAT MAX.-TEMPERATUR</t>
  </si>
  <si>
    <t>CC2 KLEINES BECKEN VENTIL X027 ENDSCHALTER RM ZU (RESERVE)</t>
  </si>
  <si>
    <t>CC2 KLEINES BECKEN VENTIL X027 ENDSCHALTER RM AUF (RESERVE)</t>
  </si>
  <si>
    <t>CC2 KLEINES BECKEN VENTIL X028 ENDSCHALTER RM ZU (RESERVE)</t>
  </si>
  <si>
    <t>CC2 KLEINES BECKEN VENTIL X028 ENDSCHALTER RM AUF (RESERVE)</t>
  </si>
  <si>
    <t>CC2 KLEINES BECKEN VENTIL X029 ENDSCHALTER RM ZU (RESERVE)</t>
  </si>
  <si>
    <t>CC2 KLEINES BECKEN VENTIL X029 ENDSCHALTER RM AUF (RESERVE)</t>
  </si>
  <si>
    <t>CC2 KLEINES BECKEN IMPULSZÄHLER GROSS STADTWASSER PUFFERTANK</t>
  </si>
  <si>
    <t>CC2 KLEINES BECKEN IMPULSZÄHLER KLEIN STADTWASSER PUFFERTANK</t>
  </si>
  <si>
    <t>CC2 KLEINES BECKEN IMPULSZÄHLER KLEIN BOOSTER GRUPPE</t>
  </si>
  <si>
    <t>CC3 PLANSCHBECKEN FILTER 1 DRUCKMESSUNG 0-10V</t>
  </si>
  <si>
    <t>CC3 PLANSCHBECKEN FILTER 2 DRUCKMESSUNG 0-10V</t>
  </si>
  <si>
    <t>CC3 PLANSCHBECKEN DURCHFLUSS-MESSUNG 0-20mA</t>
  </si>
  <si>
    <t>CC3 PLANSCHBECKEN PUFFERTANK FÜLLSTANDS-MESSUNG</t>
  </si>
  <si>
    <t>CC3 PLANSCHBECKEN MISCHTEMPERATUR</t>
  </si>
  <si>
    <t>CC3 PLANSCHBECKEN BECKENAUSLASS-TEMPERATUR</t>
  </si>
  <si>
    <t>CC3 PLANSCHBECKEN PUMPE P5 RÜCKFÜHRUNG 0-20mA</t>
  </si>
  <si>
    <t>CC3 PLANSCHBECKEN PUMPE P6 RÜCKFÜHRUNG 0-20mA</t>
  </si>
  <si>
    <t>CC3 PLANSCHBECKEN ABSPERRKLAPPE HEIZGRUPPE 1 RM AUF</t>
  </si>
  <si>
    <t>CC3 PLANSCHBECKEN ABSPERRKLAPPE HEIZGRUPPE 1 RM ZU</t>
  </si>
  <si>
    <t>CC3 PLANSCHBECKEN ABSPERRKLAPPE HEIZGRUPPE 2 RM AUF</t>
  </si>
  <si>
    <t>CC3 PLANSCHBECKEN ABSPERRKLAPPE HEIZGRUPPE 2 RM ZU</t>
  </si>
  <si>
    <t>CC3 PLANSCHBECKEN ABSPERRKLAPPE HEIZGRUPPE 3 RM AUF</t>
  </si>
  <si>
    <t>CC3 PLANSCHBECKEN ABSPERRKLAPPE HEIZGRUPPE 3 RM ZU</t>
  </si>
  <si>
    <t>CC3 PLANSCHBECKEN FILTERMODUS AUTO-BETRIEB</t>
  </si>
  <si>
    <t>CC3 PLANSCHBECKEN FILTERMODUS TAG-BETRIEB</t>
  </si>
  <si>
    <t>CC3 PLANSCHBECKEN FILTERMODUS NACHT-BETRIEB</t>
  </si>
  <si>
    <t>CC3 PLANSCHBECKEN FILTER 1 HAND-BETRIEB</t>
  </si>
  <si>
    <t>CC3 PLANSCHBECKEN FILTER 1 AUTO-BETRIEB</t>
  </si>
  <si>
    <t>CC3 PLANSCHBECKEN FILTER 2 HAND-BETRIEB</t>
  </si>
  <si>
    <t>CC3 PLANSCHBECKEN FILTER 2 AUTO-BETRIEB</t>
  </si>
  <si>
    <t>CC3 PLANSCHBECKEN KANALFILTER HAND-BETRIEB</t>
  </si>
  <si>
    <t>CC3 PLANSCHBECKEN KANALFILTER AUTO-BETRIEB</t>
  </si>
  <si>
    <t>CC3 PLANSCHBECKEN PUMPE P5 AUTO-BETRIEB</t>
  </si>
  <si>
    <t>CC3 PLANSCHBECKEN PUMPE P5 HAND-BETRIEB</t>
  </si>
  <si>
    <t>CC3 PLANSCHBECKEN PUMPE P5 RM BETRIEB</t>
  </si>
  <si>
    <t>CC3 PLANSCHBECKEN PUMPE P5 ALARM</t>
  </si>
  <si>
    <t>CC3 PLANSCHBECKEN PUMPE P6 AUTO-BETRIEB</t>
  </si>
  <si>
    <t>CC3 PLANSCHBECKEN PUMPE P6 HAND-BETRIEB</t>
  </si>
  <si>
    <t>CC3 PLANSCHBECKEN PUMPE P6 RM BETRIEB</t>
  </si>
  <si>
    <t>CC3 PLANSCHBECKEN PUMPE P6 ALARM</t>
  </si>
  <si>
    <t>CC3 PLANSCHBECKEN ANALYSE PUMPE P12 ALARM</t>
  </si>
  <si>
    <t>CC3 PLANSCHBECKEN ÜBERLAUFRINNE 1 X035 RM AUF</t>
  </si>
  <si>
    <t>CC3 PLANSCHBECKEN ÜBERLAUFRINNE 1 X035 RM ZU</t>
  </si>
  <si>
    <t>CC3 PLANSCHBECKEN VORGESCHALTETES ABSPERRVENTIL V050 PUMPE P5 RM AUF</t>
  </si>
  <si>
    <t>CC3 PLANSCHBECKEN VORGESCHALTETES ABSPERRVENTIL V050 PUMPE P5 RM ZU</t>
  </si>
  <si>
    <t>CC3 PLANSCHBECKEN NACHGESCHALTETES ABSPERRVENTIL V051 PUMPE P5 RM AUF</t>
  </si>
  <si>
    <t>WD</t>
  </si>
  <si>
    <t>CC3 PLANSCHBECKEN NACHGESCHALTETES ABSPERRVENTIL V051 PUMPE P5 RM ZU</t>
  </si>
  <si>
    <t>CC3 PLANSCHBECKEN VORGESCHALTETES ABSPERRVENTIL V052 PUMPE P6 RM AUF</t>
  </si>
  <si>
    <t>CC3 PLANSCHBECKEN VORGESCHALTETES ABSPERRVENTIL V052 PUMPE P6 RM ZU</t>
  </si>
  <si>
    <t>CC3 PLANSCHBECKEN NACHGESCHALTETES ABSPERRVENTIL V053 PUMPE P6 RM AUF</t>
  </si>
  <si>
    <t>CC3 PLANSCHBECKEN NACHGESCHALTETES ABSPERRVENTIL V053 PUMPE P6 RM ZU</t>
  </si>
  <si>
    <t>CC3 PLANSCHBECKEN ABLASSVENTIL V054 PUFFERBEHÄLTER RM AUF</t>
  </si>
  <si>
    <t>CC3 PLANSCHBECKEN ABLASSVENTIL V054 PUFFERBEHÄLTER RM ZU</t>
  </si>
  <si>
    <t>CC3 PLANSCHBECKEN ABLASSVENTIL V056 PLANSCHBECKEN RM AUF</t>
  </si>
  <si>
    <t>CC3 PLANSCHBECKEN ABLASSVENTIL V056 PLANSCHBECKEN RM ZU</t>
  </si>
  <si>
    <t>CC3 PLANSCHBECKEN FILTER 1 MEHRWEGVENTIL RÜCKMELDUNG</t>
  </si>
  <si>
    <t>CC3 PLANSCHBECKEN FILTER 2 MEHRWEGVENTIL RÜCKMELDUNG</t>
  </si>
  <si>
    <t>CC3 PLANSCHBECKEN IMPULSZÄHLER GROSS STADTWASSER PUFFERTANK</t>
  </si>
  <si>
    <t>CC3 PLANSCHBECKEN IMPULSZÄHLER KLEIN STADTWASSER PUFFERTANK</t>
  </si>
  <si>
    <t>CC3 PLANSCHBECKEN IMPULSZÄHLER STADTWASSER SANITÄRBEHÄLTER</t>
  </si>
  <si>
    <t>CC3 PLANSCHBECKEN THERMOSTAT MAX.-TEMPERATUR</t>
  </si>
  <si>
    <t>CC2 KLEINES BECKEN PUMPE P3</t>
  </si>
  <si>
    <t>MRDOC1_1</t>
  </si>
  <si>
    <t>CC2 KLEINES BECKEN PUMPE P4</t>
  </si>
  <si>
    <t>MRDOC1_2</t>
  </si>
  <si>
    <t>CC2 KLEINES BECKEN ANALYSE PUMPE P11</t>
  </si>
  <si>
    <t>MRDOC1_3</t>
  </si>
  <si>
    <t>CC2 KLEINES BECKEN EVAKUIERUNGSVENTIL ABWASSERKANAL V02 X035 (OPTION)</t>
  </si>
  <si>
    <t>MRDOC1_4</t>
  </si>
  <si>
    <t>CC2 KLEINES BECKEN ABSPERRVENTIL V03 RÜCKGEWINNUNG SANITÄRBEHÄLTER X050</t>
  </si>
  <si>
    <t>MRDOC2_1</t>
  </si>
  <si>
    <t>CC2 KLEINES BECKEN VENTIL V05FILTER 1 1. FILTRAT IN KANALISATION X051</t>
  </si>
  <si>
    <t>MRDOC2_2</t>
  </si>
  <si>
    <t>CC2 KLEINES BECKEN WASCHVENTIL V02 ÜBERLAUFRINNE 1 X035</t>
  </si>
  <si>
    <t>MRDOC2_3</t>
  </si>
  <si>
    <t>MRDOC2_4</t>
  </si>
  <si>
    <t>CC2 KLEINES BECKEN FRISCHWASSERVENTIL V01 GROSS PUFFERTANK X052</t>
  </si>
  <si>
    <t>MRDOC3_1</t>
  </si>
  <si>
    <t>CC2 KLEINES BECKEN EINLASSVENTIL V03 KLEIN PUFFERTANK X051</t>
  </si>
  <si>
    <t>MRDOC3_2</t>
  </si>
  <si>
    <t>MRDOC3_3</t>
  </si>
  <si>
    <t>CC2 KLEINES BECKEN FILTER 1 ROHWASSERVENTIL V01 X002</t>
  </si>
  <si>
    <t>MRDOC3_4</t>
  </si>
  <si>
    <t>CC2 KLEINES BECKEN FILTER 1 GEFILTERTES WASSER VENTIL V02 X006</t>
  </si>
  <si>
    <t>MRDOC4_1</t>
  </si>
  <si>
    <t>CC2 KLEINES BECKEN FILTER 1 SPÜLWASSERVENTIL V03 X004</t>
  </si>
  <si>
    <t>MRDOC4_2</t>
  </si>
  <si>
    <t>CC2 KLEINES BECKEN FILTER 1 SCHLAMMAUSLASSVENTIL V04 X001</t>
  </si>
  <si>
    <t>MRDOC4_3</t>
  </si>
  <si>
    <t>CC2 KLEINES BECKEN FILTER 1 VENTIL 1.FILTRAT X005</t>
  </si>
  <si>
    <t>MRDOC4_4</t>
  </si>
  <si>
    <t>CC2 KLEINES BECKEN FILTER 1 LUFTWÄSCHEVENTIL V06 X003</t>
  </si>
  <si>
    <t>MRDOC5_1</t>
  </si>
  <si>
    <t>CC2 KLEINES BECKEN FILTER 2 ROHWASSERVENTIL V01 X007</t>
  </si>
  <si>
    <t>MRDOC5_2</t>
  </si>
  <si>
    <t>CC2 KLEINES BECKEN FILTER 2 GEFILTERTES WASSER VENTIL V02 X011</t>
  </si>
  <si>
    <t>MRDOC5_3</t>
  </si>
  <si>
    <t>CC2 KLEINES BECKEN FILTER 2 SPÜLWASSERVENTIL V03 X010</t>
  </si>
  <si>
    <t>MRDOC5_4</t>
  </si>
  <si>
    <t>CC2 KLEINES BECKEN FILTER 2 SCHLAMMAUSLASSVENTIL V04 X006</t>
  </si>
  <si>
    <t>MRDOC6_1</t>
  </si>
  <si>
    <t>CC2 KLEINES BECKEN FILTER 2 VENTIL 2. FILTRAT X012</t>
  </si>
  <si>
    <t>MRDOC6_2</t>
  </si>
  <si>
    <t>CC2 KLEINES BECKEN FILTER 2 LUFTWÄSCHEVENTIL V06 X009</t>
  </si>
  <si>
    <t>MRDOC6_3</t>
  </si>
  <si>
    <t>CC2 KLEINES BECKEN ANFORDERUNG HEIZUNG</t>
  </si>
  <si>
    <t>MRDOC6_4</t>
  </si>
  <si>
    <t>CC2 KLEINES BECKEN MELDUNG NACH EXTERN KANALVENTIL GEÖFFNET</t>
  </si>
  <si>
    <t>MRDOC7_1</t>
  </si>
  <si>
    <t>CC2 KLEINES BECKEN DOSIERANLAGE FREIGABE</t>
  </si>
  <si>
    <t>MRDOC7_2</t>
  </si>
  <si>
    <t>CC3 PLANSCHBECKEN DOSIERANLAGE FREIGABE</t>
  </si>
  <si>
    <t>MRDOC7_3</t>
  </si>
  <si>
    <t>MRDOC7_4</t>
  </si>
  <si>
    <t>CC3 PLANSCHBECKEN PUMPE P5</t>
  </si>
  <si>
    <t>MRDOC8_1</t>
  </si>
  <si>
    <t>CC3 PLANSCHBECKEN PUMPE P6</t>
  </si>
  <si>
    <t>MRDOC8_2</t>
  </si>
  <si>
    <t xml:space="preserve">CC3 PLANSCHBECKEN ANALYSE PUMPE P12 </t>
  </si>
  <si>
    <t>MRDOC8_3</t>
  </si>
  <si>
    <t>CC3 PLANSCHBECKEN ÜBERLAUFRINNE 1 X035</t>
  </si>
  <si>
    <t>MRDOC8_4</t>
  </si>
  <si>
    <t>CC3 PLANSCHBECKEN FRISCHWASSERVENTIL V01 GROSS PUFFERTANK X052</t>
  </si>
  <si>
    <t>MRDOC9_1</t>
  </si>
  <si>
    <t>CC3 PLANSCHBECKEN EINLASSVENTIL V03 KLEIN PUFFERTANK X051</t>
  </si>
  <si>
    <t>MRDOC9_2</t>
  </si>
  <si>
    <t>CC3 PLANSCHBECKEN AUSLASSVENTIL 30L V03 RÜCKGEWINNUNG SANITÄRBEHÄLTER X050</t>
  </si>
  <si>
    <t>MRDOC9_3</t>
  </si>
  <si>
    <t>CC3 PLANSCHBECKEN FILTER 1 MEHRWEGVENTIL ZU</t>
  </si>
  <si>
    <t>MRDOC9_4</t>
  </si>
  <si>
    <t>MRDOC10_1</t>
  </si>
  <si>
    <t>CC3 PLANSCHBECKEN FILTER 1 MEHRWEGVENTIL FILTERN</t>
  </si>
  <si>
    <t>MRDOC10_2</t>
  </si>
  <si>
    <t>CC3 PLANSCHBECKEN FILTER 1 MEHRWEGVENTIL RÜCKSPÜLUNG</t>
  </si>
  <si>
    <t>MRDOC10_3</t>
  </si>
  <si>
    <t>CC3 PLANSCHBECKEN FILTER 1 MEHRWEGVENTIL ERSTES FILTRAT</t>
  </si>
  <si>
    <t>MRDOC10_4</t>
  </si>
  <si>
    <t>CC3 PLANSCHBECKEN FILTER 2 MEHRWEGVENTIL ZU</t>
  </si>
  <si>
    <t>MRDOC11_1</t>
  </si>
  <si>
    <t>CC3 PLANSCHBECKEN FILTER 2 MEHRWEGVENTIL FILTERN</t>
  </si>
  <si>
    <t>MRDOC11_2</t>
  </si>
  <si>
    <t>CC3 PLANSCHBECKEN FILTER 2 MEHRWEGVENTIL RÜCKSPÜLUNG</t>
  </si>
  <si>
    <t>MRDOC11_3</t>
  </si>
  <si>
    <t>CC3 PLANSCHBECKEN FILTER 2 MEHRWEGVENTIL ERSTES FILTRAT</t>
  </si>
  <si>
    <t>MRDOC11_4</t>
  </si>
  <si>
    <t>CC3 PLANSCHBECKEN ANFORDERUNG HEIZUNG</t>
  </si>
  <si>
    <t>MRDOC12_1</t>
  </si>
  <si>
    <t>CC3 PLANSCHBECKEN MELDUNG NACH EXTERN KANALVENTIL GEÖFFNET</t>
  </si>
  <si>
    <t>MRDOC12_2</t>
  </si>
  <si>
    <t>MRDOC12_3</t>
  </si>
  <si>
    <t>MRDOC12_4</t>
  </si>
  <si>
    <t>CC2 KLEINES BECKEN PUMPE P3 STELLSIGNAL 0-10V</t>
  </si>
  <si>
    <t>MRAOC13_1</t>
  </si>
  <si>
    <t>CC2 KLEINES BECKEN PUMPE P4 STELLSIGNAL 0-10V</t>
  </si>
  <si>
    <t>MRAOC13_2</t>
  </si>
  <si>
    <t>MRAOC13_3</t>
  </si>
  <si>
    <t>MRAOC13_4</t>
  </si>
  <si>
    <t>CC3 PLANSCHBECKEN PUMPE P5 STELLSIGNAL 0-10V</t>
  </si>
  <si>
    <t>MRAOC14_1</t>
  </si>
  <si>
    <t>CC3 PLANSCHBECKEN PUMPE P6 STELLSIGNAL 0-10V</t>
  </si>
  <si>
    <t>MRAOC14_2</t>
  </si>
  <si>
    <t>MRAOC14_3</t>
  </si>
  <si>
    <t>MRAOC14_4</t>
  </si>
  <si>
    <t>DRK</t>
  </si>
  <si>
    <t>ME001</t>
  </si>
  <si>
    <t>XXX</t>
  </si>
  <si>
    <t>NSB</t>
  </si>
  <si>
    <t>BSB</t>
  </si>
  <si>
    <t>E-Schema</t>
  </si>
  <si>
    <t>DUF</t>
  </si>
  <si>
    <t>Z103</t>
  </si>
  <si>
    <t>Z203</t>
  </si>
  <si>
    <t>101A1</t>
  </si>
  <si>
    <t>-63A1</t>
  </si>
  <si>
    <t>-62B1</t>
  </si>
  <si>
    <t>-62B2</t>
  </si>
  <si>
    <t>FUE</t>
  </si>
  <si>
    <t>-64B1</t>
  </si>
  <si>
    <t>102B1</t>
  </si>
  <si>
    <t>TMP</t>
  </si>
  <si>
    <t>F101</t>
  </si>
  <si>
    <t>STW</t>
  </si>
  <si>
    <t>ASG</t>
  </si>
  <si>
    <t>SM001</t>
  </si>
  <si>
    <t>F201</t>
  </si>
  <si>
    <t>178F1</t>
  </si>
  <si>
    <t>167B2</t>
  </si>
  <si>
    <t>100B1</t>
  </si>
  <si>
    <t>100B2</t>
  </si>
  <si>
    <t>200B1</t>
  </si>
  <si>
    <t>200B2</t>
  </si>
  <si>
    <t>207F1</t>
  </si>
  <si>
    <t>PUM</t>
  </si>
  <si>
    <t>LET</t>
  </si>
  <si>
    <t>M101</t>
  </si>
  <si>
    <t>-22M1</t>
  </si>
  <si>
    <t>AUT</t>
  </si>
  <si>
    <t>BM001</t>
  </si>
  <si>
    <t>HND</t>
  </si>
  <si>
    <t>EIN</t>
  </si>
  <si>
    <t>-39A1</t>
  </si>
  <si>
    <t>-40A1</t>
  </si>
  <si>
    <t>AKL</t>
  </si>
  <si>
    <t>AUF</t>
  </si>
  <si>
    <t>ZU_</t>
  </si>
  <si>
    <t>X119</t>
  </si>
  <si>
    <t>X120</t>
  </si>
  <si>
    <t>M102</t>
  </si>
  <si>
    <t>-24M1</t>
  </si>
  <si>
    <t>-41A1</t>
  </si>
  <si>
    <t>-42A1</t>
  </si>
  <si>
    <t>X122</t>
  </si>
  <si>
    <t>X121</t>
  </si>
  <si>
    <t>ELT</t>
  </si>
  <si>
    <t>F007</t>
  </si>
  <si>
    <t>F008</t>
  </si>
  <si>
    <t>HAS</t>
  </si>
  <si>
    <t>TAS</t>
  </si>
  <si>
    <t>PHC</t>
  </si>
  <si>
    <t>SIC</t>
  </si>
  <si>
    <t>NAS</t>
  </si>
  <si>
    <t>FEU</t>
  </si>
  <si>
    <t>XSP</t>
  </si>
  <si>
    <t>YB001</t>
  </si>
  <si>
    <t>M201</t>
  </si>
  <si>
    <t>M202</t>
  </si>
  <si>
    <t>SB001</t>
  </si>
  <si>
    <t>TAG</t>
  </si>
  <si>
    <t>NAB</t>
  </si>
  <si>
    <t>FIL</t>
  </si>
  <si>
    <t>S201</t>
  </si>
  <si>
    <t>M103</t>
  </si>
  <si>
    <t>M203</t>
  </si>
  <si>
    <t>-26M1</t>
  </si>
  <si>
    <t>-76M1</t>
  </si>
  <si>
    <t>PSDUS0202</t>
  </si>
  <si>
    <t>L_test</t>
  </si>
  <si>
    <t>Datenpunktliste</t>
  </si>
  <si>
    <t>Modulliste</t>
  </si>
  <si>
    <t>Inbetriebnahme</t>
  </si>
  <si>
    <t>Datenbanken</t>
  </si>
  <si>
    <t>PromosNT</t>
  </si>
  <si>
    <t>Import</t>
  </si>
  <si>
    <t>Info-Blatt</t>
  </si>
  <si>
    <t>Config-Blatt</t>
  </si>
  <si>
    <t>cmd_DP_Liste</t>
  </si>
  <si>
    <t>cmd_Modulliste</t>
  </si>
  <si>
    <t>cmd_Inbetriebnahme</t>
  </si>
  <si>
    <t>cmd_database</t>
  </si>
  <si>
    <t>cmd_Promos</t>
  </si>
  <si>
    <t>cmd_Import</t>
  </si>
  <si>
    <t>cmd_Info</t>
  </si>
  <si>
    <t>cmd_cfg</t>
  </si>
  <si>
    <t>Sonstiges</t>
  </si>
  <si>
    <t>cmd_Sonstige</t>
  </si>
  <si>
    <t>S202</t>
  </si>
  <si>
    <t>S203</t>
  </si>
  <si>
    <t>S211</t>
  </si>
  <si>
    <t>-72M1</t>
  </si>
  <si>
    <t>-74M1</t>
  </si>
  <si>
    <t>-20S3</t>
  </si>
  <si>
    <t>-20S1</t>
  </si>
  <si>
    <t>-70S2</t>
  </si>
  <si>
    <t>-70S3</t>
  </si>
  <si>
    <t>-71S1</t>
  </si>
  <si>
    <t>X219</t>
  </si>
  <si>
    <t>X220</t>
  </si>
  <si>
    <t>X222</t>
  </si>
  <si>
    <t>X221</t>
  </si>
  <si>
    <t>-83A1</t>
  </si>
  <si>
    <t>-84A1</t>
  </si>
  <si>
    <t>-85A1</t>
  </si>
  <si>
    <t>-86A1</t>
  </si>
  <si>
    <t>X133</t>
  </si>
  <si>
    <t>-33A1</t>
  </si>
  <si>
    <t>X134</t>
  </si>
  <si>
    <t>-34A1</t>
  </si>
  <si>
    <t>-87A1</t>
  </si>
  <si>
    <t>X234</t>
  </si>
  <si>
    <t>-89A1</t>
  </si>
  <si>
    <t>X233</t>
  </si>
  <si>
    <t>X102</t>
  </si>
  <si>
    <t>X107</t>
  </si>
  <si>
    <t>-47A1</t>
  </si>
  <si>
    <t>-53A1</t>
  </si>
  <si>
    <t>X106</t>
  </si>
  <si>
    <t>X111</t>
  </si>
  <si>
    <t>-48A1</t>
  </si>
  <si>
    <t>-54A1</t>
  </si>
  <si>
    <t>X104</t>
  </si>
  <si>
    <t>X110</t>
  </si>
  <si>
    <t>-49A1</t>
  </si>
  <si>
    <t>-55A1</t>
  </si>
  <si>
    <t>Z101</t>
  </si>
  <si>
    <t>-65P1</t>
  </si>
  <si>
    <t>Z102</t>
  </si>
  <si>
    <t>-65P2</t>
  </si>
  <si>
    <t>WAZ</t>
  </si>
  <si>
    <t>IMP</t>
  </si>
  <si>
    <t>Z201</t>
  </si>
  <si>
    <t>Z202</t>
  </si>
  <si>
    <t>103P1</t>
  </si>
  <si>
    <t>103P2</t>
  </si>
  <si>
    <t>Z204</t>
  </si>
  <si>
    <t>X135</t>
  </si>
  <si>
    <t>-35A1</t>
  </si>
  <si>
    <t>-80A1</t>
  </si>
  <si>
    <t>X235</t>
  </si>
  <si>
    <t>ABF</t>
  </si>
  <si>
    <t>X113</t>
  </si>
  <si>
    <t>-43A1</t>
  </si>
  <si>
    <t>X138</t>
  </si>
  <si>
    <t>X101</t>
  </si>
  <si>
    <t>X108</t>
  </si>
  <si>
    <t>-50A1</t>
  </si>
  <si>
    <t>-56A1</t>
  </si>
  <si>
    <t>X105</t>
  </si>
  <si>
    <t>-32A1</t>
  </si>
  <si>
    <t>-51A1</t>
  </si>
  <si>
    <t>X112</t>
  </si>
  <si>
    <t>-57A1</t>
  </si>
  <si>
    <t>X103</t>
  </si>
  <si>
    <t>X109</t>
  </si>
  <si>
    <t>-52A1</t>
  </si>
  <si>
    <t>Z104</t>
  </si>
  <si>
    <t>-65B3</t>
  </si>
  <si>
    <t>ZAE</t>
  </si>
  <si>
    <t>-90A1</t>
  </si>
  <si>
    <t>-90A2</t>
  </si>
  <si>
    <t>-90A3</t>
  </si>
  <si>
    <t>-70S1</t>
  </si>
  <si>
    <t>X202</t>
  </si>
  <si>
    <t>X207</t>
  </si>
  <si>
    <t>POS</t>
  </si>
  <si>
    <t>RM001</t>
  </si>
  <si>
    <t>110M1</t>
  </si>
  <si>
    <t>111M1</t>
  </si>
  <si>
    <t>ALG</t>
  </si>
  <si>
    <t>-30A1</t>
  </si>
  <si>
    <t>-31A1</t>
  </si>
  <si>
    <t>RGW</t>
  </si>
  <si>
    <t>X150</t>
  </si>
  <si>
    <t>AVT</t>
  </si>
  <si>
    <t>X152</t>
  </si>
  <si>
    <t>-37A1</t>
  </si>
  <si>
    <t>X151</t>
  </si>
  <si>
    <t>-38A1</t>
  </si>
  <si>
    <t>ANF</t>
  </si>
  <si>
    <t>H001</t>
  </si>
  <si>
    <t>HVE</t>
  </si>
  <si>
    <t>AFH</t>
  </si>
  <si>
    <t>K001</t>
  </si>
  <si>
    <t>MOT</t>
  </si>
  <si>
    <t>ANL</t>
  </si>
  <si>
    <t>S001</t>
  </si>
  <si>
    <t>SSM</t>
  </si>
  <si>
    <t>-58A1</t>
  </si>
  <si>
    <t>X252</t>
  </si>
  <si>
    <t>-81A1</t>
  </si>
  <si>
    <t>X251</t>
  </si>
  <si>
    <t>-82A1</t>
  </si>
  <si>
    <t>-88A1</t>
  </si>
  <si>
    <t>X250</t>
  </si>
  <si>
    <t>SB002</t>
  </si>
  <si>
    <t>SB003</t>
  </si>
  <si>
    <t>SB004</t>
  </si>
  <si>
    <t>-84M1</t>
  </si>
  <si>
    <t>-85M1</t>
  </si>
  <si>
    <t>104A1</t>
  </si>
  <si>
    <t>-71A1</t>
  </si>
  <si>
    <t>-66A1</t>
  </si>
  <si>
    <t>-21A1</t>
  </si>
  <si>
    <t>-26A1</t>
  </si>
  <si>
    <t>-76A1</t>
  </si>
  <si>
    <t>SAMMELSTÖRUNG (RESET)</t>
  </si>
  <si>
    <t>SAMMELSTÖRUNG (Leuchte)</t>
  </si>
  <si>
    <t>localhost</t>
  </si>
  <si>
    <t>192.168.25.107</t>
  </si>
  <si>
    <t>PSDUS0202:NSB:B104:DRK:XXX:ME001</t>
  </si>
  <si>
    <t>F.IO.Slot4.DigitalOutput0</t>
  </si>
  <si>
    <t>PSDUS0202:NSB:B105:DRK:XXX:ME001</t>
  </si>
  <si>
    <t>F.IO.Slot4.DigitalOutput1</t>
  </si>
  <si>
    <t>PSDUS0202:NSB:Z103:DUF:XXX:ME001</t>
  </si>
  <si>
    <t>F.IO.Slot4.DigitalOutput2</t>
  </si>
  <si>
    <t>PSDUS0202:NSB:B101:DRK:FUE:ME001</t>
  </si>
  <si>
    <t>F.IO.Slot4.DigitalOutput3</t>
  </si>
  <si>
    <t>PSDUS0202:NSB:B103:TMP:XXX:ME001</t>
  </si>
  <si>
    <t>F.IO.Slot4.DigitalOutput5</t>
  </si>
  <si>
    <t>PSDUS0202:NSB:B102:TMP:XXX:ME001</t>
  </si>
  <si>
    <t>F.IO.Slot4.DigitalOutput6</t>
  </si>
  <si>
    <t>F.IO.Slot7.DigitalInput2</t>
  </si>
  <si>
    <t>F.IO.Slot7.DigitalInput3</t>
  </si>
  <si>
    <t>F.IO.Slot7.DigitalInput4</t>
  </si>
  <si>
    <t>001</t>
  </si>
  <si>
    <t>PSDUS0202:NSB:M101:PUM:001</t>
  </si>
  <si>
    <t>https://dl.dropboxusercontent.com/s/k6uf705scpf92tc/GeneralPurpose.zip</t>
  </si>
  <si>
    <t>Workbook_BeforeClose</t>
  </si>
  <si>
    <t>Workbook_Open</t>
  </si>
  <si>
    <t>Tabelle1</t>
  </si>
  <si>
    <t>Tabelle4</t>
  </si>
  <si>
    <t>Tabelle3</t>
  </si>
  <si>
    <t>Tabelle2</t>
  </si>
  <si>
    <t>Tabelle5</t>
  </si>
  <si>
    <t>Tabelle6</t>
  </si>
  <si>
    <t>Tabelle7</t>
  </si>
  <si>
    <t>Tabelle9</t>
  </si>
  <si>
    <t>Tabelle8</t>
  </si>
  <si>
    <t>Tabelle10</t>
  </si>
  <si>
    <t>Tabelle11</t>
  </si>
  <si>
    <t>Tabelle12</t>
  </si>
  <si>
    <t>Tabelle13</t>
  </si>
  <si>
    <t>Tabelle14</t>
  </si>
  <si>
    <t>Tabelle15</t>
  </si>
  <si>
    <t>Tabelle16</t>
  </si>
  <si>
    <t>Tabelle17</t>
  </si>
  <si>
    <t>Tabelle18</t>
  </si>
  <si>
    <t>Tabelle19</t>
  </si>
  <si>
    <t>Tabelle20</t>
  </si>
  <si>
    <t>Tabelle21</t>
  </si>
  <si>
    <t>Tabelle22</t>
  </si>
  <si>
    <t>Tabelle23</t>
  </si>
  <si>
    <t>Tabelle24</t>
  </si>
  <si>
    <t>Tabelle25</t>
  </si>
  <si>
    <t>Label1_Click</t>
  </si>
  <si>
    <t>Label2_Click</t>
  </si>
  <si>
    <t>Tabelle26</t>
  </si>
  <si>
    <t>Tabelle27</t>
  </si>
  <si>
    <t>Tabelle28</t>
  </si>
  <si>
    <t>All_Sync</t>
  </si>
  <si>
    <t>Ribbon_Update</t>
  </si>
  <si>
    <t>ImportModulesWarn</t>
  </si>
  <si>
    <t>ExportModules</t>
  </si>
  <si>
    <t>ExportProjectSpecificModules</t>
  </si>
  <si>
    <t>ExportMiscModules</t>
  </si>
  <si>
    <t>ExportModulesTargeted</t>
  </si>
  <si>
    <t>importImpossible</t>
  </si>
  <si>
    <t>ImportModules</t>
  </si>
  <si>
    <t>mWarnForOrphans</t>
  </si>
  <si>
    <t>mGetOrphanedModulesAsString</t>
  </si>
  <si>
    <t>mGetOrphanedModuleNames</t>
  </si>
  <si>
    <t>mIsOrphanedName</t>
  </si>
  <si>
    <t>ImportProjectSpecificModules</t>
  </si>
  <si>
    <t>ImportMiscModules</t>
  </si>
  <si>
    <t>ImportModulesTargeted</t>
  </si>
  <si>
    <t>tryRemoveModuleByName</t>
  </si>
  <si>
    <t>testCreateFolderWithVBAFiles</t>
  </si>
  <si>
    <t>createFolderWithProjectSpecificVBAFiles</t>
  </si>
  <si>
    <t>createFolderWithVBAMiscFiles</t>
  </si>
  <si>
    <t>createFolderWithVBAFiles</t>
  </si>
  <si>
    <t>getWorkingDirPath</t>
  </si>
  <si>
    <t>testGetSyncPropertyValue</t>
  </si>
  <si>
    <t>getFolderWithProjectSpecificVbaFiles</t>
  </si>
  <si>
    <t>getFolderWithVbaMiscFiles</t>
  </si>
  <si>
    <t>getSyncPropertyValue</t>
  </si>
  <si>
    <t>testGetGenSyncListFullName</t>
  </si>
  <si>
    <t>getGenSyncListFullName</t>
  </si>
  <si>
    <t>testGetInputStream</t>
  </si>
  <si>
    <t>getConfigInputStream</t>
  </si>
  <si>
    <t>getConfigFileFullPath</t>
  </si>
  <si>
    <t>testIsWhiteListed</t>
  </si>
  <si>
    <t>isWhiteListed</t>
  </si>
  <si>
    <t>mStringInArray</t>
  </si>
  <si>
    <t>raiseError</t>
  </si>
  <si>
    <t>testMiscWhiteList</t>
  </si>
  <si>
    <t>miscWhiteList</t>
  </si>
  <si>
    <t>getMiscWhitelistInputStream</t>
  </si>
  <si>
    <t>testSpecificWhiteList</t>
  </si>
  <si>
    <t>specificWhiteList</t>
  </si>
  <si>
    <t>getSpecificWhitelistInputStream</t>
  </si>
  <si>
    <t>getSpecificWhitelistFileFullPath</t>
  </si>
  <si>
    <t>getInputStream</t>
  </si>
  <si>
    <t>testgetWorkingDirPath</t>
  </si>
  <si>
    <t>raiseErrorSync</t>
  </si>
  <si>
    <t>dropbox_downloader</t>
  </si>
  <si>
    <t>aktuellerStandHochladen</t>
  </si>
  <si>
    <t>Upload2Dropbox</t>
  </si>
  <si>
    <t>Unzip</t>
  </si>
  <si>
    <t>ZipPacken</t>
  </si>
  <si>
    <t>Update_reinigen</t>
  </si>
  <si>
    <t>MakroListe</t>
  </si>
  <si>
    <t>AUTO_AKS</t>
  </si>
  <si>
    <t>AKS_AutoFill</t>
  </si>
  <si>
    <t>Form_Belegung</t>
  </si>
  <si>
    <t>cmd_abgleich_Click</t>
  </si>
  <si>
    <t>cmd_csv_Click</t>
  </si>
  <si>
    <t>cmd_del_SlotErweiterung_Click</t>
  </si>
  <si>
    <t>cmd_exit_Click</t>
  </si>
  <si>
    <t>cmd_format_Click</t>
  </si>
  <si>
    <t>cmd_Import_Click</t>
  </si>
  <si>
    <t>cmd_Modul_reset_Click</t>
  </si>
  <si>
    <t>cmd_Namen_Plist_Click</t>
  </si>
  <si>
    <t>cmd_neu_Click</t>
  </si>
  <si>
    <t>cmd_objekte_Click</t>
  </si>
  <si>
    <t>cmd_transfer_Click</t>
  </si>
  <si>
    <t>Command_Info_Click</t>
  </si>
  <si>
    <t>CommandButton1_Click</t>
  </si>
  <si>
    <t>List_EM_Change</t>
  </si>
  <si>
    <t>List_Erweiterung_DblClick</t>
  </si>
  <si>
    <t>List_Module_Click</t>
  </si>
  <si>
    <t>List_Module_DblClick</t>
  </si>
  <si>
    <t>ListBox_Slot_Modul_Change</t>
  </si>
  <si>
    <t>ListBox_Slot_Modul_Click</t>
  </si>
  <si>
    <t>ListSlot_Change</t>
  </si>
  <si>
    <t>ListSlot_Click</t>
  </si>
  <si>
    <t>UserForm_Initialize</t>
  </si>
  <si>
    <t>Form_Blatmanager</t>
  </si>
  <si>
    <t>Farbe_ScrollBar</t>
  </si>
  <si>
    <t>cmd_cfg_Click</t>
  </si>
  <si>
    <t>cmd_database_Click</t>
  </si>
  <si>
    <t>cmd_DP_Liste_Click</t>
  </si>
  <si>
    <t>cmd_Inbetriebnahme_Click</t>
  </si>
  <si>
    <t>cmd_Info_Click</t>
  </si>
  <si>
    <t>cmd_Modulliste_Click</t>
  </si>
  <si>
    <t>cmd_Promos_Click</t>
  </si>
  <si>
    <t>cmd_Sonstige_Click</t>
  </si>
  <si>
    <t>ScrollBar_B_Change</t>
  </si>
  <si>
    <t>ScrollBar_G_Change</t>
  </si>
  <si>
    <t>ScrollBar_R_Change</t>
  </si>
  <si>
    <t>cmd_Farbmix_Click</t>
  </si>
  <si>
    <t>GruppenBehandlung</t>
  </si>
  <si>
    <t>cmd_Gruppe_refresh_Click</t>
  </si>
  <si>
    <t>Farbe_einstellen</t>
  </si>
  <si>
    <t>Form_BMKZ_cfg</t>
  </si>
  <si>
    <t>ComboBMKZ_Change</t>
  </si>
  <si>
    <t>Form_BMKZ_sync</t>
  </si>
  <si>
    <t>cmd_sync_Click</t>
  </si>
  <si>
    <t>Form_Import</t>
  </si>
  <si>
    <t>cmd_ausKabelzugliste_Click</t>
  </si>
  <si>
    <t>cmd_visioImport_Click</t>
  </si>
  <si>
    <t>UserForm_Click</t>
  </si>
  <si>
    <t>Form_Menu</t>
  </si>
  <si>
    <t>cmd_Namen_json_Click</t>
  </si>
  <si>
    <t>cmd_Slot_Click</t>
  </si>
  <si>
    <t>UserForm_Activate</t>
  </si>
  <si>
    <t>Form_Namen</t>
  </si>
  <si>
    <t>cmd_del_all_Click</t>
  </si>
  <si>
    <t>cmd_DMS_add_Click</t>
  </si>
  <si>
    <t>cmd_DMS_del_Click</t>
  </si>
  <si>
    <t>ListBox_DMS_Auswahl_Change</t>
  </si>
  <si>
    <t>ListBox_Namen_auswahl_DblClick</t>
  </si>
  <si>
    <t>Option_json_Click</t>
  </si>
  <si>
    <t>Option_Plist_Click</t>
  </si>
  <si>
    <t>UserForm_Deactivate</t>
  </si>
  <si>
    <t>DblFind</t>
  </si>
  <si>
    <t>Sortieren</t>
  </si>
  <si>
    <t>UserForm_QueryClose</t>
  </si>
  <si>
    <t>Form_Projekt</t>
  </si>
  <si>
    <t>cmd_DDC_OK_Click</t>
  </si>
  <si>
    <t>cmd_DDC_Type_Click</t>
  </si>
  <si>
    <t>cmd_ProjName_Click</t>
  </si>
  <si>
    <t>Form_Slots</t>
  </si>
  <si>
    <t>cmd_eintragen_Click</t>
  </si>
  <si>
    <t>cmd_ok_Click</t>
  </si>
  <si>
    <t>cmd_test_index_Click</t>
  </si>
  <si>
    <t>Form_Visio</t>
  </si>
  <si>
    <t>cmd_settings_Click</t>
  </si>
  <si>
    <t>ComboBox_Quelle_Click</t>
  </si>
  <si>
    <t>ComboBox_Ziel_Click</t>
  </si>
  <si>
    <t>Command_Start_Import_Click</t>
  </si>
  <si>
    <t>Form_Warten</t>
  </si>
  <si>
    <t>Funktionen</t>
  </si>
  <si>
    <t>SheetExists</t>
  </si>
  <si>
    <t>ImportKabelzug</t>
  </si>
  <si>
    <t>Import_VISIO</t>
  </si>
  <si>
    <t>mdl_Balttmanager</t>
  </si>
  <si>
    <t>Test</t>
  </si>
  <si>
    <t>GetRGB</t>
  </si>
  <si>
    <t>mdl_BMKZ_sync</t>
  </si>
  <si>
    <t>BMKZ_Sync</t>
  </si>
  <si>
    <t>mdl_Erweiterungen</t>
  </si>
  <si>
    <t>Erweiterungen_Eintragen</t>
  </si>
  <si>
    <t>Erweiterungen_Refresh</t>
  </si>
  <si>
    <t>Erweiterungen_2_Modulliste</t>
  </si>
  <si>
    <t>mdl_ESchema</t>
  </si>
  <si>
    <t>E_SchemaEinmischen</t>
  </si>
  <si>
    <t>E_Schema_loeschen</t>
  </si>
  <si>
    <t>mdl_Filter</t>
  </si>
  <si>
    <t>Filter_alles_an</t>
  </si>
  <si>
    <t>Filter_BMKZ</t>
  </si>
  <si>
    <t>Filter_PG5</t>
  </si>
  <si>
    <t>Filter_PromosNT</t>
  </si>
  <si>
    <t>Filter_Inbetriebnahme</t>
  </si>
  <si>
    <t>Filter_PromosObjekte</t>
  </si>
  <si>
    <t>mdl_Inbetriebnahme</t>
  </si>
  <si>
    <t>InbetriebnahmeProtokoll</t>
  </si>
  <si>
    <t>InbetriebnahmeProtokoll_erstellen</t>
  </si>
  <si>
    <t>Projekt_Beschriftung</t>
  </si>
  <si>
    <t>mdl_Linien</t>
  </si>
  <si>
    <t>Trennlinie</t>
  </si>
  <si>
    <t>mdl_Menue</t>
  </si>
  <si>
    <t>Ribbon_Filter_alles_an</t>
  </si>
  <si>
    <t>Ribbon_Filter_PG5</t>
  </si>
  <si>
    <t>Ribbon_Filter_BMKZ</t>
  </si>
  <si>
    <t>Ribbon_Filter_PromosNT</t>
  </si>
  <si>
    <t>Ribbon_Filter_Inbetriebnahme</t>
  </si>
  <si>
    <t>Ribbon_refresh_tabelle</t>
  </si>
  <si>
    <t>Ribbon_Open_Slotmanager</t>
  </si>
  <si>
    <t>Ribbon_open_ImportCFG</t>
  </si>
  <si>
    <t>Ribbon_open_PromosNT_Menu</t>
  </si>
  <si>
    <t>Ribbon_BMKZ_cfg_open</t>
  </si>
  <si>
    <t>Ribbon_AKS_AutoFill</t>
  </si>
  <si>
    <t>Ribbon_open_Import_perUserForm</t>
  </si>
  <si>
    <t>Ribbon_Trennlinie</t>
  </si>
  <si>
    <t>Ribbon_InbetriebnahmeProtokoll</t>
  </si>
  <si>
    <t>Ribbon_Projekt_Beschriftung</t>
  </si>
  <si>
    <t>Ribbon_Form_BMKZ_sync</t>
  </si>
  <si>
    <t>Ribbon_Form_Projekt</t>
  </si>
  <si>
    <t>Ribbon_Form_Blatmanager</t>
  </si>
  <si>
    <t>Ribbon_E_SchemaEinmischen</t>
  </si>
  <si>
    <t>Ribbon_E_Schema_loeschen</t>
  </si>
  <si>
    <t>Ribbon_Filter_PromosObjekte</t>
  </si>
  <si>
    <t>mdl_Namen</t>
  </si>
  <si>
    <t>copy_namen</t>
  </si>
  <si>
    <t>namen_suchen</t>
  </si>
  <si>
    <t>mdl_nurWert</t>
  </si>
  <si>
    <t>FormatfreiEinfuegen</t>
  </si>
  <si>
    <t>mdl_Objektliste</t>
  </si>
  <si>
    <t>Open_Slotmanager</t>
  </si>
  <si>
    <t>open_ImportCFG</t>
  </si>
  <si>
    <t>open_PromosNT_Menu</t>
  </si>
  <si>
    <t>open_Import_perUserForm</t>
  </si>
  <si>
    <t>ObjektListe_erstellen</t>
  </si>
  <si>
    <t>prüfung</t>
  </si>
  <si>
    <t>csvSpeichern</t>
  </si>
  <si>
    <t>reset_inhalt</t>
  </si>
  <si>
    <t>SlotListe_new</t>
  </si>
  <si>
    <t>IOs_anpassen</t>
  </si>
  <si>
    <t>pruefen</t>
  </si>
  <si>
    <t>BMKZ_cfg_open</t>
  </si>
  <si>
    <t>mdl_Projekt</t>
  </si>
  <si>
    <t>CellLocker</t>
  </si>
  <si>
    <t>Schutz_aufheben</t>
  </si>
  <si>
    <t>mdl_PromosNT</t>
  </si>
  <si>
    <t>PromosNT_Objekte_2DMS</t>
  </si>
  <si>
    <t>Export_Objekte_PromosNT</t>
  </si>
  <si>
    <t>mdl_VsioExport</t>
  </si>
  <si>
    <t>exportVisio</t>
  </si>
  <si>
    <t>Modul_Json_DMS</t>
  </si>
  <si>
    <t>Abgleich_DMS_Namen</t>
  </si>
  <si>
    <t>DMS_Anfrage</t>
  </si>
  <si>
    <t>Modul_refresh</t>
  </si>
  <si>
    <t>refresh_tabelle</t>
  </si>
  <si>
    <t>SchriftAnpassen</t>
  </si>
  <si>
    <t>NEW_Import</t>
  </si>
  <si>
    <t>Import_perUserForm</t>
  </si>
  <si>
    <t>ObjektBlatt</t>
  </si>
  <si>
    <t>NeuesSheet</t>
  </si>
  <si>
    <t>objekte_anlegen</t>
  </si>
  <si>
    <t>POP_import_frm</t>
  </si>
  <si>
    <t>CheckBox_AKS_Import_Click</t>
  </si>
  <si>
    <t>CheckBox_AKS_T1_Click</t>
  </si>
  <si>
    <t>CheckBox_AKS_T2_Click</t>
  </si>
  <si>
    <t>CheckBox_AKS_T3_Click</t>
  </si>
  <si>
    <t>CheckBox_AKS_T4_Click</t>
  </si>
  <si>
    <t>CheckBox_AKS_T5_Click</t>
  </si>
  <si>
    <t>CheckBox_AKS_T6_Click</t>
  </si>
  <si>
    <t>CheckBox_Name_Import_Click</t>
  </si>
  <si>
    <t>ComboBox_AKS_Click</t>
  </si>
  <si>
    <t>ComboBox_Name_Click</t>
  </si>
  <si>
    <t>ComboBox_Adresse_Click</t>
  </si>
  <si>
    <t>ScrollBar_AKS_Click</t>
  </si>
  <si>
    <t>ComboBox_Quelle_AKS_T1_Change</t>
  </si>
  <si>
    <t>ComboBox_Quelle_AKS_T2_Change</t>
  </si>
  <si>
    <t>ComboBox_Quelle_AKS_T3_Change</t>
  </si>
  <si>
    <t>ComboBox_Quelle_AKS_T4_Change</t>
  </si>
  <si>
    <t>ComboBox_Quelle_AKS_T5_Change</t>
  </si>
  <si>
    <t>ComboBox_Quelle_AKS_T6_Change</t>
  </si>
  <si>
    <t>ComboBox_Zeile_Change</t>
  </si>
  <si>
    <t>ComboBox_Ziel_AKS_T1_Change</t>
  </si>
  <si>
    <t>ComboBox_Ziel_AKS_T2_Change</t>
  </si>
  <si>
    <t>ComboBox_Ziel_AKS_T3_Change</t>
  </si>
  <si>
    <t>ComboBox_Ziel_AKS_T4_Change</t>
  </si>
  <si>
    <t>ComboBox_Ziel_AKS_T5_Change</t>
  </si>
  <si>
    <t>ComboBox_Ziel_AKS_T6_Change</t>
  </si>
  <si>
    <t>ComboBox_ZielAdresse_Change</t>
  </si>
  <si>
    <t>ComboBox_ZielName_Change</t>
  </si>
  <si>
    <t>ScrollBar_AKS_Change</t>
  </si>
  <si>
    <t>refrech</t>
  </si>
  <si>
    <t>ProzessBarCSV</t>
  </si>
  <si>
    <t>A 1 2 3 4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</si>
</sst>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222222"/>
      <name val="Verdana"/>
      <family val="2"/>
    </font>
    <font>
      <sz val="11"/>
      <color rgb="FF3F3F76"/>
      <name val="Calibri"/>
      <family val="2"/>
      <scheme val="minor"/>
    </font>
    <font>
      <sz val="10"/>
      <color rgb="FF000000"/>
      <name val="Arial"/>
      <family val="2"/>
    </font>
    <font>
      <sz val="10"/>
      <color theme="0" tint="-0.249977111117893"/>
      <name val="Arial"/>
      <family val="2"/>
    </font>
    <font>
      <sz val="11"/>
      <color rgb="FF000000"/>
      <name val="Tahoma"/>
      <family val="2"/>
    </font>
    <font>
      <b/>
      <sz val="11"/>
      <color rgb="FF000000"/>
      <name val="Tahoma"/>
      <family val="2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Tahoma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sz val="9"/>
      <name val="Arial"/>
      <family val="2"/>
    </font>
    <font>
      <sz val="12"/>
      <color theme="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AC09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55"/>
        <bgColor indexed="22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 style="medium">
        <color auto="1"/>
      </top>
      <bottom/>
      <diagonal/>
    </border>
    <border>
      <left style="thin">
        <color rgb="FF7F7F7F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rgb="FF7F7F7F"/>
      </right>
      <top/>
      <bottom/>
      <diagonal/>
    </border>
    <border>
      <left style="thin">
        <color indexed="64"/>
      </left>
      <right style="thin">
        <color rgb="FF7F7F7F"/>
      </right>
      <top/>
      <bottom style="medium">
        <color auto="1"/>
      </bottom>
      <diagonal/>
    </border>
    <border>
      <left style="thin">
        <color rgb="FF7F7F7F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8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3F3F3F"/>
      </bottom>
      <diagonal/>
    </border>
    <border>
      <left style="thin">
        <color indexed="64"/>
      </left>
      <right/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 style="thin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thin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 style="hair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</borders>
  <cellStyleXfs count="9">
    <xf numFmtId="0" fontId="0" fillId="0" borderId="0"/>
    <xf numFmtId="0" fontId="1" fillId="2" borderId="0" applyNumberFormat="0" applyBorder="0" applyAlignment="0" applyProtection="0"/>
    <xf numFmtId="0" fontId="5" fillId="6" borderId="0" applyNumberFormat="0" applyBorder="0" applyAlignment="0" applyProtection="0"/>
    <xf numFmtId="0" fontId="6" fillId="0" borderId="0"/>
    <xf numFmtId="0" fontId="7" fillId="7" borderId="9" applyNumberFormat="0" applyAlignment="0" applyProtection="0"/>
    <xf numFmtId="0" fontId="15" fillId="11" borderId="16" applyNumberFormat="0" applyFont="0" applyAlignment="0" applyProtection="0"/>
    <xf numFmtId="0" fontId="19" fillId="7" borderId="28" applyNumberFormat="0" applyAlignment="0" applyProtection="0"/>
    <xf numFmtId="0" fontId="20" fillId="0" borderId="0" applyNumberFormat="0" applyFill="0" applyBorder="0" applyAlignment="0" applyProtection="0"/>
    <xf numFmtId="0" fontId="22" fillId="16" borderId="9" applyNumberFormat="0" applyAlignment="0" applyProtection="0"/>
  </cellStyleXfs>
  <cellXfs count="533">
    <xf numFmtId="0" fontId="0" fillId="0" borderId="0" xfId="0"/>
    <xf numFmtId="0" fontId="0" fillId="4" borderId="0" xfId="0" applyFill="1"/>
    <xf numFmtId="0" fontId="0" fillId="0" borderId="0" xfId="0" applyBorder="1"/>
    <xf numFmtId="0" fontId="2" fillId="0" borderId="0" xfId="0" applyFont="1" applyBorder="1" applyAlignment="1">
      <alignment horizontal="center"/>
    </xf>
    <xf numFmtId="0" fontId="0" fillId="0" borderId="3" xfId="0" applyBorder="1"/>
    <xf numFmtId="0" fontId="0" fillId="0" borderId="0" xfId="0" applyFill="1"/>
    <xf numFmtId="0" fontId="4" fillId="0" borderId="0" xfId="0" applyFont="1" applyFill="1"/>
    <xf numFmtId="0" fontId="2" fillId="0" borderId="0" xfId="0" applyFont="1" applyAlignment="1">
      <alignment horizontal="center"/>
    </xf>
    <xf numFmtId="0" fontId="9" fillId="0" borderId="0" xfId="0" applyFont="1"/>
    <xf numFmtId="0" fontId="2" fillId="0" borderId="3" xfId="0" applyFont="1" applyBorder="1" applyAlignment="1">
      <alignment horizontal="center"/>
    </xf>
    <xf numFmtId="0" fontId="13" fillId="0" borderId="13" xfId="1" applyFont="1" applyFill="1" applyBorder="1" applyAlignment="1">
      <alignment horizontal="center"/>
    </xf>
    <xf numFmtId="0" fontId="13" fillId="0" borderId="11" xfId="1" applyFont="1" applyFill="1" applyBorder="1" applyAlignment="1">
      <alignment horizontal="center"/>
    </xf>
    <xf numFmtId="0" fontId="13" fillId="0" borderId="15" xfId="1" applyFont="1" applyFill="1" applyBorder="1" applyAlignment="1">
      <alignment horizontal="center"/>
    </xf>
    <xf numFmtId="0" fontId="13" fillId="8" borderId="11" xfId="0" applyFont="1" applyFill="1" applyBorder="1" applyAlignment="1">
      <alignment horizontal="center" wrapText="1"/>
    </xf>
    <xf numFmtId="0" fontId="12" fillId="0" borderId="0" xfId="0" applyFont="1" applyBorder="1" applyAlignment="1">
      <alignment horizontal="center"/>
    </xf>
    <xf numFmtId="0" fontId="13" fillId="0" borderId="11" xfId="0" applyFont="1" applyFill="1" applyBorder="1" applyAlignment="1">
      <alignment horizontal="center"/>
    </xf>
    <xf numFmtId="0" fontId="13" fillId="0" borderId="13" xfId="0" applyFont="1" applyFill="1" applyBorder="1" applyAlignment="1">
      <alignment horizontal="center"/>
    </xf>
    <xf numFmtId="49" fontId="13" fillId="0" borderId="13" xfId="0" applyNumberFormat="1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2" fillId="9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/>
    <xf numFmtId="0" fontId="14" fillId="0" borderId="0" xfId="0" applyFont="1" applyAlignment="1">
      <alignment horizontal="center"/>
    </xf>
    <xf numFmtId="0" fontId="2" fillId="4" borderId="0" xfId="0" applyFont="1" applyFill="1"/>
    <xf numFmtId="0" fontId="2" fillId="0" borderId="0" xfId="0" applyFont="1"/>
    <xf numFmtId="0" fontId="0" fillId="14" borderId="0" xfId="0" applyFill="1"/>
    <xf numFmtId="0" fontId="0" fillId="15" borderId="0" xfId="0" applyFill="1"/>
    <xf numFmtId="0" fontId="13" fillId="0" borderId="0" xfId="0" applyFont="1" applyFill="1" applyBorder="1" applyAlignment="1">
      <alignment horizontal="center" wrapText="1"/>
    </xf>
    <xf numFmtId="0" fontId="4" fillId="4" borderId="0" xfId="0" applyFont="1" applyFill="1"/>
    <xf numFmtId="0" fontId="0" fillId="0" borderId="27" xfId="0" applyBorder="1"/>
    <xf numFmtId="0" fontId="10" fillId="13" borderId="3" xfId="1" applyFont="1" applyFill="1" applyBorder="1" applyAlignment="1">
      <alignment horizontal="center"/>
    </xf>
    <xf numFmtId="0" fontId="20" fillId="0" borderId="0" xfId="7"/>
    <xf numFmtId="0" fontId="21" fillId="0" borderId="0" xfId="0" applyFont="1"/>
    <xf numFmtId="0" fontId="0" fillId="0" borderId="29" xfId="0" applyBorder="1"/>
    <xf numFmtId="0" fontId="0" fillId="0" borderId="29" xfId="0" applyBorder="1" applyAlignment="1">
      <alignment horizontal="center"/>
    </xf>
    <xf numFmtId="0" fontId="0" fillId="0" borderId="27" xfId="0" applyBorder="1" applyAlignment="1">
      <alignment horizontal="center"/>
    </xf>
    <xf numFmtId="0" fontId="23" fillId="17" borderId="11" xfId="0" applyFont="1" applyFill="1" applyBorder="1" applyAlignment="1">
      <alignment horizontal="center" vertical="center"/>
    </xf>
    <xf numFmtId="0" fontId="24" fillId="17" borderId="11" xfId="0" applyFont="1" applyFill="1" applyBorder="1" applyAlignment="1">
      <alignment horizontal="center" vertical="center"/>
    </xf>
    <xf numFmtId="0" fontId="8" fillId="0" borderId="7" xfId="0" applyFont="1" applyBorder="1"/>
    <xf numFmtId="0" fontId="8" fillId="0" borderId="0" xfId="0" applyFont="1"/>
    <xf numFmtId="0" fontId="25" fillId="0" borderId="0" xfId="0" applyFont="1"/>
    <xf numFmtId="49" fontId="25" fillId="0" borderId="0" xfId="0" applyNumberFormat="1" applyFont="1"/>
    <xf numFmtId="49" fontId="26" fillId="18" borderId="0" xfId="0" applyNumberFormat="1" applyFont="1" applyFill="1"/>
    <xf numFmtId="0" fontId="26" fillId="18" borderId="0" xfId="0" applyFont="1" applyFill="1"/>
    <xf numFmtId="0" fontId="26" fillId="18" borderId="0" xfId="0" applyFont="1" applyFill="1" applyAlignment="1">
      <alignment horizontal="center"/>
    </xf>
    <xf numFmtId="0" fontId="25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3" xfId="0" applyFont="1" applyBorder="1"/>
    <xf numFmtId="0" fontId="30" fillId="10" borderId="13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 wrapText="1"/>
    </xf>
    <xf numFmtId="0" fontId="2" fillId="0" borderId="20" xfId="0" applyFont="1" applyBorder="1"/>
    <xf numFmtId="0" fontId="0" fillId="0" borderId="20" xfId="0" applyBorder="1"/>
    <xf numFmtId="0" fontId="0" fillId="19" borderId="0" xfId="0" applyFill="1"/>
    <xf numFmtId="0" fontId="0" fillId="19" borderId="0" xfId="0" applyFill="1" applyAlignment="1">
      <alignment horizont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19" borderId="0" xfId="0" applyFill="1" applyAlignment="1">
      <alignment vertical="center"/>
    </xf>
    <xf numFmtId="0" fontId="0" fillId="20" borderId="0" xfId="0" applyFill="1" applyAlignment="1">
      <alignment vertical="center"/>
    </xf>
    <xf numFmtId="0" fontId="23" fillId="22" borderId="11" xfId="0" applyFont="1" applyFill="1" applyBorder="1" applyAlignment="1">
      <alignment horizontal="center" vertical="center"/>
    </xf>
    <xf numFmtId="0" fontId="4" fillId="22" borderId="21" xfId="0" applyFont="1" applyFill="1" applyBorder="1" applyAlignment="1">
      <alignment horizontal="center"/>
    </xf>
    <xf numFmtId="0" fontId="4" fillId="22" borderId="0" xfId="0" applyFont="1" applyFill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9" fillId="13" borderId="0" xfId="0" applyFont="1" applyFill="1" applyAlignment="1">
      <alignment horizontal="center"/>
    </xf>
    <xf numFmtId="0" fontId="33" fillId="3" borderId="0" xfId="0" applyNumberFormat="1" applyFon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3" borderId="0" xfId="0" applyFill="1"/>
    <xf numFmtId="0" fontId="0" fillId="18" borderId="0" xfId="0" applyFill="1"/>
    <xf numFmtId="0" fontId="29" fillId="0" borderId="3" xfId="0" applyFont="1" applyFill="1" applyBorder="1" applyAlignment="1">
      <alignment horizontal="center"/>
    </xf>
    <xf numFmtId="49" fontId="0" fillId="0" borderId="0" xfId="0" quotePrefix="1" applyNumberFormat="1"/>
    <xf numFmtId="49" fontId="0" fillId="0" borderId="0" xfId="0" applyNumberFormat="1"/>
    <xf numFmtId="0" fontId="0" fillId="2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0" borderId="0" xfId="0" applyAlignment="1">
      <alignment horizontal="right"/>
    </xf>
    <xf numFmtId="0" fontId="2" fillId="21" borderId="0" xfId="0" applyFont="1" applyFill="1" applyAlignment="1">
      <alignment horizontal="center"/>
    </xf>
    <xf numFmtId="0" fontId="2" fillId="21" borderId="0" xfId="0" applyFont="1" applyFill="1" applyAlignment="1"/>
    <xf numFmtId="0" fontId="2" fillId="25" borderId="0" xfId="0" applyFont="1" applyFill="1" applyAlignment="1"/>
    <xf numFmtId="0" fontId="2" fillId="20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" fillId="26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2" fillId="19" borderId="0" xfId="0" applyFont="1" applyFill="1" applyAlignment="1">
      <alignment horizontal="center"/>
    </xf>
    <xf numFmtId="0" fontId="2" fillId="24" borderId="0" xfId="0" applyFont="1" applyFill="1" applyAlignment="1">
      <alignment horizontal="center"/>
    </xf>
    <xf numFmtId="0" fontId="0" fillId="24" borderId="0" xfId="0" applyFill="1"/>
    <xf numFmtId="0" fontId="0" fillId="27" borderId="0" xfId="0" applyFill="1"/>
    <xf numFmtId="0" fontId="2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4" fillId="0" borderId="21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34" fillId="0" borderId="12" xfId="0" applyFont="1" applyFill="1" applyBorder="1" applyAlignment="1">
      <alignment horizontal="left"/>
    </xf>
    <xf numFmtId="0" fontId="34" fillId="9" borderId="21" xfId="0" applyFont="1" applyFill="1" applyBorder="1" applyAlignment="1">
      <alignment horizontal="left"/>
    </xf>
    <xf numFmtId="0" fontId="2" fillId="18" borderId="37" xfId="8" applyFont="1" applyFill="1" applyBorder="1" applyAlignment="1">
      <alignment horizontal="center" vertical="center" textRotation="60"/>
    </xf>
    <xf numFmtId="0" fontId="34" fillId="29" borderId="21" xfId="0" applyFont="1" applyFill="1" applyBorder="1" applyAlignment="1">
      <alignment horizontal="left"/>
    </xf>
    <xf numFmtId="0" fontId="0" fillId="0" borderId="0" xfId="0" applyFont="1" applyFill="1" applyBorder="1"/>
    <xf numFmtId="0" fontId="0" fillId="0" borderId="0" xfId="0" applyFont="1" applyBorder="1"/>
    <xf numFmtId="0" fontId="34" fillId="0" borderId="21" xfId="0" applyFont="1" applyFill="1" applyBorder="1" applyAlignment="1"/>
    <xf numFmtId="0" fontId="34" fillId="0" borderId="21" xfId="0" applyFont="1" applyFill="1" applyBorder="1" applyAlignment="1">
      <alignment horizontal="center"/>
    </xf>
    <xf numFmtId="0" fontId="0" fillId="0" borderId="33" xfId="0" applyFont="1" applyFill="1" applyBorder="1"/>
    <xf numFmtId="0" fontId="0" fillId="0" borderId="0" xfId="0" applyFont="1"/>
    <xf numFmtId="0" fontId="34" fillId="0" borderId="17" xfId="0" applyFont="1" applyFill="1" applyBorder="1" applyAlignment="1">
      <alignment horizontal="left"/>
    </xf>
    <xf numFmtId="0" fontId="0" fillId="0" borderId="21" xfId="0" applyFont="1" applyFill="1" applyBorder="1"/>
    <xf numFmtId="0" fontId="0" fillId="0" borderId="12" xfId="0" applyFont="1" applyFill="1" applyBorder="1"/>
    <xf numFmtId="0" fontId="0" fillId="0" borderId="0" xfId="0" applyFont="1" applyAlignment="1">
      <alignment horizontal="center"/>
    </xf>
    <xf numFmtId="0" fontId="0" fillId="12" borderId="0" xfId="0" applyNumberFormat="1" applyFill="1"/>
    <xf numFmtId="0" fontId="12" fillId="9" borderId="0" xfId="0" applyFont="1" applyFill="1" applyAlignment="1">
      <alignment horizontal="center"/>
    </xf>
    <xf numFmtId="0" fontId="0" fillId="30" borderId="0" xfId="0" applyFill="1"/>
    <xf numFmtId="0" fontId="12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33" xfId="0" applyBorder="1"/>
    <xf numFmtId="0" fontId="12" fillId="0" borderId="0" xfId="0" applyFont="1" applyFill="1" applyBorder="1" applyAlignment="1">
      <alignment horizontal="center"/>
    </xf>
    <xf numFmtId="0" fontId="12" fillId="9" borderId="30" xfId="0" applyFont="1" applyFill="1" applyBorder="1" applyAlignment="1">
      <alignment horizontal="center"/>
    </xf>
    <xf numFmtId="0" fontId="2" fillId="29" borderId="21" xfId="0" applyFont="1" applyFill="1" applyBorder="1"/>
    <xf numFmtId="0" fontId="12" fillId="0" borderId="11" xfId="0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/>
    </xf>
    <xf numFmtId="0" fontId="12" fillId="0" borderId="15" xfId="0" applyFont="1" applyFill="1" applyBorder="1" applyAlignment="1">
      <alignment horizontal="center"/>
    </xf>
    <xf numFmtId="0" fontId="12" fillId="18" borderId="37" xfId="0" applyFont="1" applyFill="1" applyBorder="1" applyAlignment="1">
      <alignment horizontal="center"/>
    </xf>
    <xf numFmtId="0" fontId="12" fillId="18" borderId="38" xfId="0" applyFont="1" applyFill="1" applyBorder="1" applyAlignment="1">
      <alignment horizontal="center"/>
    </xf>
    <xf numFmtId="0" fontId="34" fillId="0" borderId="17" xfId="0" applyFont="1" applyFill="1" applyBorder="1" applyAlignment="1"/>
    <xf numFmtId="0" fontId="34" fillId="0" borderId="17" xfId="0" applyFont="1" applyFill="1" applyBorder="1" applyAlignment="1">
      <alignment horizontal="center"/>
    </xf>
    <xf numFmtId="0" fontId="34" fillId="13" borderId="21" xfId="0" applyFont="1" applyFill="1" applyBorder="1" applyAlignment="1">
      <alignment horizontal="left"/>
    </xf>
    <xf numFmtId="0" fontId="37" fillId="29" borderId="21" xfId="0" applyFont="1" applyFill="1" applyBorder="1" applyAlignment="1">
      <alignment horizontal="left"/>
    </xf>
    <xf numFmtId="14" fontId="34" fillId="9" borderId="17" xfId="0" applyNumberFormat="1" applyFont="1" applyFill="1" applyBorder="1" applyAlignment="1">
      <alignment horizontal="left"/>
    </xf>
    <xf numFmtId="0" fontId="34" fillId="0" borderId="7" xfId="0" applyFont="1" applyFill="1" applyBorder="1" applyAlignment="1">
      <alignment horizontal="left"/>
    </xf>
    <xf numFmtId="14" fontId="34" fillId="0" borderId="17" xfId="0" applyNumberFormat="1" applyFont="1" applyFill="1" applyBorder="1" applyAlignment="1">
      <alignment horizontal="left"/>
    </xf>
    <xf numFmtId="0" fontId="34" fillId="9" borderId="17" xfId="0" applyFont="1" applyFill="1" applyBorder="1" applyAlignment="1">
      <alignment horizontal="left"/>
    </xf>
    <xf numFmtId="0" fontId="12" fillId="0" borderId="30" xfId="1" applyFont="1" applyFill="1" applyBorder="1" applyAlignment="1">
      <alignment horizontal="center"/>
    </xf>
    <xf numFmtId="49" fontId="12" fillId="22" borderId="30" xfId="0" applyNumberFormat="1" applyFont="1" applyFill="1" applyBorder="1" applyAlignment="1">
      <alignment horizontal="center"/>
    </xf>
    <xf numFmtId="0" fontId="12" fillId="28" borderId="30" xfId="1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 wrapText="1"/>
    </xf>
    <xf numFmtId="0" fontId="12" fillId="13" borderId="30" xfId="0" applyFont="1" applyFill="1" applyBorder="1" applyAlignment="1">
      <alignment horizontal="center"/>
    </xf>
    <xf numFmtId="0" fontId="12" fillId="29" borderId="3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4" fillId="28" borderId="7" xfId="0" applyFont="1" applyFill="1" applyBorder="1" applyAlignment="1">
      <alignment horizontal="left"/>
    </xf>
    <xf numFmtId="0" fontId="0" fillId="18" borderId="41" xfId="0" applyFont="1" applyFill="1" applyBorder="1"/>
    <xf numFmtId="0" fontId="0" fillId="18" borderId="14" xfId="0" applyFont="1" applyFill="1" applyBorder="1"/>
    <xf numFmtId="49" fontId="34" fillId="0" borderId="17" xfId="3" applyNumberFormat="1" applyFont="1" applyFill="1" applyBorder="1" applyAlignment="1">
      <alignment horizontal="center"/>
    </xf>
    <xf numFmtId="0" fontId="34" fillId="28" borderId="7" xfId="1" applyFont="1" applyFill="1" applyBorder="1" applyAlignment="1">
      <alignment horizontal="left"/>
    </xf>
    <xf numFmtId="0" fontId="11" fillId="0" borderId="18" xfId="0" applyFont="1" applyFill="1" applyBorder="1" applyAlignment="1">
      <alignment horizontal="center"/>
    </xf>
    <xf numFmtId="0" fontId="34" fillId="13" borderId="17" xfId="1" applyFont="1" applyFill="1" applyBorder="1" applyAlignment="1">
      <alignment horizontal="left"/>
    </xf>
    <xf numFmtId="0" fontId="37" fillId="29" borderId="17" xfId="1" applyFont="1" applyFill="1" applyBorder="1" applyAlignment="1">
      <alignment horizontal="left"/>
    </xf>
    <xf numFmtId="0" fontId="34" fillId="0" borderId="17" xfId="1" applyFont="1" applyFill="1" applyBorder="1" applyAlignment="1"/>
    <xf numFmtId="0" fontId="34" fillId="13" borderId="21" xfId="1" applyFont="1" applyFill="1" applyBorder="1" applyAlignment="1">
      <alignment horizontal="left"/>
    </xf>
    <xf numFmtId="0" fontId="37" fillId="0" borderId="21" xfId="0" applyFont="1" applyFill="1" applyBorder="1" applyAlignment="1"/>
    <xf numFmtId="0" fontId="34" fillId="0" borderId="17" xfId="0" applyFont="1" applyFill="1" applyBorder="1" applyAlignment="1">
      <alignment wrapText="1"/>
    </xf>
    <xf numFmtId="0" fontId="37" fillId="0" borderId="19" xfId="0" applyFont="1" applyFill="1" applyBorder="1" applyAlignment="1"/>
    <xf numFmtId="0" fontId="37" fillId="0" borderId="17" xfId="0" applyFont="1" applyFill="1" applyBorder="1" applyAlignment="1"/>
    <xf numFmtId="0" fontId="0" fillId="28" borderId="21" xfId="0" applyFont="1" applyFill="1" applyBorder="1"/>
    <xf numFmtId="0" fontId="0" fillId="13" borderId="21" xfId="0" applyFont="1" applyFill="1" applyBorder="1"/>
    <xf numFmtId="0" fontId="0" fillId="9" borderId="21" xfId="0" applyFont="1" applyFill="1" applyBorder="1"/>
    <xf numFmtId="0" fontId="12" fillId="22" borderId="30" xfId="1" applyFont="1" applyFill="1" applyBorder="1" applyAlignment="1">
      <alignment horizontal="center"/>
    </xf>
    <xf numFmtId="0" fontId="34" fillId="0" borderId="17" xfId="3" applyFont="1" applyFill="1" applyBorder="1" applyAlignment="1">
      <alignment horizontal="center"/>
    </xf>
    <xf numFmtId="0" fontId="34" fillId="0" borderId="21" xfId="3" applyFont="1" applyFill="1" applyBorder="1" applyAlignment="1">
      <alignment horizontal="center"/>
    </xf>
    <xf numFmtId="0" fontId="37" fillId="0" borderId="21" xfId="0" applyFont="1" applyFill="1" applyBorder="1" applyAlignment="1">
      <alignment horizontal="center"/>
    </xf>
    <xf numFmtId="0" fontId="37" fillId="0" borderId="19" xfId="0" applyFont="1" applyFill="1" applyBorder="1" applyAlignment="1">
      <alignment horizontal="center"/>
    </xf>
    <xf numFmtId="0" fontId="37" fillId="0" borderId="17" xfId="0" applyFont="1" applyFill="1" applyBorder="1" applyAlignment="1">
      <alignment horizontal="center"/>
    </xf>
    <xf numFmtId="0" fontId="12" fillId="22" borderId="30" xfId="0" applyFont="1" applyFill="1" applyBorder="1" applyAlignment="1">
      <alignment horizontal="center"/>
    </xf>
    <xf numFmtId="17" fontId="34" fillId="0" borderId="17" xfId="0" applyNumberFormat="1" applyFont="1" applyFill="1" applyBorder="1" applyAlignment="1">
      <alignment horizontal="center"/>
    </xf>
    <xf numFmtId="49" fontId="34" fillId="0" borderId="17" xfId="0" applyNumberFormat="1" applyFont="1" applyFill="1" applyBorder="1" applyAlignment="1">
      <alignment horizontal="center"/>
    </xf>
    <xf numFmtId="49" fontId="34" fillId="0" borderId="21" xfId="3" applyNumberFormat="1" applyFont="1" applyFill="1" applyBorder="1" applyAlignment="1">
      <alignment horizontal="center"/>
    </xf>
    <xf numFmtId="0" fontId="39" fillId="31" borderId="58" xfId="0" applyFont="1" applyFill="1" applyBorder="1"/>
    <xf numFmtId="0" fontId="39" fillId="31" borderId="59" xfId="0" applyFont="1" applyFill="1" applyBorder="1"/>
    <xf numFmtId="0" fontId="39" fillId="31" borderId="60" xfId="0" applyFont="1" applyFill="1" applyBorder="1"/>
    <xf numFmtId="0" fontId="0" fillId="31" borderId="61" xfId="0" applyFill="1" applyBorder="1"/>
    <xf numFmtId="0" fontId="0" fillId="31" borderId="60" xfId="0" applyFill="1" applyBorder="1"/>
    <xf numFmtId="0" fontId="38" fillId="0" borderId="62" xfId="0" applyFont="1" applyBorder="1"/>
    <xf numFmtId="0" fontId="0" fillId="0" borderId="58" xfId="0" applyBorder="1"/>
    <xf numFmtId="0" fontId="0" fillId="0" borderId="61" xfId="0" applyBorder="1"/>
    <xf numFmtId="0" fontId="0" fillId="0" borderId="60" xfId="0" applyBorder="1"/>
    <xf numFmtId="0" fontId="0" fillId="0" borderId="59" xfId="0" applyBorder="1"/>
    <xf numFmtId="0" fontId="0" fillId="0" borderId="63" xfId="0" applyBorder="1"/>
    <xf numFmtId="0" fontId="38" fillId="0" borderId="63" xfId="0" applyFont="1" applyBorder="1"/>
    <xf numFmtId="0" fontId="0" fillId="0" borderId="64" xfId="0" applyBorder="1"/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6" fillId="0" borderId="59" xfId="3" applyBorder="1"/>
    <xf numFmtId="0" fontId="0" fillId="0" borderId="59" xfId="3" applyFont="1" applyBorder="1"/>
    <xf numFmtId="0" fontId="6" fillId="0" borderId="0" xfId="3"/>
    <xf numFmtId="0" fontId="0" fillId="0" borderId="60" xfId="0" applyBorder="1" applyAlignment="1">
      <alignment horizontal="left"/>
    </xf>
    <xf numFmtId="0" fontId="40" fillId="0" borderId="61" xfId="0" applyFont="1" applyBorder="1"/>
    <xf numFmtId="0" fontId="0" fillId="30" borderId="59" xfId="0" applyFill="1" applyBorder="1"/>
    <xf numFmtId="0" fontId="0" fillId="0" borderId="61" xfId="0" applyBorder="1" applyAlignment="1">
      <alignment horizontal="left"/>
    </xf>
    <xf numFmtId="0" fontId="0" fillId="30" borderId="61" xfId="0" applyFill="1" applyBorder="1"/>
    <xf numFmtId="0" fontId="40" fillId="30" borderId="61" xfId="0" applyFont="1" applyFill="1" applyBorder="1"/>
    <xf numFmtId="0" fontId="40" fillId="0" borderId="59" xfId="0" applyFont="1" applyBorder="1"/>
    <xf numFmtId="0" fontId="34" fillId="30" borderId="61" xfId="0" applyFont="1" applyFill="1" applyBorder="1"/>
    <xf numFmtId="0" fontId="0" fillId="30" borderId="60" xfId="0" applyFill="1" applyBorder="1"/>
    <xf numFmtId="0" fontId="0" fillId="0" borderId="67" xfId="0" applyBorder="1"/>
    <xf numFmtId="0" fontId="0" fillId="0" borderId="61" xfId="0" applyBorder="1" applyAlignment="1">
      <alignment horizontal="right"/>
    </xf>
    <xf numFmtId="0" fontId="38" fillId="0" borderId="68" xfId="0" applyFont="1" applyBorder="1"/>
    <xf numFmtId="0" fontId="0" fillId="0" borderId="69" xfId="0" applyBorder="1"/>
    <xf numFmtId="0" fontId="0" fillId="0" borderId="70" xfId="0" applyBorder="1"/>
    <xf numFmtId="0" fontId="38" fillId="0" borderId="69" xfId="0" applyFont="1" applyBorder="1"/>
    <xf numFmtId="0" fontId="38" fillId="0" borderId="70" xfId="0" applyFont="1" applyBorder="1"/>
    <xf numFmtId="14" fontId="0" fillId="0" borderId="69" xfId="0" applyNumberFormat="1" applyBorder="1"/>
    <xf numFmtId="0" fontId="0" fillId="0" borderId="71" xfId="0" applyBorder="1"/>
    <xf numFmtId="0" fontId="0" fillId="0" borderId="72" xfId="0" applyBorder="1"/>
    <xf numFmtId="0" fontId="0" fillId="0" borderId="67" xfId="0" applyBorder="1" applyAlignment="1">
      <alignment horizontal="center"/>
    </xf>
    <xf numFmtId="0" fontId="0" fillId="0" borderId="73" xfId="0" applyBorder="1"/>
    <xf numFmtId="0" fontId="0" fillId="0" borderId="74" xfId="0" applyBorder="1"/>
    <xf numFmtId="0" fontId="38" fillId="0" borderId="0" xfId="0" applyFont="1"/>
    <xf numFmtId="0" fontId="0" fillId="0" borderId="27" xfId="0" applyBorder="1" applyAlignment="1">
      <alignment horizontal="left"/>
    </xf>
    <xf numFmtId="0" fontId="0" fillId="0" borderId="22" xfId="0" applyBorder="1"/>
    <xf numFmtId="0" fontId="0" fillId="32" borderId="0" xfId="0" applyFill="1"/>
    <xf numFmtId="49" fontId="0" fillId="21" borderId="0" xfId="0" applyNumberFormat="1" applyFill="1"/>
    <xf numFmtId="49" fontId="0" fillId="33" borderId="0" xfId="0" applyNumberFormat="1" applyFill="1"/>
    <xf numFmtId="49" fontId="0" fillId="20" borderId="0" xfId="0" applyNumberFormat="1" applyFill="1"/>
    <xf numFmtId="0" fontId="0" fillId="19" borderId="0" xfId="0" applyFill="1" applyAlignment="1">
      <alignment horizontal="left"/>
    </xf>
    <xf numFmtId="0" fontId="0" fillId="0" borderId="5" xfId="0" applyBorder="1"/>
    <xf numFmtId="0" fontId="0" fillId="0" borderId="33" xfId="0" applyBorder="1" applyAlignment="1">
      <alignment horizontal="left"/>
    </xf>
    <xf numFmtId="0" fontId="0" fillId="0" borderId="6" xfId="0" applyBorder="1"/>
    <xf numFmtId="0" fontId="38" fillId="0" borderId="59" xfId="0" applyFont="1" applyBorder="1"/>
    <xf numFmtId="0" fontId="38" fillId="0" borderId="61" xfId="0" applyFont="1" applyBorder="1"/>
    <xf numFmtId="0" fontId="38" fillId="34" borderId="68" xfId="0" applyFont="1" applyFill="1" applyBorder="1"/>
    <xf numFmtId="0" fontId="0" fillId="34" borderId="59" xfId="0" applyFill="1" applyBorder="1"/>
    <xf numFmtId="0" fontId="0" fillId="34" borderId="61" xfId="0" applyFill="1" applyBorder="1"/>
    <xf numFmtId="0" fontId="0" fillId="34" borderId="60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68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0" fontId="0" fillId="2" borderId="0" xfId="1" applyFont="1" applyAlignment="1">
      <alignment horizontal="center"/>
    </xf>
    <xf numFmtId="0" fontId="34" fillId="0" borderId="0" xfId="0" applyFont="1"/>
    <xf numFmtId="0" fontId="34" fillId="0" borderId="17" xfId="3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34" fillId="0" borderId="17" xfId="0" applyFont="1" applyBorder="1" applyAlignment="1">
      <alignment horizontal="left"/>
    </xf>
    <xf numFmtId="0" fontId="34" fillId="0" borderId="7" xfId="0" applyFont="1" applyBorder="1" applyAlignment="1">
      <alignment horizontal="left"/>
    </xf>
    <xf numFmtId="14" fontId="34" fillId="0" borderId="17" xfId="0" applyNumberFormat="1" applyFont="1" applyBorder="1" applyAlignment="1">
      <alignment horizontal="left"/>
    </xf>
    <xf numFmtId="0" fontId="0" fillId="18" borderId="39" xfId="0" applyFill="1" applyBorder="1"/>
    <xf numFmtId="0" fontId="0" fillId="18" borderId="40" xfId="0" applyFill="1" applyBorder="1"/>
    <xf numFmtId="0" fontId="0" fillId="2" borderId="20" xfId="1" applyFont="1" applyBorder="1" applyAlignment="1">
      <alignment horizontal="center"/>
    </xf>
    <xf numFmtId="0" fontId="34" fillId="0" borderId="20" xfId="0" applyFont="1" applyBorder="1"/>
    <xf numFmtId="0" fontId="11" fillId="0" borderId="20" xfId="0" applyFont="1" applyBorder="1" applyAlignment="1">
      <alignment horizontal="center"/>
    </xf>
    <xf numFmtId="0" fontId="34" fillId="13" borderId="19" xfId="1" applyFont="1" applyFill="1" applyBorder="1" applyAlignment="1">
      <alignment horizontal="left"/>
    </xf>
    <xf numFmtId="0" fontId="34" fillId="0" borderId="19" xfId="0" applyFont="1" applyBorder="1" applyAlignment="1">
      <alignment horizontal="left"/>
    </xf>
    <xf numFmtId="14" fontId="34" fillId="9" borderId="19" xfId="0" applyNumberFormat="1" applyFont="1" applyFill="1" applyBorder="1" applyAlignment="1">
      <alignment horizontal="left"/>
    </xf>
    <xf numFmtId="0" fontId="37" fillId="29" borderId="19" xfId="1" applyFont="1" applyFill="1" applyBorder="1" applyAlignment="1">
      <alignment horizontal="left"/>
    </xf>
    <xf numFmtId="0" fontId="34" fillId="0" borderId="8" xfId="0" applyFont="1" applyBorder="1" applyAlignment="1">
      <alignment horizontal="left"/>
    </xf>
    <xf numFmtId="14" fontId="34" fillId="0" borderId="19" xfId="0" applyNumberFormat="1" applyFont="1" applyBorder="1" applyAlignment="1">
      <alignment horizontal="left"/>
    </xf>
    <xf numFmtId="0" fontId="34" fillId="0" borderId="17" xfId="0" applyFont="1" applyBorder="1" applyAlignment="1">
      <alignment horizontal="center" vertical="center"/>
    </xf>
    <xf numFmtId="49" fontId="34" fillId="0" borderId="17" xfId="3" applyNumberFormat="1" applyFont="1" applyBorder="1" applyAlignment="1">
      <alignment horizontal="center" vertical="center"/>
    </xf>
    <xf numFmtId="0" fontId="34" fillId="0" borderId="17" xfId="3" applyFont="1" applyBorder="1" applyAlignment="1">
      <alignment horizontal="center" vertical="center"/>
    </xf>
    <xf numFmtId="0" fontId="34" fillId="0" borderId="19" xfId="3" applyFont="1" applyBorder="1" applyAlignment="1">
      <alignment horizontal="center" vertical="center"/>
    </xf>
    <xf numFmtId="0" fontId="34" fillId="0" borderId="19" xfId="0" applyFont="1" applyBorder="1" applyAlignment="1">
      <alignment horizontal="center" vertical="center"/>
    </xf>
    <xf numFmtId="49" fontId="34" fillId="0" borderId="19" xfId="3" applyNumberFormat="1" applyFont="1" applyBorder="1" applyAlignment="1">
      <alignment horizontal="center" vertical="center"/>
    </xf>
    <xf numFmtId="0" fontId="34" fillId="0" borderId="21" xfId="0" applyFont="1" applyBorder="1" applyAlignment="1">
      <alignment horizontal="center"/>
    </xf>
    <xf numFmtId="0" fontId="34" fillId="0" borderId="21" xfId="0" applyFont="1" applyBorder="1" applyAlignment="1">
      <alignment horizontal="left"/>
    </xf>
    <xf numFmtId="0" fontId="34" fillId="0" borderId="0" xfId="0" applyFont="1" applyAlignment="1">
      <alignment horizontal="left"/>
    </xf>
    <xf numFmtId="0" fontId="34" fillId="0" borderId="12" xfId="0" applyFont="1" applyBorder="1" applyAlignment="1">
      <alignment horizontal="left"/>
    </xf>
    <xf numFmtId="0" fontId="0" fillId="18" borderId="41" xfId="0" applyFill="1" applyBorder="1"/>
    <xf numFmtId="0" fontId="0" fillId="18" borderId="14" xfId="0" applyFill="1" applyBorder="1"/>
    <xf numFmtId="49" fontId="12" fillId="25" borderId="11" xfId="0" applyNumberFormat="1" applyFont="1" applyFill="1" applyBorder="1" applyAlignment="1">
      <alignment horizontal="center" vertical="center" textRotation="60"/>
    </xf>
    <xf numFmtId="49" fontId="0" fillId="25" borderId="0" xfId="0" applyNumberFormat="1" applyFont="1" applyFill="1" applyAlignment="1">
      <alignment horizontal="center"/>
    </xf>
    <xf numFmtId="49" fontId="0" fillId="25" borderId="27" xfId="0" applyNumberFormat="1" applyFont="1" applyFill="1" applyBorder="1" applyAlignment="1">
      <alignment horizontal="center"/>
    </xf>
    <xf numFmtId="0" fontId="34" fillId="0" borderId="31" xfId="3" applyFont="1" applyFill="1" applyBorder="1" applyAlignment="1" applyProtection="1">
      <alignment horizontal="center" vertical="center"/>
      <protection locked="0"/>
    </xf>
    <xf numFmtId="0" fontId="34" fillId="0" borderId="31" xfId="0" applyFont="1" applyFill="1" applyBorder="1" applyAlignment="1" applyProtection="1">
      <alignment horizontal="center" vertical="center"/>
      <protection locked="0"/>
    </xf>
    <xf numFmtId="49" fontId="34" fillId="0" borderId="31" xfId="3" applyNumberFormat="1" applyFont="1" applyFill="1" applyBorder="1" applyAlignment="1" applyProtection="1">
      <alignment horizontal="center" vertical="center"/>
      <protection locked="0"/>
    </xf>
    <xf numFmtId="0" fontId="11" fillId="0" borderId="27" xfId="0" applyFont="1" applyFill="1" applyBorder="1" applyAlignment="1" applyProtection="1">
      <alignment horizontal="center"/>
      <protection locked="0"/>
    </xf>
    <xf numFmtId="0" fontId="34" fillId="0" borderId="31" xfId="0" applyFont="1" applyFill="1" applyBorder="1" applyAlignment="1" applyProtection="1">
      <alignment horizontal="left"/>
      <protection locked="0"/>
    </xf>
    <xf numFmtId="0" fontId="34" fillId="0" borderId="27" xfId="0" applyFont="1" applyFill="1" applyBorder="1" applyAlignment="1" applyProtection="1">
      <alignment horizontal="left"/>
      <protection locked="0"/>
    </xf>
    <xf numFmtId="0" fontId="34" fillId="0" borderId="25" xfId="0" applyFont="1" applyFill="1" applyBorder="1" applyAlignment="1" applyProtection="1">
      <alignment horizontal="left"/>
      <protection locked="0"/>
    </xf>
    <xf numFmtId="0" fontId="11" fillId="0" borderId="27" xfId="0" applyFont="1" applyBorder="1" applyAlignment="1" applyProtection="1">
      <alignment horizontal="center"/>
      <protection locked="0"/>
    </xf>
    <xf numFmtId="0" fontId="11" fillId="0" borderId="27" xfId="0" applyFont="1" applyFill="1" applyBorder="1" applyProtection="1">
      <protection locked="0"/>
    </xf>
    <xf numFmtId="0" fontId="0" fillId="0" borderId="27" xfId="0" applyFont="1" applyFill="1" applyBorder="1" applyProtection="1">
      <protection locked="0"/>
    </xf>
    <xf numFmtId="0" fontId="0" fillId="18" borderId="39" xfId="8" applyFont="1" applyFill="1" applyBorder="1" applyProtection="1">
      <protection locked="0"/>
    </xf>
    <xf numFmtId="0" fontId="0" fillId="18" borderId="40" xfId="8" applyFont="1" applyFill="1" applyBorder="1" applyProtection="1">
      <protection locked="0"/>
    </xf>
    <xf numFmtId="0" fontId="0" fillId="0" borderId="27" xfId="0" applyFont="1" applyBorder="1" applyProtection="1">
      <protection locked="0"/>
    </xf>
    <xf numFmtId="49" fontId="0" fillId="25" borderId="27" xfId="0" applyNumberFormat="1" applyFont="1" applyFill="1" applyBorder="1" applyAlignment="1" applyProtection="1">
      <alignment horizontal="center"/>
      <protection locked="0"/>
    </xf>
    <xf numFmtId="0" fontId="0" fillId="0" borderId="3" xfId="0" applyFont="1" applyFill="1" applyBorder="1" applyAlignment="1" applyProtection="1">
      <alignment horizontal="right"/>
      <protection locked="0"/>
    </xf>
    <xf numFmtId="0" fontId="34" fillId="0" borderId="21" xfId="3" applyFont="1" applyFill="1" applyBorder="1" applyAlignment="1" applyProtection="1">
      <alignment horizontal="center" vertical="center"/>
      <protection locked="0"/>
    </xf>
    <xf numFmtId="0" fontId="34" fillId="0" borderId="21" xfId="0" applyFont="1" applyFill="1" applyBorder="1" applyAlignment="1" applyProtection="1">
      <alignment horizontal="center" vertical="center"/>
      <protection locked="0"/>
    </xf>
    <xf numFmtId="49" fontId="34" fillId="0" borderId="21" xfId="3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/>
      <protection locked="0"/>
    </xf>
    <xf numFmtId="0" fontId="34" fillId="0" borderId="21" xfId="0" applyFont="1" applyFill="1" applyBorder="1" applyAlignment="1" applyProtection="1">
      <alignment horizontal="left"/>
      <protection locked="0"/>
    </xf>
    <xf numFmtId="0" fontId="34" fillId="0" borderId="0" xfId="0" applyFont="1" applyFill="1" applyBorder="1" applyAlignment="1" applyProtection="1">
      <alignment horizontal="left"/>
      <protection locked="0"/>
    </xf>
    <xf numFmtId="0" fontId="34" fillId="0" borderId="12" xfId="0" applyFont="1" applyFill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/>
      <protection locked="0"/>
    </xf>
    <xf numFmtId="0" fontId="11" fillId="0" borderId="0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18" borderId="41" xfId="8" applyFont="1" applyFill="1" applyBorder="1" applyProtection="1">
      <protection locked="0"/>
    </xf>
    <xf numFmtId="0" fontId="0" fillId="18" borderId="14" xfId="8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49" fontId="0" fillId="25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14" fontId="34" fillId="0" borderId="27" xfId="0" applyNumberFormat="1" applyFont="1" applyFill="1" applyBorder="1" applyAlignment="1" applyProtection="1">
      <alignment horizontal="left"/>
      <protection locked="0"/>
    </xf>
    <xf numFmtId="14" fontId="34" fillId="0" borderId="0" xfId="0" applyNumberFormat="1" applyFont="1" applyFill="1" applyBorder="1" applyAlignment="1" applyProtection="1">
      <alignment horizontal="left"/>
      <protection locked="0"/>
    </xf>
    <xf numFmtId="14" fontId="34" fillId="0" borderId="12" xfId="0" applyNumberFormat="1" applyFont="1" applyFill="1" applyBorder="1" applyAlignment="1" applyProtection="1">
      <alignment horizontal="left"/>
      <protection locked="0"/>
    </xf>
    <xf numFmtId="49" fontId="34" fillId="0" borderId="21" xfId="0" applyNumberFormat="1" applyFont="1" applyFill="1" applyBorder="1" applyAlignment="1" applyProtection="1">
      <alignment horizontal="center" vertical="center"/>
      <protection locked="0"/>
    </xf>
    <xf numFmtId="49" fontId="34" fillId="0" borderId="21" xfId="2" applyNumberFormat="1" applyFont="1" applyFill="1" applyBorder="1" applyAlignment="1" applyProtection="1">
      <alignment horizontal="center" vertical="center"/>
      <protection locked="0"/>
    </xf>
    <xf numFmtId="0" fontId="34" fillId="0" borderId="21" xfId="1" applyFont="1" applyFill="1" applyBorder="1" applyAlignment="1" applyProtection="1">
      <alignment horizontal="left"/>
      <protection locked="0"/>
    </xf>
    <xf numFmtId="0" fontId="34" fillId="0" borderId="31" xfId="2" applyFont="1" applyFill="1" applyBorder="1" applyAlignment="1" applyProtection="1">
      <alignment horizontal="center" vertical="center"/>
      <protection locked="0"/>
    </xf>
    <xf numFmtId="0" fontId="34" fillId="0" borderId="21" xfId="2" applyFont="1" applyFill="1" applyBorder="1" applyAlignment="1" applyProtection="1">
      <alignment horizontal="center" vertical="center"/>
      <protection locked="0"/>
    </xf>
    <xf numFmtId="49" fontId="34" fillId="0" borderId="21" xfId="1" applyNumberFormat="1" applyFont="1" applyFill="1" applyBorder="1" applyAlignment="1" applyProtection="1">
      <alignment horizontal="center" vertical="center"/>
      <protection locked="0"/>
    </xf>
    <xf numFmtId="0" fontId="34" fillId="0" borderId="21" xfId="1" applyFont="1" applyFill="1" applyBorder="1" applyAlignment="1" applyProtection="1">
      <alignment horizontal="center" vertical="center"/>
      <protection locked="0"/>
    </xf>
    <xf numFmtId="0" fontId="34" fillId="0" borderId="21" xfId="5" applyFont="1" applyFill="1" applyBorder="1" applyAlignment="1" applyProtection="1">
      <alignment horizontal="left"/>
      <protection locked="0"/>
    </xf>
    <xf numFmtId="0" fontId="11" fillId="0" borderId="0" xfId="2" applyFont="1" applyFill="1" applyBorder="1" applyAlignment="1" applyProtection="1">
      <alignment horizontal="center"/>
      <protection locked="0"/>
    </xf>
    <xf numFmtId="0" fontId="34" fillId="0" borderId="21" xfId="2" applyFont="1" applyFill="1" applyBorder="1" applyAlignment="1" applyProtection="1">
      <alignment horizontal="left"/>
      <protection locked="0"/>
    </xf>
    <xf numFmtId="0" fontId="11" fillId="0" borderId="0" xfId="1" applyFont="1" applyFill="1" applyBorder="1" applyAlignment="1" applyProtection="1">
      <alignment horizontal="center"/>
      <protection locked="0"/>
    </xf>
    <xf numFmtId="0" fontId="34" fillId="0" borderId="21" xfId="0" applyFont="1" applyFill="1" applyBorder="1" applyAlignment="1" applyProtection="1">
      <alignment horizontal="center"/>
      <protection locked="0"/>
    </xf>
    <xf numFmtId="0" fontId="11" fillId="0" borderId="27" xfId="1" applyFont="1" applyFill="1" applyBorder="1" applyAlignment="1" applyProtection="1">
      <alignment horizontal="center"/>
      <protection locked="0"/>
    </xf>
    <xf numFmtId="0" fontId="34" fillId="0" borderId="31" xfId="1" applyFont="1" applyFill="1" applyBorder="1" applyAlignment="1" applyProtection="1">
      <alignment horizontal="left"/>
      <protection locked="0"/>
    </xf>
    <xf numFmtId="0" fontId="37" fillId="0" borderId="21" xfId="6" applyFont="1" applyFill="1" applyBorder="1" applyAlignment="1" applyProtection="1">
      <alignment horizontal="center"/>
      <protection locked="0"/>
    </xf>
    <xf numFmtId="0" fontId="37" fillId="0" borderId="21" xfId="4" applyFont="1" applyFill="1" applyBorder="1" applyAlignment="1" applyProtection="1">
      <alignment horizontal="center" vertical="center"/>
      <protection locked="0"/>
    </xf>
    <xf numFmtId="0" fontId="34" fillId="0" borderId="31" xfId="1" applyFont="1" applyFill="1" applyBorder="1" applyAlignment="1" applyProtection="1">
      <alignment horizontal="center" vertical="center"/>
      <protection locked="0"/>
    </xf>
    <xf numFmtId="49" fontId="34" fillId="0" borderId="31" xfId="1" applyNumberFormat="1" applyFont="1" applyFill="1" applyBorder="1" applyAlignment="1" applyProtection="1">
      <alignment horizontal="center" vertical="center"/>
      <protection locked="0"/>
    </xf>
    <xf numFmtId="49" fontId="34" fillId="0" borderId="31" xfId="0" applyNumberFormat="1" applyFont="1" applyFill="1" applyBorder="1" applyAlignment="1" applyProtection="1">
      <alignment horizontal="center" vertical="center"/>
      <protection locked="0"/>
    </xf>
    <xf numFmtId="0" fontId="34" fillId="0" borderId="26" xfId="0" applyFont="1" applyFill="1" applyBorder="1" applyAlignment="1" applyProtection="1">
      <alignment horizontal="left"/>
      <protection locked="0"/>
    </xf>
    <xf numFmtId="0" fontId="11" fillId="0" borderId="26" xfId="0" applyFont="1" applyFill="1" applyBorder="1" applyAlignment="1" applyProtection="1">
      <alignment horizontal="right"/>
      <protection locked="0"/>
    </xf>
    <xf numFmtId="0" fontId="0" fillId="0" borderId="27" xfId="0" applyFont="1" applyFill="1" applyBorder="1" applyAlignment="1" applyProtection="1">
      <alignment horizontal="right"/>
      <protection locked="0"/>
    </xf>
    <xf numFmtId="0" fontId="0" fillId="0" borderId="26" xfId="0" applyFont="1" applyBorder="1" applyAlignment="1" applyProtection="1">
      <alignment horizontal="right"/>
      <protection locked="0"/>
    </xf>
    <xf numFmtId="49" fontId="0" fillId="25" borderId="26" xfId="0" applyNumberFormat="1" applyFont="1" applyFill="1" applyBorder="1" applyAlignment="1" applyProtection="1">
      <alignment horizontal="center"/>
      <protection locked="0"/>
    </xf>
    <xf numFmtId="0" fontId="34" fillId="0" borderId="3" xfId="0" applyFont="1" applyFill="1" applyBorder="1" applyAlignment="1" applyProtection="1">
      <alignment horizontal="left"/>
      <protection locked="0"/>
    </xf>
    <xf numFmtId="0" fontId="11" fillId="0" borderId="3" xfId="0" applyFont="1" applyFill="1" applyBorder="1" applyAlignment="1" applyProtection="1">
      <alignment horizontal="right"/>
      <protection locked="0"/>
    </xf>
    <xf numFmtId="0" fontId="0" fillId="0" borderId="3" xfId="0" applyFont="1" applyBorder="1" applyAlignment="1" applyProtection="1">
      <alignment horizontal="right"/>
      <protection locked="0"/>
    </xf>
    <xf numFmtId="49" fontId="0" fillId="2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27" xfId="0" applyFont="1" applyFill="1" applyBorder="1" applyAlignment="1" applyProtection="1">
      <alignment horizontal="center"/>
      <protection locked="0"/>
    </xf>
    <xf numFmtId="0" fontId="34" fillId="0" borderId="36" xfId="0" applyFont="1" applyFill="1" applyBorder="1" applyAlignment="1" applyProtection="1">
      <alignment horizontal="center" vertical="center"/>
      <protection locked="0"/>
    </xf>
    <xf numFmtId="49" fontId="34" fillId="0" borderId="36" xfId="0" applyNumberFormat="1" applyFont="1" applyFill="1" applyBorder="1" applyAlignment="1" applyProtection="1">
      <alignment horizontal="center" vertical="center"/>
      <protection locked="0"/>
    </xf>
    <xf numFmtId="0" fontId="0" fillId="0" borderId="33" xfId="0" applyFont="1" applyFill="1" applyBorder="1" applyAlignment="1" applyProtection="1">
      <alignment horizontal="center"/>
      <protection locked="0"/>
    </xf>
    <xf numFmtId="0" fontId="34" fillId="0" borderId="36" xfId="0" applyFont="1" applyFill="1" applyBorder="1" applyAlignment="1" applyProtection="1">
      <alignment horizontal="left"/>
      <protection locked="0"/>
    </xf>
    <xf numFmtId="0" fontId="34" fillId="0" borderId="33" xfId="0" applyFont="1" applyFill="1" applyBorder="1" applyAlignment="1" applyProtection="1">
      <alignment horizontal="left"/>
      <protection locked="0"/>
    </xf>
    <xf numFmtId="0" fontId="34" fillId="0" borderId="34" xfId="0" applyFont="1" applyFill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center"/>
      <protection locked="0"/>
    </xf>
    <xf numFmtId="0" fontId="0" fillId="0" borderId="33" xfId="0" applyFont="1" applyFill="1" applyBorder="1" applyProtection="1">
      <protection locked="0"/>
    </xf>
    <xf numFmtId="0" fontId="0" fillId="18" borderId="42" xfId="8" applyFont="1" applyFill="1" applyBorder="1" applyProtection="1">
      <protection locked="0"/>
    </xf>
    <xf numFmtId="0" fontId="0" fillId="18" borderId="43" xfId="8" applyFont="1" applyFill="1" applyBorder="1" applyProtection="1">
      <protection locked="0"/>
    </xf>
    <xf numFmtId="0" fontId="0" fillId="0" borderId="33" xfId="0" applyFont="1" applyBorder="1" applyProtection="1">
      <protection locked="0"/>
    </xf>
    <xf numFmtId="49" fontId="0" fillId="25" borderId="33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Protection="1">
      <protection locked="0"/>
    </xf>
    <xf numFmtId="0" fontId="0" fillId="0" borderId="19" xfId="0" applyFont="1" applyFill="1" applyBorder="1" applyAlignment="1" applyProtection="1">
      <alignment horizontal="center" vertical="center"/>
      <protection locked="0"/>
    </xf>
    <xf numFmtId="0" fontId="0" fillId="0" borderId="21" xfId="0" applyFont="1" applyFill="1" applyBorder="1" applyAlignment="1" applyProtection="1">
      <alignment horizontal="center" vertical="center"/>
      <protection locked="0"/>
    </xf>
    <xf numFmtId="49" fontId="0" fillId="0" borderId="19" xfId="0" applyNumberFormat="1" applyFont="1" applyFill="1" applyBorder="1" applyAlignment="1" applyProtection="1">
      <alignment horizontal="center" vertical="center"/>
      <protection locked="0"/>
    </xf>
    <xf numFmtId="0" fontId="0" fillId="0" borderId="19" xfId="0" applyFont="1" applyFill="1" applyBorder="1" applyAlignment="1" applyProtection="1">
      <alignment horizontal="center"/>
      <protection locked="0"/>
    </xf>
    <xf numFmtId="0" fontId="34" fillId="0" borderId="19" xfId="0" applyFont="1" applyFill="1" applyBorder="1" applyAlignment="1" applyProtection="1">
      <alignment horizontal="left"/>
      <protection locked="0"/>
    </xf>
    <xf numFmtId="0" fontId="0" fillId="18" borderId="44" xfId="8" applyFont="1" applyFill="1" applyBorder="1" applyProtection="1">
      <protection locked="0"/>
    </xf>
    <xf numFmtId="0" fontId="0" fillId="18" borderId="45" xfId="8" applyFont="1" applyFill="1" applyBorder="1" applyProtection="1">
      <protection locked="0"/>
    </xf>
    <xf numFmtId="49" fontId="0" fillId="25" borderId="0" xfId="0" applyNumberFormat="1" applyFont="1" applyFill="1" applyAlignment="1" applyProtection="1">
      <alignment horizontal="center"/>
      <protection locked="0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17" xfId="0" applyFont="1" applyFill="1" applyBorder="1" applyAlignment="1" applyProtection="1">
      <alignment horizontal="center"/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0" fillId="18" borderId="46" xfId="8" applyFont="1" applyFill="1" applyBorder="1" applyProtection="1">
      <protection locked="0"/>
    </xf>
    <xf numFmtId="0" fontId="0" fillId="18" borderId="47" xfId="8" applyFont="1" applyFill="1" applyBorder="1" applyProtection="1">
      <protection locked="0"/>
    </xf>
    <xf numFmtId="49" fontId="0" fillId="0" borderId="17" xfId="0" applyNumberFormat="1" applyFont="1" applyFill="1" applyBorder="1" applyAlignment="1" applyProtection="1">
      <alignment horizontal="center" vertical="center"/>
      <protection locked="0"/>
    </xf>
    <xf numFmtId="0" fontId="0" fillId="0" borderId="36" xfId="0" applyFont="1" applyFill="1" applyBorder="1" applyAlignment="1" applyProtection="1">
      <alignment horizontal="center" vertical="center"/>
      <protection locked="0"/>
    </xf>
    <xf numFmtId="0" fontId="0" fillId="0" borderId="50" xfId="0" applyFont="1" applyFill="1" applyBorder="1" applyAlignment="1" applyProtection="1">
      <alignment horizontal="center" vertical="center"/>
      <protection locked="0"/>
    </xf>
    <xf numFmtId="49" fontId="0" fillId="0" borderId="50" xfId="0" applyNumberFormat="1" applyFont="1" applyFill="1" applyBorder="1" applyAlignment="1" applyProtection="1">
      <alignment horizontal="center" vertical="center"/>
      <protection locked="0"/>
    </xf>
    <xf numFmtId="0" fontId="0" fillId="0" borderId="50" xfId="0" applyFont="1" applyFill="1" applyBorder="1" applyAlignment="1" applyProtection="1">
      <alignment horizontal="center"/>
      <protection locked="0"/>
    </xf>
    <xf numFmtId="0" fontId="34" fillId="0" borderId="50" xfId="0" applyFont="1" applyFill="1" applyBorder="1" applyAlignment="1" applyProtection="1">
      <alignment horizontal="left"/>
      <protection locked="0"/>
    </xf>
    <xf numFmtId="0" fontId="0" fillId="18" borderId="48" xfId="8" applyFont="1" applyFill="1" applyBorder="1" applyProtection="1">
      <protection locked="0"/>
    </xf>
    <xf numFmtId="0" fontId="0" fillId="18" borderId="49" xfId="8" applyFont="1" applyFill="1" applyBorder="1" applyProtection="1">
      <protection locked="0"/>
    </xf>
    <xf numFmtId="0" fontId="0" fillId="0" borderId="21" xfId="0" applyFont="1" applyFill="1" applyBorder="1" applyAlignment="1" applyProtection="1">
      <alignment horizontal="center"/>
      <protection locked="0"/>
    </xf>
    <xf numFmtId="0" fontId="0" fillId="0" borderId="21" xfId="0" applyFont="1" applyFill="1" applyBorder="1" applyProtection="1">
      <protection locked="0"/>
    </xf>
    <xf numFmtId="0" fontId="0" fillId="0" borderId="12" xfId="0" applyFont="1" applyFill="1" applyBorder="1" applyProtection="1">
      <protection locked="0"/>
    </xf>
    <xf numFmtId="0" fontId="0" fillId="0" borderId="0" xfId="0" applyFont="1" applyAlignment="1" applyProtection="1">
      <alignment horizontal="center"/>
      <protection locked="0"/>
    </xf>
    <xf numFmtId="0" fontId="11" fillId="0" borderId="21" xfId="3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Protection="1">
      <protection locked="0"/>
    </xf>
    <xf numFmtId="0" fontId="12" fillId="4" borderId="11" xfId="0" applyFont="1" applyFill="1" applyBorder="1" applyAlignment="1" applyProtection="1">
      <alignment horizontal="center" vertical="center" textRotation="60"/>
    </xf>
    <xf numFmtId="0" fontId="12" fillId="0" borderId="11" xfId="0" applyFont="1" applyFill="1" applyBorder="1" applyAlignment="1" applyProtection="1">
      <alignment horizontal="center" vertical="center" textRotation="60"/>
    </xf>
    <xf numFmtId="0" fontId="36" fillId="22" borderId="30" xfId="8" applyFont="1" applyFill="1" applyBorder="1" applyAlignment="1" applyProtection="1">
      <alignment horizontal="center" vertical="center" textRotation="60"/>
    </xf>
    <xf numFmtId="0" fontId="41" fillId="22" borderId="30" xfId="8" applyFont="1" applyFill="1" applyBorder="1" applyAlignment="1" applyProtection="1">
      <alignment horizontal="center" vertical="center" textRotation="60"/>
    </xf>
    <xf numFmtId="0" fontId="12" fillId="0" borderId="30" xfId="0" applyFont="1" applyFill="1" applyBorder="1" applyAlignment="1" applyProtection="1">
      <alignment horizontal="center" vertical="center" textRotation="60" wrapText="1"/>
    </xf>
    <xf numFmtId="0" fontId="12" fillId="13" borderId="30" xfId="0" applyFont="1" applyFill="1" applyBorder="1" applyAlignment="1" applyProtection="1">
      <alignment horizontal="center" vertical="center" textRotation="60"/>
    </xf>
    <xf numFmtId="0" fontId="12" fillId="0" borderId="30" xfId="0" applyFont="1" applyFill="1" applyBorder="1" applyAlignment="1" applyProtection="1">
      <alignment horizontal="center" vertical="center" textRotation="60"/>
    </xf>
    <xf numFmtId="0" fontId="12" fillId="9" borderId="30" xfId="0" applyFont="1" applyFill="1" applyBorder="1" applyAlignment="1" applyProtection="1">
      <alignment horizontal="center" vertical="center" textRotation="60"/>
    </xf>
    <xf numFmtId="0" fontId="29" fillId="29" borderId="30" xfId="5" applyFont="1" applyFill="1" applyBorder="1" applyAlignment="1" applyProtection="1">
      <alignment horizontal="center" vertical="center" textRotation="60"/>
    </xf>
    <xf numFmtId="0" fontId="12" fillId="0" borderId="13" xfId="0" applyFont="1" applyFill="1" applyBorder="1" applyAlignment="1" applyProtection="1">
      <alignment horizontal="center" vertical="center" textRotation="60"/>
    </xf>
    <xf numFmtId="0" fontId="12" fillId="0" borderId="13" xfId="0" applyFont="1" applyBorder="1" applyAlignment="1" applyProtection="1">
      <alignment horizontal="center" vertical="center" textRotation="60"/>
    </xf>
    <xf numFmtId="0" fontId="12" fillId="0" borderId="11" xfId="0" applyFont="1" applyBorder="1" applyAlignment="1" applyProtection="1">
      <alignment horizontal="center" vertical="center" textRotation="60"/>
    </xf>
    <xf numFmtId="0" fontId="2" fillId="28" borderId="54" xfId="6" applyFont="1" applyFill="1" applyBorder="1" applyAlignment="1" applyProtection="1">
      <alignment horizontal="center"/>
    </xf>
    <xf numFmtId="0" fontId="2" fillId="28" borderId="55" xfId="6" applyFont="1" applyFill="1" applyBorder="1" applyAlignment="1" applyProtection="1">
      <alignment horizontal="center"/>
    </xf>
    <xf numFmtId="0" fontId="2" fillId="28" borderId="56" xfId="6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33" xfId="0" applyFont="1" applyBorder="1" applyProtection="1"/>
    <xf numFmtId="0" fontId="0" fillId="4" borderId="0" xfId="0" applyFont="1" applyFill="1" applyProtection="1"/>
    <xf numFmtId="0" fontId="0" fillId="4" borderId="33" xfId="0" applyFont="1" applyFill="1" applyBorder="1" applyProtection="1"/>
    <xf numFmtId="49" fontId="2" fillId="0" borderId="25" xfId="0" applyNumberFormat="1" applyFont="1" applyFill="1" applyBorder="1" applyAlignment="1" applyProtection="1">
      <alignment horizontal="left"/>
    </xf>
    <xf numFmtId="49" fontId="2" fillId="0" borderId="12" xfId="0" applyNumberFormat="1" applyFont="1" applyFill="1" applyBorder="1" applyAlignment="1" applyProtection="1">
      <alignment horizontal="left"/>
    </xf>
    <xf numFmtId="0" fontId="2" fillId="0" borderId="12" xfId="0" applyFont="1" applyFill="1" applyBorder="1" applyAlignment="1" applyProtection="1">
      <alignment horizontal="left"/>
    </xf>
    <xf numFmtId="49" fontId="2" fillId="0" borderId="34" xfId="0" applyNumberFormat="1" applyFont="1" applyFill="1" applyBorder="1" applyAlignment="1" applyProtection="1">
      <alignment horizontal="left"/>
    </xf>
    <xf numFmtId="0" fontId="2" fillId="0" borderId="0" xfId="0" applyFont="1" applyFill="1" applyAlignment="1" applyProtection="1">
      <alignment horizontal="left"/>
    </xf>
    <xf numFmtId="0" fontId="2" fillId="0" borderId="33" xfId="0" applyFont="1" applyFill="1" applyBorder="1" applyAlignment="1" applyProtection="1">
      <alignment horizontal="left"/>
    </xf>
    <xf numFmtId="0" fontId="0" fillId="0" borderId="26" xfId="0" applyFont="1" applyFill="1" applyBorder="1" applyAlignment="1" applyProtection="1">
      <alignment horizontal="right"/>
    </xf>
    <xf numFmtId="0" fontId="0" fillId="0" borderId="3" xfId="0" applyFont="1" applyFill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right"/>
    </xf>
    <xf numFmtId="0" fontId="0" fillId="0" borderId="27" xfId="0" applyFont="1" applyBorder="1" applyProtection="1"/>
    <xf numFmtId="0" fontId="0" fillId="0" borderId="0" xfId="0" applyFont="1" applyBorder="1" applyProtection="1"/>
    <xf numFmtId="0" fontId="0" fillId="0" borderId="35" xfId="0" applyFont="1" applyFill="1" applyBorder="1" applyAlignment="1" applyProtection="1">
      <alignment horizontal="right"/>
    </xf>
    <xf numFmtId="0" fontId="34" fillId="13" borderId="31" xfId="3" applyFont="1" applyFill="1" applyBorder="1" applyAlignment="1" applyProtection="1">
      <alignment horizontal="left"/>
    </xf>
    <xf numFmtId="0" fontId="34" fillId="13" borderId="21" xfId="3" applyFont="1" applyFill="1" applyBorder="1" applyAlignment="1" applyProtection="1">
      <alignment horizontal="left"/>
    </xf>
    <xf numFmtId="0" fontId="34" fillId="13" borderId="36" xfId="3" applyFont="1" applyFill="1" applyBorder="1" applyAlignment="1" applyProtection="1">
      <alignment horizontal="left"/>
    </xf>
    <xf numFmtId="0" fontId="34" fillId="13" borderId="21" xfId="3" applyFont="1" applyFill="1" applyBorder="1" applyProtection="1"/>
    <xf numFmtId="14" fontId="34" fillId="9" borderId="31" xfId="0" applyNumberFormat="1" applyFont="1" applyFill="1" applyBorder="1" applyAlignment="1" applyProtection="1">
      <alignment horizontal="left"/>
    </xf>
    <xf numFmtId="14" fontId="34" fillId="9" borderId="21" xfId="0" applyNumberFormat="1" applyFont="1" applyFill="1" applyBorder="1" applyAlignment="1" applyProtection="1">
      <alignment horizontal="left"/>
    </xf>
    <xf numFmtId="0" fontId="34" fillId="9" borderId="21" xfId="3" applyFont="1" applyFill="1" applyBorder="1" applyAlignment="1" applyProtection="1">
      <alignment horizontal="left"/>
    </xf>
    <xf numFmtId="0" fontId="34" fillId="9" borderId="21" xfId="0" applyFont="1" applyFill="1" applyBorder="1" applyAlignment="1" applyProtection="1">
      <alignment horizontal="left"/>
    </xf>
    <xf numFmtId="0" fontId="34" fillId="9" borderId="31" xfId="0" applyFont="1" applyFill="1" applyBorder="1" applyAlignment="1" applyProtection="1">
      <alignment horizontal="left"/>
    </xf>
    <xf numFmtId="0" fontId="34" fillId="9" borderId="36" xfId="0" applyFont="1" applyFill="1" applyBorder="1" applyAlignment="1" applyProtection="1">
      <alignment horizontal="left"/>
    </xf>
    <xf numFmtId="0" fontId="0" fillId="9" borderId="21" xfId="0" applyFont="1" applyFill="1" applyBorder="1" applyAlignment="1" applyProtection="1">
      <alignment horizontal="left"/>
    </xf>
    <xf numFmtId="0" fontId="34" fillId="29" borderId="31" xfId="0" applyFont="1" applyFill="1" applyBorder="1" applyAlignment="1" applyProtection="1">
      <alignment horizontal="left"/>
    </xf>
    <xf numFmtId="0" fontId="34" fillId="29" borderId="21" xfId="0" applyFont="1" applyFill="1" applyBorder="1" applyAlignment="1" applyProtection="1">
      <alignment horizontal="left"/>
    </xf>
    <xf numFmtId="0" fontId="34" fillId="29" borderId="21" xfId="3" applyFont="1" applyFill="1" applyBorder="1" applyAlignment="1" applyProtection="1">
      <alignment horizontal="left"/>
    </xf>
    <xf numFmtId="0" fontId="34" fillId="29" borderId="31" xfId="3" applyFont="1" applyFill="1" applyBorder="1" applyAlignment="1" applyProtection="1">
      <alignment horizontal="left"/>
    </xf>
    <xf numFmtId="0" fontId="34" fillId="29" borderId="36" xfId="0" applyFont="1" applyFill="1" applyBorder="1" applyAlignment="1" applyProtection="1">
      <alignment horizontal="left"/>
    </xf>
    <xf numFmtId="0" fontId="0" fillId="29" borderId="57" xfId="5" applyFont="1" applyFill="1" applyBorder="1" applyAlignment="1" applyProtection="1">
      <alignment horizontal="center"/>
    </xf>
    <xf numFmtId="0" fontId="34" fillId="0" borderId="31" xfId="0" applyFont="1" applyFill="1" applyBorder="1" applyAlignment="1" applyProtection="1">
      <alignment horizontal="left"/>
    </xf>
    <xf numFmtId="0" fontId="34" fillId="0" borderId="21" xfId="0" applyFont="1" applyFill="1" applyBorder="1" applyAlignment="1" applyProtection="1">
      <alignment horizontal="left"/>
    </xf>
    <xf numFmtId="0" fontId="34" fillId="0" borderId="21" xfId="5" applyFont="1" applyFill="1" applyBorder="1" applyAlignment="1" applyProtection="1">
      <alignment horizontal="left"/>
    </xf>
    <xf numFmtId="0" fontId="34" fillId="0" borderId="36" xfId="0" applyFont="1" applyFill="1" applyBorder="1" applyAlignment="1" applyProtection="1">
      <alignment horizontal="left"/>
    </xf>
    <xf numFmtId="0" fontId="0" fillId="0" borderId="21" xfId="0" applyFont="1" applyFill="1" applyBorder="1" applyProtection="1"/>
    <xf numFmtId="49" fontId="2" fillId="0" borderId="21" xfId="0" applyNumberFormat="1" applyFont="1" applyFill="1" applyBorder="1" applyAlignment="1" applyProtection="1">
      <alignment horizontal="left"/>
    </xf>
    <xf numFmtId="0" fontId="35" fillId="0" borderId="15" xfId="1" applyFont="1" applyFill="1" applyBorder="1" applyAlignment="1" applyProtection="1">
      <alignment horizontal="center" vertical="center" textRotation="60"/>
    </xf>
    <xf numFmtId="0" fontId="0" fillId="0" borderId="11" xfId="0" applyFont="1" applyFill="1" applyBorder="1" applyAlignment="1" applyProtection="1">
      <alignment horizontal="right"/>
    </xf>
    <xf numFmtId="0" fontId="0" fillId="0" borderId="12" xfId="0" applyFont="1" applyFill="1" applyBorder="1" applyAlignment="1" applyProtection="1">
      <alignment horizontal="right"/>
    </xf>
    <xf numFmtId="49" fontId="12" fillId="25" borderId="13" xfId="0" applyNumberFormat="1" applyFont="1" applyFill="1" applyBorder="1" applyAlignment="1" applyProtection="1">
      <alignment horizontal="center" vertical="center" textRotation="60"/>
    </xf>
    <xf numFmtId="0" fontId="0" fillId="0" borderId="12" xfId="0" applyFont="1" applyBorder="1" applyProtection="1"/>
    <xf numFmtId="0" fontId="0" fillId="0" borderId="0" xfId="0" applyFont="1" applyFill="1" applyProtection="1">
      <protection locked="0"/>
    </xf>
    <xf numFmtId="0" fontId="34" fillId="0" borderId="0" xfId="0" applyFont="1" applyFill="1" applyBorder="1" applyAlignment="1">
      <alignment wrapText="1"/>
    </xf>
    <xf numFmtId="0" fontId="34" fillId="0" borderId="30" xfId="3" applyFont="1" applyFill="1" applyBorder="1" applyAlignment="1">
      <alignment horizontal="center"/>
    </xf>
    <xf numFmtId="0" fontId="34" fillId="0" borderId="19" xfId="3" applyFont="1" applyFill="1" applyBorder="1" applyAlignment="1">
      <alignment horizontal="center"/>
    </xf>
    <xf numFmtId="0" fontId="34" fillId="0" borderId="19" xfId="0" applyFont="1" applyFill="1" applyBorder="1" applyAlignment="1">
      <alignment horizontal="center"/>
    </xf>
    <xf numFmtId="49" fontId="34" fillId="0" borderId="19" xfId="3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left"/>
    </xf>
    <xf numFmtId="0" fontId="34" fillId="0" borderId="19" xfId="0" applyFont="1" applyFill="1" applyBorder="1" applyAlignment="1">
      <alignment horizontal="left"/>
    </xf>
    <xf numFmtId="14" fontId="34" fillId="0" borderId="19" xfId="0" applyNumberFormat="1" applyFont="1" applyFill="1" applyBorder="1" applyAlignment="1">
      <alignment horizontal="left"/>
    </xf>
    <xf numFmtId="0" fontId="34" fillId="0" borderId="0" xfId="0" applyFont="1" applyFill="1" applyBorder="1" applyAlignment="1"/>
    <xf numFmtId="0" fontId="34" fillId="0" borderId="20" xfId="0" applyFont="1" applyFill="1" applyBorder="1" applyAlignment="1"/>
    <xf numFmtId="0" fontId="11" fillId="0" borderId="20" xfId="0" applyFont="1" applyFill="1" applyBorder="1" applyAlignment="1">
      <alignment horizontal="center"/>
    </xf>
    <xf numFmtId="0" fontId="12" fillId="0" borderId="15" xfId="1" applyFont="1" applyFill="1" applyBorder="1" applyAlignment="1">
      <alignment horizontal="center"/>
    </xf>
    <xf numFmtId="0" fontId="12" fillId="13" borderId="30" xfId="0" applyFont="1" applyFill="1" applyBorder="1" applyAlignment="1">
      <alignment horizontal="center" vertical="center"/>
    </xf>
    <xf numFmtId="0" fontId="0" fillId="0" borderId="15" xfId="0" applyFont="1" applyFill="1" applyBorder="1"/>
    <xf numFmtId="0" fontId="0" fillId="18" borderId="38" xfId="0" applyFont="1" applyFill="1" applyBorder="1"/>
    <xf numFmtId="0" fontId="0" fillId="18" borderId="39" xfId="0" applyFont="1" applyFill="1" applyBorder="1"/>
    <xf numFmtId="0" fontId="0" fillId="18" borderId="40" xfId="0" applyFont="1" applyFill="1" applyBorder="1"/>
    <xf numFmtId="0" fontId="0" fillId="0" borderId="33" xfId="0" applyFont="1" applyBorder="1"/>
    <xf numFmtId="0" fontId="0" fillId="0" borderId="20" xfId="0" applyFont="1" applyBorder="1"/>
    <xf numFmtId="0" fontId="0" fillId="0" borderId="20" xfId="0" applyFont="1" applyFill="1" applyBorder="1"/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/>
    </xf>
    <xf numFmtId="0" fontId="0" fillId="13" borderId="21" xfId="0" applyFont="1" applyFill="1" applyBorder="1" applyAlignment="1">
      <alignment horizontal="center" vertical="center"/>
    </xf>
    <xf numFmtId="0" fontId="0" fillId="29" borderId="21" xfId="0" applyFont="1" applyFill="1" applyBorder="1"/>
    <xf numFmtId="0" fontId="34" fillId="9" borderId="20" xfId="0" applyFont="1" applyFill="1" applyBorder="1" applyAlignment="1"/>
    <xf numFmtId="0" fontId="34" fillId="9" borderId="17" xfId="3" applyFont="1" applyFill="1" applyBorder="1" applyAlignment="1">
      <alignment horizontal="center"/>
    </xf>
    <xf numFmtId="0" fontId="34" fillId="9" borderId="17" xfId="0" applyFont="1" applyFill="1" applyBorder="1" applyAlignment="1">
      <alignment horizontal="center"/>
    </xf>
    <xf numFmtId="0" fontId="34" fillId="9" borderId="50" xfId="3" applyFont="1" applyFill="1" applyBorder="1" applyAlignment="1">
      <alignment horizontal="center"/>
    </xf>
    <xf numFmtId="49" fontId="34" fillId="9" borderId="17" xfId="3" applyNumberFormat="1" applyFont="1" applyFill="1" applyBorder="1" applyAlignment="1">
      <alignment horizontal="center"/>
    </xf>
    <xf numFmtId="0" fontId="34" fillId="9" borderId="19" xfId="0" applyFont="1" applyFill="1" applyBorder="1" applyAlignment="1">
      <alignment horizontal="center"/>
    </xf>
    <xf numFmtId="0" fontId="34" fillId="9" borderId="19" xfId="3" applyFont="1" applyFill="1" applyBorder="1" applyAlignment="1">
      <alignment horizontal="center"/>
    </xf>
    <xf numFmtId="49" fontId="34" fillId="9" borderId="19" xfId="3" applyNumberFormat="1" applyFont="1" applyFill="1" applyBorder="1" applyAlignment="1">
      <alignment horizontal="center"/>
    </xf>
    <xf numFmtId="0" fontId="34" fillId="18" borderId="20" xfId="0" applyFont="1" applyFill="1" applyBorder="1" applyAlignment="1"/>
    <xf numFmtId="0" fontId="2" fillId="28" borderId="30" xfId="6" applyFont="1" applyFill="1" applyBorder="1" applyAlignment="1" applyProtection="1">
      <alignment horizontal="center" vertical="center" textRotation="60"/>
    </xf>
    <xf numFmtId="0" fontId="2" fillId="18" borderId="37" xfId="8" applyFont="1" applyFill="1" applyBorder="1" applyAlignment="1" applyProtection="1">
      <alignment horizontal="center" vertical="center" textRotation="60"/>
    </xf>
    <xf numFmtId="0" fontId="0" fillId="18" borderId="38" xfId="8" applyFont="1" applyFill="1" applyBorder="1" applyAlignment="1" applyProtection="1">
      <alignment horizontal="center" vertical="center" textRotation="60"/>
    </xf>
    <xf numFmtId="0" fontId="34" fillId="0" borderId="21" xfId="0" applyFont="1" applyFill="1" applyBorder="1" applyAlignment="1" applyProtection="1">
      <protection locked="0"/>
    </xf>
    <xf numFmtId="0" fontId="34" fillId="0" borderId="51" xfId="3" applyFont="1" applyFill="1" applyBorder="1" applyAlignment="1" applyProtection="1">
      <protection locked="0"/>
    </xf>
    <xf numFmtId="0" fontId="34" fillId="0" borderId="52" xfId="3" applyFont="1" applyFill="1" applyBorder="1" applyAlignment="1" applyProtection="1">
      <alignment wrapText="1"/>
      <protection locked="0"/>
    </xf>
    <xf numFmtId="0" fontId="34" fillId="0" borderId="52" xfId="3" applyFont="1" applyFill="1" applyBorder="1" applyAlignment="1" applyProtection="1">
      <protection locked="0"/>
    </xf>
    <xf numFmtId="0" fontId="34" fillId="0" borderId="52" xfId="2" applyFont="1" applyFill="1" applyBorder="1" applyAlignment="1" applyProtection="1">
      <protection locked="0"/>
    </xf>
    <xf numFmtId="0" fontId="34" fillId="0" borderId="4" xfId="2" applyFont="1" applyFill="1" applyBorder="1" applyAlignment="1" applyProtection="1">
      <protection locked="0"/>
    </xf>
    <xf numFmtId="0" fontId="34" fillId="0" borderId="51" xfId="2" applyFont="1" applyFill="1" applyBorder="1" applyAlignment="1" applyProtection="1">
      <protection locked="0"/>
    </xf>
    <xf numFmtId="0" fontId="34" fillId="0" borderId="52" xfId="2" applyFont="1" applyFill="1" applyBorder="1" applyAlignment="1" applyProtection="1">
      <alignment wrapText="1"/>
      <protection locked="0"/>
    </xf>
    <xf numFmtId="0" fontId="34" fillId="0" borderId="0" xfId="0" applyFont="1" applyFill="1" applyBorder="1" applyAlignment="1" applyProtection="1">
      <protection locked="0"/>
    </xf>
    <xf numFmtId="0" fontId="34" fillId="0" borderId="4" xfId="3" applyFont="1" applyFill="1" applyBorder="1" applyAlignment="1" applyProtection="1">
      <protection locked="0"/>
    </xf>
    <xf numFmtId="0" fontId="34" fillId="0" borderId="27" xfId="0" applyFont="1" applyFill="1" applyBorder="1" applyAlignment="1" applyProtection="1">
      <protection locked="0"/>
    </xf>
    <xf numFmtId="0" fontId="34" fillId="0" borderId="0" xfId="3" applyFont="1" applyFill="1" applyBorder="1" applyAlignment="1" applyProtection="1">
      <protection locked="0"/>
    </xf>
    <xf numFmtId="0" fontId="34" fillId="0" borderId="33" xfId="0" applyFont="1" applyFill="1" applyBorder="1" applyAlignment="1" applyProtection="1">
      <protection locked="0"/>
    </xf>
    <xf numFmtId="0" fontId="43" fillId="0" borderId="20" xfId="0" applyFont="1" applyFill="1" applyBorder="1" applyAlignment="1" applyProtection="1">
      <alignment horizontal="left"/>
      <protection locked="0"/>
    </xf>
    <xf numFmtId="0" fontId="43" fillId="0" borderId="18" xfId="0" applyFont="1" applyFill="1" applyBorder="1" applyAlignment="1" applyProtection="1">
      <alignment horizontal="left"/>
      <protection locked="0"/>
    </xf>
    <xf numFmtId="0" fontId="43" fillId="0" borderId="18" xfId="0" applyFont="1" applyFill="1" applyBorder="1" applyAlignment="1" applyProtection="1">
      <alignment horizontal="center"/>
      <protection locked="0"/>
    </xf>
    <xf numFmtId="0" fontId="43" fillId="0" borderId="53" xfId="0" applyFont="1" applyFill="1" applyBorder="1" applyAlignment="1" applyProtection="1">
      <alignment horizontal="left"/>
      <protection locked="0"/>
    </xf>
    <xf numFmtId="0" fontId="37" fillId="28" borderId="25" xfId="6" applyFont="1" applyFill="1" applyBorder="1" applyAlignment="1" applyProtection="1">
      <alignment horizontal="left"/>
    </xf>
    <xf numFmtId="0" fontId="37" fillId="28" borderId="12" xfId="6" applyFont="1" applyFill="1" applyBorder="1" applyAlignment="1" applyProtection="1">
      <alignment horizontal="left"/>
    </xf>
    <xf numFmtId="0" fontId="37" fillId="28" borderId="34" xfId="6" applyFont="1" applyFill="1" applyBorder="1" applyAlignment="1" applyProtection="1">
      <alignment horizontal="left"/>
    </xf>
    <xf numFmtId="0" fontId="3" fillId="3" borderId="22" xfId="0" applyFont="1" applyFill="1" applyBorder="1" applyAlignment="1" applyProtection="1">
      <alignment horizontal="center" vertical="center" textRotation="90"/>
    </xf>
    <xf numFmtId="0" fontId="3" fillId="3" borderId="5" xfId="0" applyFont="1" applyFill="1" applyBorder="1" applyAlignment="1" applyProtection="1">
      <alignment horizontal="center" vertical="center" textRotation="90"/>
    </xf>
    <xf numFmtId="0" fontId="3" fillId="3" borderId="6" xfId="0" applyFont="1" applyFill="1" applyBorder="1" applyAlignment="1" applyProtection="1">
      <alignment horizontal="center" vertical="center" textRotation="90"/>
    </xf>
    <xf numFmtId="0" fontId="3" fillId="3" borderId="23" xfId="0" applyFont="1" applyFill="1" applyBorder="1" applyAlignment="1" applyProtection="1">
      <alignment horizontal="center" vertical="center" textRotation="90"/>
    </xf>
    <xf numFmtId="0" fontId="3" fillId="3" borderId="1" xfId="0" applyFont="1" applyFill="1" applyBorder="1" applyAlignment="1" applyProtection="1">
      <alignment horizontal="center" vertical="center" textRotation="90"/>
    </xf>
    <xf numFmtId="0" fontId="3" fillId="3" borderId="2" xfId="0" applyFont="1" applyFill="1" applyBorder="1" applyAlignment="1" applyProtection="1">
      <alignment horizontal="center" vertical="center" textRotation="90"/>
    </xf>
    <xf numFmtId="0" fontId="3" fillId="4" borderId="23" xfId="0" applyFont="1" applyFill="1" applyBorder="1" applyAlignment="1" applyProtection="1">
      <alignment horizontal="center" vertical="center" textRotation="90"/>
    </xf>
    <xf numFmtId="0" fontId="3" fillId="4" borderId="1" xfId="0" applyFont="1" applyFill="1" applyBorder="1" applyAlignment="1" applyProtection="1">
      <alignment horizontal="center" vertical="center" textRotation="90"/>
    </xf>
    <xf numFmtId="0" fontId="3" fillId="4" borderId="2" xfId="0" applyFont="1" applyFill="1" applyBorder="1" applyAlignment="1" applyProtection="1">
      <alignment horizontal="center" vertical="center" textRotation="90"/>
    </xf>
    <xf numFmtId="0" fontId="3" fillId="5" borderId="23" xfId="0" applyFont="1" applyFill="1" applyBorder="1" applyAlignment="1" applyProtection="1">
      <alignment horizontal="center" vertical="center" textRotation="90"/>
    </xf>
    <xf numFmtId="0" fontId="3" fillId="5" borderId="1" xfId="0" applyFont="1" applyFill="1" applyBorder="1" applyAlignment="1" applyProtection="1">
      <alignment horizontal="center" vertical="center" textRotation="90"/>
    </xf>
    <xf numFmtId="0" fontId="3" fillId="5" borderId="2" xfId="0" applyFont="1" applyFill="1" applyBorder="1" applyAlignment="1" applyProtection="1">
      <alignment horizontal="center" vertical="center" textRotation="90"/>
    </xf>
    <xf numFmtId="0" fontId="42" fillId="0" borderId="13" xfId="0" applyFont="1" applyBorder="1" applyAlignment="1" applyProtection="1">
      <alignment horizontal="center" vertical="top" textRotation="60"/>
    </xf>
    <xf numFmtId="0" fontId="42" fillId="0" borderId="11" xfId="0" applyFont="1" applyBorder="1" applyAlignment="1" applyProtection="1">
      <alignment horizontal="center" vertical="top" textRotation="60"/>
    </xf>
    <xf numFmtId="0" fontId="3" fillId="4" borderId="24" xfId="0" applyFont="1" applyFill="1" applyBorder="1" applyAlignment="1" applyProtection="1">
      <alignment horizontal="center" vertical="center" textRotation="90"/>
    </xf>
    <xf numFmtId="0" fontId="3" fillId="4" borderId="4" xfId="0" applyFont="1" applyFill="1" applyBorder="1" applyAlignment="1" applyProtection="1">
      <alignment horizontal="center" vertical="center" textRotation="90"/>
    </xf>
    <xf numFmtId="0" fontId="3" fillId="4" borderId="32" xfId="0" applyFont="1" applyFill="1" applyBorder="1" applyAlignment="1" applyProtection="1">
      <alignment horizontal="center" vertical="center" textRotation="90"/>
    </xf>
    <xf numFmtId="0" fontId="27" fillId="14" borderId="23" xfId="0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center" vertical="center"/>
    </xf>
    <xf numFmtId="0" fontId="27" fillId="14" borderId="2" xfId="0" applyFont="1" applyFill="1" applyBorder="1" applyAlignment="1">
      <alignment horizontal="center" vertical="center"/>
    </xf>
    <xf numFmtId="0" fontId="12" fillId="3" borderId="27" xfId="0" applyFont="1" applyFill="1" applyBorder="1" applyAlignment="1">
      <alignment horizontal="center" vertical="center" textRotation="90"/>
    </xf>
    <xf numFmtId="0" fontId="12" fillId="3" borderId="0" xfId="0" applyFont="1" applyFill="1" applyAlignment="1">
      <alignment horizontal="center" vertical="center" textRotation="90"/>
    </xf>
    <xf numFmtId="0" fontId="12" fillId="0" borderId="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28" fillId="3" borderId="27" xfId="0" applyFont="1" applyFill="1" applyBorder="1" applyAlignment="1">
      <alignment horizontal="center" vertical="center" textRotation="90"/>
    </xf>
    <xf numFmtId="0" fontId="28" fillId="3" borderId="0" xfId="0" applyFont="1" applyFill="1" applyAlignment="1">
      <alignment horizontal="center" vertical="center" textRotation="90"/>
    </xf>
    <xf numFmtId="0" fontId="28" fillId="3" borderId="33" xfId="0" applyFont="1" applyFill="1" applyBorder="1" applyAlignment="1">
      <alignment horizontal="center" vertical="center" textRotation="90"/>
    </xf>
    <xf numFmtId="0" fontId="3" fillId="3" borderId="10" xfId="0" applyFont="1" applyFill="1" applyBorder="1" applyAlignment="1">
      <alignment horizontal="center" vertical="center" textRotation="90"/>
    </xf>
    <xf numFmtId="0" fontId="3" fillId="3" borderId="0" xfId="0" applyFont="1" applyFill="1" applyBorder="1" applyAlignment="1">
      <alignment horizontal="center" vertical="center" textRotation="90"/>
    </xf>
    <xf numFmtId="0" fontId="3" fillId="4" borderId="10" xfId="0" applyFont="1" applyFill="1" applyBorder="1" applyAlignment="1">
      <alignment horizontal="center" vertical="center" textRotation="90"/>
    </xf>
    <xf numFmtId="0" fontId="3" fillId="4" borderId="0" xfId="0" applyFont="1" applyFill="1" applyBorder="1" applyAlignment="1">
      <alignment horizontal="center" vertical="center" textRotation="90"/>
    </xf>
    <xf numFmtId="0" fontId="0" fillId="0" borderId="0" xfId="0" applyAlignment="1">
      <alignment horizontal="right"/>
    </xf>
    <xf numFmtId="0" fontId="3" fillId="30" borderId="0" xfId="0" applyFont="1" applyFill="1" applyAlignment="1">
      <alignment horizontal="center"/>
    </xf>
    <xf numFmtId="0" fontId="0" fillId="0" borderId="59" xfId="0" applyBorder="1"/>
    <xf numFmtId="0" fontId="0" fillId="0" borderId="60" xfId="0" applyBorder="1"/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2" fillId="13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9">
    <cellStyle name="Ausgabe" xfId="6" builtinId="21"/>
    <cellStyle name="Berechnung" xfId="4" builtinId="22"/>
    <cellStyle name="Eingabe" xfId="8" builtinId="20"/>
    <cellStyle name="Gut" xfId="1" builtinId="26"/>
    <cellStyle name="Link" xfId="7" builtinId="8"/>
    <cellStyle name="Notiz" xfId="5" builtinId="10"/>
    <cellStyle name="Schlecht" xfId="2" builtinId="27"/>
    <cellStyle name="Standard" xfId="0" builtinId="0"/>
    <cellStyle name="Standard 2" xfId="3" xr:uid="{00000000-0005-0000-0000-000005000000}"/>
  </cellStyles>
  <dxfs count="2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9FC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1009650</xdr:colOff>
          <xdr:row>0</xdr:row>
          <xdr:rowOff>47625</xdr:rowOff>
        </xdr:from>
        <xdr:to>
          <xdr:col>5</xdr:col>
          <xdr:colOff>5781675</xdr:colOff>
          <xdr:row>0</xdr:row>
          <xdr:rowOff>342900</xdr:rowOff>
        </xdr:to>
        <xdr:sp macro="" textlink="">
          <xdr:nvSpPr>
            <xdr:cNvPr id="2120" name="lbl_projekt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66675</xdr:rowOff>
    </xdr:from>
    <xdr:to>
      <xdr:col>0</xdr:col>
      <xdr:colOff>1889501</xdr:colOff>
      <xdr:row>7</xdr:row>
      <xdr:rowOff>79638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F9A4263-32D5-4DC2-87D5-3A1A39158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333375"/>
          <a:ext cx="1651376" cy="1155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3390900</xdr:colOff>
          <xdr:row>1</xdr:row>
          <xdr:rowOff>133350</xdr:rowOff>
        </xdr:from>
        <xdr:to>
          <xdr:col>11</xdr:col>
          <xdr:colOff>266700</xdr:colOff>
          <xdr:row>3</xdr:row>
          <xdr:rowOff>47625</xdr:rowOff>
        </xdr:to>
        <xdr:sp macro="" textlink="">
          <xdr:nvSpPr>
            <xdr:cNvPr id="69633" name="lbl_projekt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A357D45C-7396-4BB9-9F04-28FB487E2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3371850</xdr:colOff>
          <xdr:row>4</xdr:row>
          <xdr:rowOff>85725</xdr:rowOff>
        </xdr:from>
        <xdr:to>
          <xdr:col>11</xdr:col>
          <xdr:colOff>247650</xdr:colOff>
          <xdr:row>6</xdr:row>
          <xdr:rowOff>9525</xdr:rowOff>
        </xdr:to>
        <xdr:sp macro="" textlink="">
          <xdr:nvSpPr>
            <xdr:cNvPr id="69634" name="Label1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3EED9F47-4803-4341-951D-03CDBD081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95250</xdr:rowOff>
        </xdr:from>
        <xdr:to>
          <xdr:col>11</xdr:col>
          <xdr:colOff>323850</xdr:colOff>
          <xdr:row>8</xdr:row>
          <xdr:rowOff>19050</xdr:rowOff>
        </xdr:to>
        <xdr:sp macro="" textlink="">
          <xdr:nvSpPr>
            <xdr:cNvPr id="69635" name="Label2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D117C14F-DE12-4118-8558-B0524A232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66675</xdr:rowOff>
    </xdr:from>
    <xdr:to>
      <xdr:col>2</xdr:col>
      <xdr:colOff>3819525</xdr:colOff>
      <xdr:row>8</xdr:row>
      <xdr:rowOff>28575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828675"/>
          <a:ext cx="381952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3714750</xdr:colOff>
      <xdr:row>23</xdr:row>
      <xdr:rowOff>152400</xdr:rowOff>
    </xdr:to>
    <xdr:pic>
      <xdr:nvPicPr>
        <xdr:cNvPr id="3" name="Grafik 2" descr="image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" y="2095500"/>
          <a:ext cx="3714750" cy="2438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19050</xdr:colOff>
      <xdr:row>7</xdr:row>
      <xdr:rowOff>57149</xdr:rowOff>
    </xdr:from>
    <xdr:to>
      <xdr:col>13</xdr:col>
      <xdr:colOff>704850</xdr:colOff>
      <xdr:row>40</xdr:row>
      <xdr:rowOff>85724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8896350" y="1390649"/>
          <a:ext cx="8305800" cy="6315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Ich kann eine Ni 1000 L &amp; S Sensor im Konfigurator Gerät oder mit einem PCD7 verwenden.L310?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FAQ #101330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Bis heute ist die Ni1000 L &amp; S nicht in Device Configurator von PG5 2.0 (z.B. im PG5 2.0.150). Um diese Temperatur-Sensoren zu verbinden, muss die lesen Sie Temperatur konvertiert werden.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Symptom</a:t>
          </a:r>
          <a:b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 ist nicht möglich, konfigurieren Sie die Device Configurator um einen analogen Wert gemäß der Spezifikation für eine Ni1000 L &amp; S. lesen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Ebenso ist es nicht möglich, eine PCD7 zu konfigurieren.L310 interpretieren ein Temperatursensors mit der Spezifikation eines Ni1000 L &amp; S.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Grund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de-LU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Device Configurator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Der Geräte-Konfigurator bietet keine Sensortyp Ni1000 L &amp; S, da der entsprechende Umrechnungstabelle nicht in der Firmware der PCD zu konfigurierenden vorhanden ist.</a:t>
          </a:r>
        </a:p>
        <a:p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PCD7.L310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PCD7.L310 berechnet die Temperatur direkt aus dem gemessenen Widerstand der Ni 1000 DIN 43760 Sensor, der zu den Eingaben verbunden werden soll.</a:t>
          </a:r>
        </a:p>
        <a:p>
          <a:r>
            <a:rPr lang="de-LU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Lösung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Für den Fall, dass ein NI 1000 Tk 5000 (oder Ni 1000 L &amp; S) ist ein analoges Modul angeschlossen werden (die Ni1000 Sensoren unterstützt) und dieses Modul ist so konfiguriert, mit dem Geräte-Konfigurator, die Temperatur, die Bedürfnisse zu skalierende gelesen wird. Die folgenden Einstellungen müssen verwendet werden: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Â§ix101504Â§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Der Korrekturfaktor aus dem Wert empfangen vom DC / PCD7.L310 auf die Temperatur, wenn ein Ni 1000 Tk 5000 Sensor angeschlossen ist ist 1.234 (1.23430072 um ganz genau zu sein).</a:t>
          </a: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de-LU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Die Korrektur kann leicht berechnet werden, mithilfe der Konvertierungs FBox aus der HVC allgemeine FBox-Bibliothek:</a:t>
          </a:r>
        </a:p>
        <a:p>
          <a:endParaRPr lang="de-L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enpunktlisten_backup/Datenpunktliste_2020_V06_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SDUS0202"/>
      <sheetName val="MR-DO4"/>
      <sheetName val="MR-AO4"/>
      <sheetName val="EscoModul"/>
      <sheetName val="Modulliste"/>
      <sheetName val="Erweiterungen"/>
      <sheetName val="DOKU"/>
      <sheetName val="InbetriebnahmeProtokoll"/>
      <sheetName val="Objektliste"/>
      <sheetName val="promos"/>
      <sheetName val="Name_aus_PList"/>
      <sheetName val="DMS"/>
      <sheetName val="alte_Datenpunktliste"/>
      <sheetName val="Visio_Import"/>
      <sheetName val="Visio_Export"/>
      <sheetName val="Visio_Export (2)"/>
      <sheetName val="Kabelzugliste"/>
      <sheetName val="BMKZ-Belegung"/>
      <sheetName val="DB"/>
      <sheetName val="DB2"/>
      <sheetName val="NI1000TK5"/>
      <sheetName val="Arbeitsblatt"/>
      <sheetName val="Import_CFG"/>
      <sheetName val="tmp"/>
      <sheetName val="Namen_cfg"/>
      <sheetName val="Test"/>
      <sheetName val="MES01"/>
      <sheetName val="MOT1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>
        <row r="1">
          <cell r="A1" t="str">
            <v>PCD3.A465</v>
          </cell>
          <cell r="B1" t="str">
            <v>DigitalOutput</v>
          </cell>
          <cell r="C1" t="str">
            <v>F.</v>
          </cell>
        </row>
        <row r="2">
          <cell r="A2" t="str">
            <v>PCD3.A810</v>
          </cell>
          <cell r="B2" t="str">
            <v>DigitalOutput</v>
          </cell>
          <cell r="C2" t="str">
            <v>F.</v>
          </cell>
        </row>
        <row r="3">
          <cell r="A3" t="str">
            <v>PCD3.E165</v>
          </cell>
          <cell r="B3" t="str">
            <v>DigitalInput</v>
          </cell>
          <cell r="C3" t="str">
            <v>F.</v>
          </cell>
        </row>
        <row r="4">
          <cell r="A4" t="str">
            <v>PCD3.W340</v>
          </cell>
          <cell r="B4" t="str">
            <v>AnalogueInput</v>
          </cell>
          <cell r="C4" t="str">
            <v>R.</v>
          </cell>
        </row>
        <row r="5">
          <cell r="A5" t="str">
            <v>PCD3.W400</v>
          </cell>
          <cell r="B5" t="str">
            <v>AnalogueOutput</v>
          </cell>
          <cell r="C5" t="str">
            <v>R.</v>
          </cell>
        </row>
        <row r="6">
          <cell r="A6" t="str">
            <v>PCD3.W800</v>
          </cell>
          <cell r="B6" t="str">
            <v>AnalogueOutput</v>
          </cell>
          <cell r="C6" t="str">
            <v>R.</v>
          </cell>
        </row>
        <row r="7">
          <cell r="A7" t="str">
            <v>x</v>
          </cell>
          <cell r="B7" t="str">
            <v>.</v>
          </cell>
        </row>
        <row r="8">
          <cell r="A8" t="str">
            <v>PCD7.R562</v>
          </cell>
          <cell r="B8" t="str">
            <v>.</v>
          </cell>
        </row>
      </sheetData>
      <sheetData sheetId="19">
        <row r="1">
          <cell r="A1" t="str">
            <v>_MOT01_</v>
          </cell>
          <cell r="C1" t="str">
            <v>_MOT10_</v>
          </cell>
          <cell r="E1" t="str">
            <v>_MEL01_</v>
          </cell>
          <cell r="G1" t="str">
            <v>_MES01_</v>
          </cell>
          <cell r="I1" t="str">
            <v>_VEN01_</v>
          </cell>
          <cell r="K1" t="str">
            <v>_VEN02_</v>
          </cell>
          <cell r="M1" t="str">
            <v>_DIG01_</v>
          </cell>
          <cell r="O1" t="str">
            <v>_ANA01_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sbc-support.com/de/faq/101330/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rgb="FF01FF01"/>
    <pageSetUpPr fitToPage="1"/>
  </sheetPr>
  <dimension ref="A1:AJ1048576"/>
  <sheetViews>
    <sheetView tabSelected="1" zoomScaleNormal="100" workbookViewId="0">
      <pane ySplit="1" topLeftCell="A2" activePane="bottomLeft" state="frozen"/>
      <selection activeCell="F26" sqref="F26"/>
      <selection pane="bottomLeft" activeCell="F12" sqref="F12"/>
    </sheetView>
  </sheetViews>
  <sheetFormatPr baseColWidth="10" defaultRowHeight="15" x14ac:dyDescent="0.25"/>
  <cols>
    <col min="1" max="2" width="5.140625" style="385" bestFit="1" customWidth="1"/>
    <col min="3" max="3" width="9" style="387" bestFit="1" customWidth="1"/>
    <col min="4" max="4" width="3.42578125" style="393" bestFit="1" customWidth="1"/>
    <col min="5" max="5" width="6.7109375" style="426" customWidth="1"/>
    <col min="6" max="6" width="100.7109375" style="480" bestFit="1" customWidth="1"/>
    <col min="7" max="7" width="9.85546875" style="351" customWidth="1"/>
    <col min="8" max="10" width="9.140625" style="351" bestFit="1" customWidth="1"/>
    <col min="11" max="11" width="9.140625" style="356" bestFit="1" customWidth="1"/>
    <col min="12" max="12" width="40.5703125" style="383" customWidth="1"/>
    <col min="13" max="13" width="9" style="352" customWidth="1"/>
    <col min="14" max="14" width="23.28515625" style="404" customWidth="1"/>
    <col min="15" max="15" width="12.7109375" style="364" customWidth="1"/>
    <col min="16" max="16" width="25.28515625" style="411" customWidth="1"/>
    <col min="17" max="17" width="9.7109375" style="352" customWidth="1"/>
    <col min="18" max="18" width="26" style="417" customWidth="1"/>
    <col min="19" max="19" width="47.7109375" style="422" customWidth="1"/>
    <col min="20" max="20" width="9" style="365" customWidth="1"/>
    <col min="21" max="22" width="9.140625" style="291" customWidth="1"/>
    <col min="23" max="23" width="3.140625" style="291" customWidth="1"/>
    <col min="24" max="24" width="14.28515625" style="291" customWidth="1"/>
    <col min="25" max="25" width="14.42578125" style="291" customWidth="1"/>
    <col min="26" max="26" width="31.28515625" style="366" customWidth="1"/>
    <col min="27" max="27" width="13.28515625" style="367" customWidth="1"/>
    <col min="28" max="29" width="9.140625" style="291" customWidth="1"/>
    <col min="30" max="30" width="11.42578125" style="354" customWidth="1"/>
    <col min="31" max="31" width="11.42578125" style="355" customWidth="1"/>
    <col min="32" max="32" width="4.42578125" style="342" customWidth="1"/>
    <col min="33" max="33" width="11.42578125" style="350" customWidth="1"/>
    <col min="34" max="52" width="11.42578125" style="342" customWidth="1"/>
    <col min="53" max="16384" width="11.42578125" style="342"/>
  </cols>
  <sheetData>
    <row r="1" spans="1:33" s="381" customFormat="1" ht="93" customHeight="1" thickBot="1" x14ac:dyDescent="0.3">
      <c r="A1" s="498" t="s">
        <v>856</v>
      </c>
      <c r="B1" s="499"/>
      <c r="C1" s="370" t="s">
        <v>482</v>
      </c>
      <c r="D1" s="376"/>
      <c r="E1" s="371" t="s">
        <v>210</v>
      </c>
      <c r="F1" s="424" t="s">
        <v>54</v>
      </c>
      <c r="G1" s="372" t="s">
        <v>1335</v>
      </c>
      <c r="H1" s="373" t="s">
        <v>542</v>
      </c>
      <c r="I1" s="373" t="s">
        <v>543</v>
      </c>
      <c r="J1" s="373" t="s">
        <v>544</v>
      </c>
      <c r="K1" s="373" t="s">
        <v>545</v>
      </c>
      <c r="L1" s="463" t="str">
        <f>"DMS-NAME "</f>
        <v xml:space="preserve">DMS-NAME </v>
      </c>
      <c r="M1" s="374" t="s">
        <v>52</v>
      </c>
      <c r="N1" s="375" t="s">
        <v>60</v>
      </c>
      <c r="O1" s="376"/>
      <c r="P1" s="377" t="s">
        <v>61</v>
      </c>
      <c r="Q1" s="374" t="s">
        <v>144</v>
      </c>
      <c r="R1" s="378" t="s">
        <v>127</v>
      </c>
      <c r="S1" s="376" t="s">
        <v>54</v>
      </c>
      <c r="T1" s="371" t="s">
        <v>514</v>
      </c>
      <c r="U1" s="371"/>
      <c r="V1" s="371" t="s">
        <v>515</v>
      </c>
      <c r="W1" s="376" t="s">
        <v>515</v>
      </c>
      <c r="X1" s="379" t="s">
        <v>782</v>
      </c>
      <c r="Y1" s="376" t="s">
        <v>47</v>
      </c>
      <c r="Z1" s="371" t="s">
        <v>48</v>
      </c>
      <c r="AA1" s="380">
        <v>32</v>
      </c>
      <c r="AB1" s="371"/>
      <c r="AC1" s="376"/>
      <c r="AD1" s="464" t="s">
        <v>541</v>
      </c>
      <c r="AE1" s="465"/>
      <c r="AF1" s="380"/>
      <c r="AG1" s="427" t="s">
        <v>1268</v>
      </c>
    </row>
    <row r="2" spans="1:33" s="279" customFormat="1" ht="14.45" customHeight="1" x14ac:dyDescent="0.25">
      <c r="A2" s="486" t="s">
        <v>44</v>
      </c>
      <c r="B2" s="489" t="str">
        <f>LOOKUP(A2,Module,IO)</f>
        <v>.</v>
      </c>
      <c r="C2" s="500" t="s">
        <v>8</v>
      </c>
      <c r="D2" s="389" t="s">
        <v>160</v>
      </c>
      <c r="E2" s="395">
        <v>0</v>
      </c>
      <c r="F2" s="467"/>
      <c r="G2" s="267"/>
      <c r="H2" s="268"/>
      <c r="I2" s="267"/>
      <c r="J2" s="269"/>
      <c r="K2" s="269"/>
      <c r="L2" s="483"/>
      <c r="M2" s="270"/>
      <c r="N2" s="401"/>
      <c r="O2" s="271"/>
      <c r="P2" s="405"/>
      <c r="Q2" s="271"/>
      <c r="R2" s="412"/>
      <c r="S2" s="418"/>
      <c r="T2" s="271"/>
      <c r="U2" s="272"/>
      <c r="V2" s="272"/>
      <c r="W2" s="272"/>
      <c r="X2" s="272"/>
      <c r="Y2" s="272"/>
      <c r="Z2" s="273"/>
      <c r="AA2" s="274"/>
      <c r="AB2" s="275"/>
      <c r="AC2" s="276"/>
      <c r="AD2" s="277"/>
      <c r="AE2" s="278"/>
      <c r="AG2" s="280"/>
    </row>
    <row r="3" spans="1:33" s="294" customFormat="1" x14ac:dyDescent="0.25">
      <c r="A3" s="487"/>
      <c r="B3" s="490"/>
      <c r="C3" s="501"/>
      <c r="D3" s="390">
        <v>1</v>
      </c>
      <c r="E3" s="396">
        <v>1</v>
      </c>
      <c r="F3" s="468"/>
      <c r="G3" s="282"/>
      <c r="H3" s="283"/>
      <c r="I3" s="282"/>
      <c r="J3" s="284"/>
      <c r="K3" s="284"/>
      <c r="L3" s="484"/>
      <c r="M3" s="285"/>
      <c r="N3" s="402"/>
      <c r="O3" s="286"/>
      <c r="P3" s="406"/>
      <c r="Q3" s="286"/>
      <c r="R3" s="413"/>
      <c r="S3" s="419"/>
      <c r="T3" s="286"/>
      <c r="U3" s="287"/>
      <c r="V3" s="287"/>
      <c r="W3" s="287"/>
      <c r="X3" s="287"/>
      <c r="Y3" s="287"/>
      <c r="Z3" s="288"/>
      <c r="AA3" s="289"/>
      <c r="AB3" s="290"/>
      <c r="AC3" s="291"/>
      <c r="AD3" s="292"/>
      <c r="AE3" s="293"/>
      <c r="AG3" s="295"/>
    </row>
    <row r="4" spans="1:33" s="294" customFormat="1" x14ac:dyDescent="0.25">
      <c r="A4" s="487"/>
      <c r="B4" s="490"/>
      <c r="C4" s="501"/>
      <c r="D4" s="390">
        <v>2</v>
      </c>
      <c r="E4" s="396">
        <v>2</v>
      </c>
      <c r="F4" s="469"/>
      <c r="G4" s="282"/>
      <c r="H4" s="283"/>
      <c r="I4" s="282"/>
      <c r="J4" s="284"/>
      <c r="K4" s="284"/>
      <c r="L4" s="484"/>
      <c r="M4" s="285"/>
      <c r="N4" s="402"/>
      <c r="O4" s="286"/>
      <c r="P4" s="406"/>
      <c r="Q4" s="286"/>
      <c r="R4" s="413"/>
      <c r="S4" s="419"/>
      <c r="T4" s="286"/>
      <c r="U4" s="287"/>
      <c r="V4" s="287"/>
      <c r="W4" s="287"/>
      <c r="X4" s="287"/>
      <c r="Y4" s="287"/>
      <c r="Z4" s="288"/>
      <c r="AA4" s="289"/>
      <c r="AB4" s="290"/>
      <c r="AC4" s="291"/>
      <c r="AD4" s="292"/>
      <c r="AE4" s="293"/>
      <c r="AG4" s="295"/>
    </row>
    <row r="5" spans="1:33" s="294" customFormat="1" x14ac:dyDescent="0.25">
      <c r="A5" s="487"/>
      <c r="B5" s="490"/>
      <c r="C5" s="501"/>
      <c r="D5" s="390">
        <v>3</v>
      </c>
      <c r="E5" s="396">
        <v>3</v>
      </c>
      <c r="F5" s="468"/>
      <c r="G5" s="282"/>
      <c r="H5" s="283"/>
      <c r="I5" s="282"/>
      <c r="J5" s="284"/>
      <c r="K5" s="284"/>
      <c r="L5" s="484"/>
      <c r="M5" s="285"/>
      <c r="N5" s="402"/>
      <c r="O5" s="286"/>
      <c r="P5" s="406"/>
      <c r="Q5" s="286"/>
      <c r="R5" s="413"/>
      <c r="S5" s="419"/>
      <c r="T5" s="286"/>
      <c r="U5" s="287"/>
      <c r="V5" s="287"/>
      <c r="W5" s="287"/>
      <c r="X5" s="287"/>
      <c r="Y5" s="287"/>
      <c r="Z5" s="288"/>
      <c r="AA5" s="289"/>
      <c r="AB5" s="290"/>
      <c r="AC5" s="291"/>
      <c r="AD5" s="292"/>
      <c r="AE5" s="293"/>
      <c r="AG5" s="295"/>
    </row>
    <row r="6" spans="1:33" s="294" customFormat="1" x14ac:dyDescent="0.25">
      <c r="A6" s="487"/>
      <c r="B6" s="490"/>
      <c r="C6" s="501"/>
      <c r="D6" s="390">
        <v>4</v>
      </c>
      <c r="E6" s="396">
        <v>4</v>
      </c>
      <c r="F6" s="469"/>
      <c r="G6" s="282"/>
      <c r="H6" s="283"/>
      <c r="I6" s="282"/>
      <c r="J6" s="284"/>
      <c r="K6" s="284"/>
      <c r="L6" s="484"/>
      <c r="M6" s="285"/>
      <c r="N6" s="402"/>
      <c r="O6" s="286"/>
      <c r="P6" s="406"/>
      <c r="Q6" s="286"/>
      <c r="R6" s="413"/>
      <c r="S6" s="419"/>
      <c r="T6" s="286"/>
      <c r="U6" s="287"/>
      <c r="V6" s="287"/>
      <c r="W6" s="287"/>
      <c r="X6" s="287"/>
      <c r="Y6" s="287"/>
      <c r="Z6" s="288"/>
      <c r="AA6" s="289"/>
      <c r="AB6" s="290"/>
      <c r="AC6" s="291"/>
      <c r="AD6" s="292"/>
      <c r="AE6" s="293"/>
      <c r="AG6" s="295"/>
    </row>
    <row r="7" spans="1:33" s="294" customFormat="1" x14ac:dyDescent="0.25">
      <c r="A7" s="487"/>
      <c r="B7" s="490"/>
      <c r="C7" s="501"/>
      <c r="D7" s="390">
        <v>5</v>
      </c>
      <c r="E7" s="396">
        <v>5</v>
      </c>
      <c r="F7" s="469"/>
      <c r="G7" s="282"/>
      <c r="H7" s="283"/>
      <c r="I7" s="282"/>
      <c r="J7" s="284"/>
      <c r="K7" s="284"/>
      <c r="L7" s="484"/>
      <c r="M7" s="285"/>
      <c r="N7" s="402"/>
      <c r="O7" s="286"/>
      <c r="P7" s="406"/>
      <c r="Q7" s="286"/>
      <c r="R7" s="413"/>
      <c r="S7" s="419"/>
      <c r="T7" s="286"/>
      <c r="U7" s="287"/>
      <c r="V7" s="287"/>
      <c r="W7" s="287"/>
      <c r="X7" s="287"/>
      <c r="Y7" s="287"/>
      <c r="Z7" s="288"/>
      <c r="AA7" s="289"/>
      <c r="AB7" s="290"/>
      <c r="AC7" s="291"/>
      <c r="AD7" s="292"/>
      <c r="AE7" s="293"/>
      <c r="AG7" s="295"/>
    </row>
    <row r="8" spans="1:33" s="294" customFormat="1" x14ac:dyDescent="0.25">
      <c r="A8" s="487"/>
      <c r="B8" s="490"/>
      <c r="C8" s="501"/>
      <c r="D8" s="390">
        <v>6</v>
      </c>
      <c r="E8" s="396">
        <v>6</v>
      </c>
      <c r="F8" s="468"/>
      <c r="G8" s="282"/>
      <c r="H8" s="283"/>
      <c r="I8" s="282"/>
      <c r="J8" s="284"/>
      <c r="K8" s="284"/>
      <c r="L8" s="484"/>
      <c r="M8" s="285"/>
      <c r="N8" s="402"/>
      <c r="O8" s="286"/>
      <c r="P8" s="406"/>
      <c r="Q8" s="286"/>
      <c r="R8" s="413"/>
      <c r="S8" s="419"/>
      <c r="T8" s="286"/>
      <c r="U8" s="287"/>
      <c r="V8" s="287"/>
      <c r="W8" s="287"/>
      <c r="X8" s="287"/>
      <c r="Y8" s="287"/>
      <c r="Z8" s="288"/>
      <c r="AA8" s="289"/>
      <c r="AB8" s="290"/>
      <c r="AC8" s="291"/>
      <c r="AD8" s="292"/>
      <c r="AE8" s="293"/>
      <c r="AG8" s="295"/>
    </row>
    <row r="9" spans="1:33" s="294" customFormat="1" x14ac:dyDescent="0.25">
      <c r="A9" s="487"/>
      <c r="B9" s="490"/>
      <c r="C9" s="501"/>
      <c r="D9" s="390">
        <v>7</v>
      </c>
      <c r="E9" s="396">
        <v>7</v>
      </c>
      <c r="F9" s="470"/>
      <c r="G9" s="282"/>
      <c r="H9" s="283"/>
      <c r="I9" s="282"/>
      <c r="J9" s="284"/>
      <c r="K9" s="284"/>
      <c r="L9" s="484"/>
      <c r="M9" s="285"/>
      <c r="N9" s="402"/>
      <c r="O9" s="286"/>
      <c r="P9" s="406"/>
      <c r="Q9" s="286"/>
      <c r="R9" s="413"/>
      <c r="S9" s="419"/>
      <c r="T9" s="286"/>
      <c r="U9" s="287"/>
      <c r="V9" s="287"/>
      <c r="W9" s="287"/>
      <c r="X9" s="287"/>
      <c r="Y9" s="287"/>
      <c r="Z9" s="288"/>
      <c r="AA9" s="289"/>
      <c r="AB9" s="290"/>
      <c r="AC9" s="291"/>
      <c r="AD9" s="292" t="s">
        <v>620</v>
      </c>
      <c r="AE9" s="293" t="s">
        <v>614</v>
      </c>
      <c r="AG9" s="295"/>
    </row>
    <row r="10" spans="1:33" s="294" customFormat="1" x14ac:dyDescent="0.25">
      <c r="A10" s="487"/>
      <c r="B10" s="490"/>
      <c r="C10" s="501"/>
      <c r="D10" s="390">
        <v>8</v>
      </c>
      <c r="E10" s="396">
        <v>8</v>
      </c>
      <c r="F10" s="470"/>
      <c r="G10" s="282"/>
      <c r="H10" s="283"/>
      <c r="I10" s="282"/>
      <c r="J10" s="284"/>
      <c r="K10" s="284"/>
      <c r="L10" s="484"/>
      <c r="M10" s="285"/>
      <c r="N10" s="402"/>
      <c r="O10" s="286"/>
      <c r="P10" s="406"/>
      <c r="Q10" s="286"/>
      <c r="R10" s="413"/>
      <c r="S10" s="419"/>
      <c r="T10" s="286"/>
      <c r="U10" s="287"/>
      <c r="V10" s="287"/>
      <c r="W10" s="287"/>
      <c r="X10" s="287"/>
      <c r="Y10" s="287"/>
      <c r="Z10" s="288"/>
      <c r="AA10" s="289"/>
      <c r="AB10" s="290"/>
      <c r="AC10" s="291"/>
      <c r="AD10" s="292"/>
      <c r="AE10" s="293"/>
      <c r="AG10" s="295"/>
    </row>
    <row r="11" spans="1:33" s="294" customFormat="1" x14ac:dyDescent="0.25">
      <c r="A11" s="487"/>
      <c r="B11" s="490"/>
      <c r="C11" s="501"/>
      <c r="D11" s="390">
        <v>9</v>
      </c>
      <c r="E11" s="397">
        <v>9</v>
      </c>
      <c r="F11" s="471"/>
      <c r="G11" s="282"/>
      <c r="H11" s="283"/>
      <c r="I11" s="282"/>
      <c r="J11" s="284"/>
      <c r="K11" s="284"/>
      <c r="L11" s="484"/>
      <c r="M11" s="285"/>
      <c r="N11" s="402"/>
      <c r="O11" s="286"/>
      <c r="P11" s="406"/>
      <c r="Q11" s="286"/>
      <c r="R11" s="413"/>
      <c r="S11" s="419"/>
      <c r="T11" s="286"/>
      <c r="U11" s="287"/>
      <c r="V11" s="287"/>
      <c r="W11" s="287"/>
      <c r="X11" s="287"/>
      <c r="Y11" s="287"/>
      <c r="Z11" s="288"/>
      <c r="AA11" s="289"/>
      <c r="AB11" s="290"/>
      <c r="AC11" s="291"/>
      <c r="AD11" s="292"/>
      <c r="AE11" s="293"/>
      <c r="AG11" s="295"/>
    </row>
    <row r="12" spans="1:33" s="294" customFormat="1" x14ac:dyDescent="0.25">
      <c r="A12" s="487"/>
      <c r="B12" s="490"/>
      <c r="C12" s="501"/>
      <c r="D12" s="391">
        <v>1</v>
      </c>
      <c r="E12" s="396">
        <v>10</v>
      </c>
      <c r="F12" s="471"/>
      <c r="G12" s="282"/>
      <c r="H12" s="283"/>
      <c r="I12" s="282"/>
      <c r="J12" s="284"/>
      <c r="K12" s="284"/>
      <c r="L12" s="484"/>
      <c r="M12" s="285"/>
      <c r="N12" s="402"/>
      <c r="O12" s="286"/>
      <c r="P12" s="406"/>
      <c r="Q12" s="286"/>
      <c r="R12" s="413"/>
      <c r="S12" s="419"/>
      <c r="T12" s="286"/>
      <c r="U12" s="287"/>
      <c r="V12" s="287"/>
      <c r="W12" s="287"/>
      <c r="X12" s="287"/>
      <c r="Y12" s="287"/>
      <c r="Z12" s="288"/>
      <c r="AA12" s="289"/>
      <c r="AB12" s="290"/>
      <c r="AC12" s="291"/>
      <c r="AD12" s="292"/>
      <c r="AE12" s="293"/>
      <c r="AG12" s="295"/>
    </row>
    <row r="13" spans="1:33" s="294" customFormat="1" x14ac:dyDescent="0.25">
      <c r="A13" s="487"/>
      <c r="B13" s="490"/>
      <c r="C13" s="501"/>
      <c r="D13" s="391">
        <v>11</v>
      </c>
      <c r="E13" s="396">
        <v>11</v>
      </c>
      <c r="F13" s="470"/>
      <c r="G13" s="282"/>
      <c r="H13" s="283"/>
      <c r="I13" s="282"/>
      <c r="J13" s="284"/>
      <c r="K13" s="284"/>
      <c r="L13" s="484"/>
      <c r="M13" s="285"/>
      <c r="N13" s="402"/>
      <c r="O13" s="286"/>
      <c r="P13" s="406"/>
      <c r="Q13" s="286"/>
      <c r="R13" s="413"/>
      <c r="S13" s="419"/>
      <c r="T13" s="286"/>
      <c r="U13" s="287"/>
      <c r="V13" s="287"/>
      <c r="W13" s="287"/>
      <c r="X13" s="287"/>
      <c r="Y13" s="287"/>
      <c r="Z13" s="288"/>
      <c r="AA13" s="289"/>
      <c r="AB13" s="290"/>
      <c r="AC13" s="291"/>
      <c r="AD13" s="292"/>
      <c r="AE13" s="293"/>
      <c r="AG13" s="295"/>
    </row>
    <row r="14" spans="1:33" s="294" customFormat="1" x14ac:dyDescent="0.25">
      <c r="A14" s="487"/>
      <c r="B14" s="490"/>
      <c r="C14" s="501"/>
      <c r="D14" s="391">
        <v>12</v>
      </c>
      <c r="E14" s="396">
        <v>12</v>
      </c>
      <c r="F14" s="470"/>
      <c r="G14" s="282"/>
      <c r="H14" s="283"/>
      <c r="I14" s="282"/>
      <c r="J14" s="284"/>
      <c r="K14" s="284"/>
      <c r="L14" s="484"/>
      <c r="M14" s="285"/>
      <c r="N14" s="402"/>
      <c r="O14" s="286"/>
      <c r="P14" s="406"/>
      <c r="Q14" s="286"/>
      <c r="R14" s="413"/>
      <c r="S14" s="419"/>
      <c r="T14" s="286"/>
      <c r="U14" s="287"/>
      <c r="V14" s="287"/>
      <c r="W14" s="287"/>
      <c r="X14" s="287"/>
      <c r="Y14" s="287"/>
      <c r="Z14" s="288"/>
      <c r="AA14" s="289"/>
      <c r="AB14" s="290"/>
      <c r="AC14" s="291"/>
      <c r="AD14" s="292"/>
      <c r="AE14" s="293"/>
      <c r="AG14" s="295"/>
    </row>
    <row r="15" spans="1:33" s="294" customFormat="1" x14ac:dyDescent="0.25">
      <c r="A15" s="487"/>
      <c r="B15" s="490"/>
      <c r="C15" s="501"/>
      <c r="D15" s="391">
        <v>13</v>
      </c>
      <c r="E15" s="396">
        <v>13</v>
      </c>
      <c r="F15" s="470"/>
      <c r="G15" s="282"/>
      <c r="H15" s="283"/>
      <c r="I15" s="282"/>
      <c r="J15" s="284"/>
      <c r="K15" s="284"/>
      <c r="L15" s="484"/>
      <c r="M15" s="285"/>
      <c r="N15" s="402"/>
      <c r="O15" s="286"/>
      <c r="P15" s="406"/>
      <c r="Q15" s="286"/>
      <c r="R15" s="413"/>
      <c r="S15" s="419"/>
      <c r="T15" s="286"/>
      <c r="U15" s="287"/>
      <c r="V15" s="287"/>
      <c r="W15" s="287"/>
      <c r="X15" s="287"/>
      <c r="Y15" s="287"/>
      <c r="Z15" s="288"/>
      <c r="AA15" s="289"/>
      <c r="AB15" s="290"/>
      <c r="AC15" s="291"/>
      <c r="AD15" s="292"/>
      <c r="AE15" s="293"/>
      <c r="AG15" s="295"/>
    </row>
    <row r="16" spans="1:33" s="294" customFormat="1" x14ac:dyDescent="0.25">
      <c r="A16" s="487"/>
      <c r="B16" s="490"/>
      <c r="C16" s="501"/>
      <c r="D16" s="391">
        <v>14</v>
      </c>
      <c r="E16" s="396">
        <v>14</v>
      </c>
      <c r="F16" s="470"/>
      <c r="G16" s="282"/>
      <c r="H16" s="283"/>
      <c r="I16" s="282"/>
      <c r="J16" s="284"/>
      <c r="K16" s="284"/>
      <c r="L16" s="484"/>
      <c r="M16" s="285"/>
      <c r="N16" s="402"/>
      <c r="O16" s="286"/>
      <c r="P16" s="406"/>
      <c r="Q16" s="286"/>
      <c r="R16" s="413"/>
      <c r="S16" s="419"/>
      <c r="T16" s="286"/>
      <c r="U16" s="287"/>
      <c r="V16" s="287"/>
      <c r="W16" s="287"/>
      <c r="X16" s="287"/>
      <c r="Y16" s="287"/>
      <c r="Z16" s="288"/>
      <c r="AA16" s="289"/>
      <c r="AB16" s="290"/>
      <c r="AC16" s="291"/>
      <c r="AD16" s="292"/>
      <c r="AE16" s="293"/>
      <c r="AG16" s="295"/>
    </row>
    <row r="17" spans="1:33" s="294" customFormat="1" ht="15.75" thickBot="1" x14ac:dyDescent="0.3">
      <c r="A17" s="488"/>
      <c r="B17" s="491"/>
      <c r="C17" s="502"/>
      <c r="D17" s="391">
        <v>15</v>
      </c>
      <c r="E17" s="396">
        <v>15</v>
      </c>
      <c r="F17" s="470"/>
      <c r="G17" s="282"/>
      <c r="H17" s="283"/>
      <c r="I17" s="282"/>
      <c r="J17" s="284"/>
      <c r="K17" s="284"/>
      <c r="L17" s="484"/>
      <c r="M17" s="285"/>
      <c r="N17" s="402"/>
      <c r="O17" s="286"/>
      <c r="P17" s="406"/>
      <c r="Q17" s="286"/>
      <c r="R17" s="413"/>
      <c r="S17" s="419"/>
      <c r="T17" s="286"/>
      <c r="U17" s="287"/>
      <c r="V17" s="287"/>
      <c r="W17" s="287"/>
      <c r="X17" s="287"/>
      <c r="Y17" s="287"/>
      <c r="Z17" s="288"/>
      <c r="AA17" s="289"/>
      <c r="AB17" s="290"/>
      <c r="AC17" s="291"/>
      <c r="AD17" s="292"/>
      <c r="AE17" s="293"/>
      <c r="AG17" s="295"/>
    </row>
    <row r="18" spans="1:33" s="279" customFormat="1" ht="14.45" customHeight="1" x14ac:dyDescent="0.25">
      <c r="A18" s="486" t="s">
        <v>44</v>
      </c>
      <c r="B18" s="489" t="str">
        <f>LOOKUP(A18,Module,IO)</f>
        <v>.</v>
      </c>
      <c r="C18" s="492" t="s">
        <v>9</v>
      </c>
      <c r="D18" s="389" t="s">
        <v>160</v>
      </c>
      <c r="E18" s="395">
        <v>16</v>
      </c>
      <c r="F18" s="472"/>
      <c r="G18" s="267"/>
      <c r="H18" s="268"/>
      <c r="I18" s="267"/>
      <c r="J18" s="269"/>
      <c r="K18" s="269"/>
      <c r="L18" s="483" t="str">
        <f>IF(G18&lt;&gt;"",$G$1&amp;":"&amp;G18&amp;":"&amp;H18&amp;":"&amp;I18&amp;":"&amp;(IF(K18&lt;&gt;"",J18&amp;":"&amp;K18,J18)),"")</f>
        <v/>
      </c>
      <c r="M18" s="270"/>
      <c r="N18" s="401" t="str">
        <f t="shared" ref="N18:N33" si="0">IF(F18&lt;&gt;"",IF($H$1&lt;&gt;"","IO"&amp;".","IO.")&amp;$C$18&amp;"."&amp;$B$18&amp;D18,"")</f>
        <v/>
      </c>
      <c r="O18" s="271">
        <f t="shared" ref="O18:O33" si="1">LOOKUP($A$18,Module,Type)</f>
        <v>0</v>
      </c>
      <c r="P18" s="405" t="str">
        <f>O18&amp;N18</f>
        <v>0</v>
      </c>
      <c r="Q18" s="271"/>
      <c r="R18" s="412" t="str">
        <f t="shared" ref="R18:R65" si="2">IF(G18&lt;&gt;"",G18&amp;"."&amp;H18&amp;"."&amp;I18&amp;"."&amp;J18&amp;IF(K18&lt;&gt;"","."&amp;K18,""),"")</f>
        <v/>
      </c>
      <c r="S18" s="418" t="str">
        <f t="shared" ref="S18:S65" si="3">L18&amp;":NAME"</f>
        <v>:NAME</v>
      </c>
      <c r="T18" s="271"/>
      <c r="U18" s="272"/>
      <c r="V18" s="272"/>
      <c r="W18" s="272"/>
      <c r="X18" s="272"/>
      <c r="Y18" s="297"/>
      <c r="Z18" s="273"/>
      <c r="AA18" s="274">
        <f t="shared" ref="AA18:AA66" si="4">LEN(L18)</f>
        <v>0</v>
      </c>
      <c r="AB18" s="275"/>
      <c r="AC18" s="276"/>
      <c r="AD18" s="277"/>
      <c r="AE18" s="278"/>
      <c r="AG18" s="280"/>
    </row>
    <row r="19" spans="1:33" s="294" customFormat="1" x14ac:dyDescent="0.25">
      <c r="A19" s="487"/>
      <c r="B19" s="490"/>
      <c r="C19" s="493"/>
      <c r="D19" s="390">
        <v>1</v>
      </c>
      <c r="E19" s="396">
        <v>17</v>
      </c>
      <c r="F19" s="473"/>
      <c r="G19" s="282"/>
      <c r="H19" s="283"/>
      <c r="I19" s="282"/>
      <c r="J19" s="284"/>
      <c r="K19" s="284"/>
      <c r="L19" s="484" t="str">
        <f t="shared" ref="L19:L82" si="5">IF(G19&lt;&gt;"",$G$1&amp;":"&amp;G19&amp;":"&amp;H19&amp;":"&amp;I19&amp;":"&amp;(IF(K19&lt;&gt;"",J19&amp;":"&amp;K19,J19)),"")</f>
        <v/>
      </c>
      <c r="M19" s="285"/>
      <c r="N19" s="402" t="str">
        <f t="shared" si="0"/>
        <v/>
      </c>
      <c r="O19" s="286">
        <f t="shared" si="1"/>
        <v>0</v>
      </c>
      <c r="P19" s="406" t="str">
        <f t="shared" ref="P19:P33" si="6">O19&amp;N19</f>
        <v>0</v>
      </c>
      <c r="Q19" s="286"/>
      <c r="R19" s="413" t="str">
        <f t="shared" si="2"/>
        <v/>
      </c>
      <c r="S19" s="419" t="str">
        <f t="shared" si="3"/>
        <v>:NAME</v>
      </c>
      <c r="T19" s="286"/>
      <c r="U19" s="287"/>
      <c r="V19" s="287"/>
      <c r="W19" s="287"/>
      <c r="X19" s="287"/>
      <c r="Y19" s="298"/>
      <c r="Z19" s="288"/>
      <c r="AA19" s="289">
        <f t="shared" si="4"/>
        <v>0</v>
      </c>
      <c r="AB19" s="290"/>
      <c r="AC19" s="291"/>
      <c r="AD19" s="292"/>
      <c r="AE19" s="293"/>
      <c r="AG19" s="295"/>
    </row>
    <row r="20" spans="1:33" s="294" customFormat="1" x14ac:dyDescent="0.25">
      <c r="A20" s="487"/>
      <c r="B20" s="490"/>
      <c r="C20" s="493"/>
      <c r="D20" s="390">
        <v>2</v>
      </c>
      <c r="E20" s="396">
        <v>18</v>
      </c>
      <c r="F20" s="473"/>
      <c r="G20" s="282"/>
      <c r="H20" s="283"/>
      <c r="I20" s="282"/>
      <c r="J20" s="284"/>
      <c r="K20" s="284"/>
      <c r="L20" s="484" t="str">
        <f t="shared" si="5"/>
        <v/>
      </c>
      <c r="M20" s="285"/>
      <c r="N20" s="402" t="str">
        <f t="shared" si="0"/>
        <v/>
      </c>
      <c r="O20" s="286">
        <f t="shared" si="1"/>
        <v>0</v>
      </c>
      <c r="P20" s="406" t="str">
        <f t="shared" si="6"/>
        <v>0</v>
      </c>
      <c r="Q20" s="286"/>
      <c r="R20" s="413" t="str">
        <f t="shared" si="2"/>
        <v/>
      </c>
      <c r="S20" s="419" t="str">
        <f t="shared" si="3"/>
        <v>:NAME</v>
      </c>
      <c r="T20" s="286"/>
      <c r="U20" s="287"/>
      <c r="V20" s="287"/>
      <c r="W20" s="287"/>
      <c r="X20" s="287"/>
      <c r="Y20" s="298"/>
      <c r="Z20" s="288"/>
      <c r="AA20" s="289">
        <f t="shared" si="4"/>
        <v>0</v>
      </c>
      <c r="AB20" s="290"/>
      <c r="AC20" s="291"/>
      <c r="AD20" s="292"/>
      <c r="AE20" s="293"/>
      <c r="AG20" s="295"/>
    </row>
    <row r="21" spans="1:33" s="294" customFormat="1" x14ac:dyDescent="0.25">
      <c r="A21" s="487"/>
      <c r="B21" s="490"/>
      <c r="C21" s="493"/>
      <c r="D21" s="390">
        <v>3</v>
      </c>
      <c r="E21" s="396">
        <v>19</v>
      </c>
      <c r="F21" s="473"/>
      <c r="G21" s="282"/>
      <c r="H21" s="283"/>
      <c r="I21" s="282"/>
      <c r="J21" s="284"/>
      <c r="K21" s="284"/>
      <c r="L21" s="484" t="str">
        <f t="shared" si="5"/>
        <v/>
      </c>
      <c r="M21" s="285"/>
      <c r="N21" s="402" t="str">
        <f t="shared" si="0"/>
        <v/>
      </c>
      <c r="O21" s="286">
        <f t="shared" si="1"/>
        <v>0</v>
      </c>
      <c r="P21" s="406" t="str">
        <f t="shared" si="6"/>
        <v>0</v>
      </c>
      <c r="Q21" s="286"/>
      <c r="R21" s="413" t="str">
        <f t="shared" si="2"/>
        <v/>
      </c>
      <c r="S21" s="419" t="str">
        <f t="shared" si="3"/>
        <v>:NAME</v>
      </c>
      <c r="T21" s="286"/>
      <c r="U21" s="287"/>
      <c r="V21" s="287"/>
      <c r="W21" s="287"/>
      <c r="X21" s="287"/>
      <c r="Y21" s="298"/>
      <c r="Z21" s="299"/>
      <c r="AA21" s="289">
        <f t="shared" si="4"/>
        <v>0</v>
      </c>
      <c r="AB21" s="290"/>
      <c r="AC21" s="291"/>
      <c r="AD21" s="292"/>
      <c r="AE21" s="293"/>
      <c r="AG21" s="295"/>
    </row>
    <row r="22" spans="1:33" s="294" customFormat="1" x14ac:dyDescent="0.25">
      <c r="A22" s="487"/>
      <c r="B22" s="490"/>
      <c r="C22" s="493"/>
      <c r="D22" s="390">
        <v>4</v>
      </c>
      <c r="E22" s="396">
        <v>20</v>
      </c>
      <c r="F22" s="470"/>
      <c r="G22" s="282"/>
      <c r="H22" s="283"/>
      <c r="I22" s="282"/>
      <c r="J22" s="284"/>
      <c r="K22" s="284"/>
      <c r="L22" s="484" t="str">
        <f t="shared" si="5"/>
        <v/>
      </c>
      <c r="M22" s="285"/>
      <c r="N22" s="402" t="str">
        <f t="shared" si="0"/>
        <v/>
      </c>
      <c r="O22" s="286">
        <f t="shared" si="1"/>
        <v>0</v>
      </c>
      <c r="P22" s="406" t="str">
        <f t="shared" si="6"/>
        <v>0</v>
      </c>
      <c r="Q22" s="286"/>
      <c r="R22" s="413" t="str">
        <f t="shared" si="2"/>
        <v/>
      </c>
      <c r="S22" s="419" t="str">
        <f t="shared" si="3"/>
        <v>:NAME</v>
      </c>
      <c r="T22" s="286"/>
      <c r="U22" s="287"/>
      <c r="V22" s="287"/>
      <c r="W22" s="287"/>
      <c r="X22" s="287"/>
      <c r="Y22" s="298"/>
      <c r="Z22" s="288"/>
      <c r="AA22" s="289">
        <f t="shared" si="4"/>
        <v>0</v>
      </c>
      <c r="AB22" s="290"/>
      <c r="AC22" s="291"/>
      <c r="AD22" s="292"/>
      <c r="AE22" s="293"/>
      <c r="AG22" s="295"/>
    </row>
    <row r="23" spans="1:33" s="294" customFormat="1" x14ac:dyDescent="0.25">
      <c r="A23" s="487"/>
      <c r="B23" s="490"/>
      <c r="C23" s="493"/>
      <c r="D23" s="390">
        <v>5</v>
      </c>
      <c r="E23" s="396">
        <v>21</v>
      </c>
      <c r="F23" s="470"/>
      <c r="G23" s="282"/>
      <c r="H23" s="283"/>
      <c r="I23" s="282"/>
      <c r="J23" s="284"/>
      <c r="K23" s="284"/>
      <c r="L23" s="484" t="str">
        <f t="shared" si="5"/>
        <v/>
      </c>
      <c r="M23" s="285"/>
      <c r="N23" s="402" t="str">
        <f t="shared" si="0"/>
        <v/>
      </c>
      <c r="O23" s="286">
        <f t="shared" si="1"/>
        <v>0</v>
      </c>
      <c r="P23" s="406" t="str">
        <f t="shared" si="6"/>
        <v>0</v>
      </c>
      <c r="Q23" s="286"/>
      <c r="R23" s="413" t="str">
        <f t="shared" si="2"/>
        <v/>
      </c>
      <c r="S23" s="419" t="str">
        <f t="shared" si="3"/>
        <v>:NAME</v>
      </c>
      <c r="T23" s="286"/>
      <c r="U23" s="287"/>
      <c r="V23" s="287"/>
      <c r="W23" s="287"/>
      <c r="X23" s="287"/>
      <c r="Y23" s="298"/>
      <c r="Z23" s="288"/>
      <c r="AA23" s="289">
        <f t="shared" si="4"/>
        <v>0</v>
      </c>
      <c r="AB23" s="290"/>
      <c r="AC23" s="291"/>
      <c r="AD23" s="292"/>
      <c r="AE23" s="293"/>
      <c r="AG23" s="295"/>
    </row>
    <row r="24" spans="1:33" s="294" customFormat="1" x14ac:dyDescent="0.25">
      <c r="A24" s="487"/>
      <c r="B24" s="490"/>
      <c r="C24" s="493"/>
      <c r="D24" s="390">
        <v>6</v>
      </c>
      <c r="E24" s="396">
        <v>22</v>
      </c>
      <c r="F24" s="473"/>
      <c r="G24" s="282"/>
      <c r="H24" s="283"/>
      <c r="I24" s="282"/>
      <c r="J24" s="284"/>
      <c r="K24" s="284"/>
      <c r="L24" s="484" t="str">
        <f t="shared" si="5"/>
        <v/>
      </c>
      <c r="M24" s="285"/>
      <c r="N24" s="402" t="str">
        <f t="shared" si="0"/>
        <v/>
      </c>
      <c r="O24" s="286">
        <f t="shared" si="1"/>
        <v>0</v>
      </c>
      <c r="P24" s="406" t="str">
        <f t="shared" si="6"/>
        <v>0</v>
      </c>
      <c r="Q24" s="286"/>
      <c r="R24" s="413" t="str">
        <f t="shared" si="2"/>
        <v/>
      </c>
      <c r="S24" s="419" t="str">
        <f t="shared" si="3"/>
        <v>:NAME</v>
      </c>
      <c r="T24" s="286"/>
      <c r="U24" s="287"/>
      <c r="V24" s="287"/>
      <c r="W24" s="287"/>
      <c r="X24" s="287"/>
      <c r="Y24" s="298"/>
      <c r="Z24" s="288"/>
      <c r="AA24" s="289">
        <f t="shared" si="4"/>
        <v>0</v>
      </c>
      <c r="AB24" s="290"/>
      <c r="AC24" s="291"/>
      <c r="AD24" s="292"/>
      <c r="AE24" s="293"/>
      <c r="AG24" s="295"/>
    </row>
    <row r="25" spans="1:33" s="294" customFormat="1" x14ac:dyDescent="0.25">
      <c r="A25" s="487"/>
      <c r="B25" s="490"/>
      <c r="C25" s="493"/>
      <c r="D25" s="390">
        <v>7</v>
      </c>
      <c r="E25" s="397">
        <v>23</v>
      </c>
      <c r="F25" s="474"/>
      <c r="G25" s="282"/>
      <c r="H25" s="283"/>
      <c r="I25" s="282"/>
      <c r="J25" s="284"/>
      <c r="K25" s="284"/>
      <c r="L25" s="484" t="str">
        <f t="shared" si="5"/>
        <v/>
      </c>
      <c r="M25" s="285"/>
      <c r="N25" s="402" t="str">
        <f t="shared" si="0"/>
        <v/>
      </c>
      <c r="O25" s="286">
        <f t="shared" si="1"/>
        <v>0</v>
      </c>
      <c r="P25" s="406" t="str">
        <f t="shared" si="6"/>
        <v>0</v>
      </c>
      <c r="Q25" s="286"/>
      <c r="R25" s="413" t="str">
        <f t="shared" si="2"/>
        <v/>
      </c>
      <c r="S25" s="419" t="str">
        <f t="shared" si="3"/>
        <v>:NAME</v>
      </c>
      <c r="T25" s="286"/>
      <c r="U25" s="287"/>
      <c r="V25" s="287"/>
      <c r="W25" s="287"/>
      <c r="X25" s="287"/>
      <c r="Y25" s="298"/>
      <c r="Z25" s="288"/>
      <c r="AA25" s="289">
        <f t="shared" si="4"/>
        <v>0</v>
      </c>
      <c r="AB25" s="290"/>
      <c r="AC25" s="291"/>
      <c r="AD25" s="292"/>
      <c r="AE25" s="293"/>
      <c r="AG25" s="295"/>
    </row>
    <row r="26" spans="1:33" s="294" customFormat="1" x14ac:dyDescent="0.25">
      <c r="A26" s="487"/>
      <c r="B26" s="490"/>
      <c r="C26" s="493"/>
      <c r="D26" s="390">
        <v>8</v>
      </c>
      <c r="E26" s="397">
        <v>24</v>
      </c>
      <c r="F26" s="475"/>
      <c r="G26" s="282"/>
      <c r="H26" s="283"/>
      <c r="I26" s="282"/>
      <c r="J26" s="284"/>
      <c r="K26" s="284"/>
      <c r="L26" s="484" t="str">
        <f t="shared" si="5"/>
        <v/>
      </c>
      <c r="M26" s="285"/>
      <c r="N26" s="402" t="str">
        <f t="shared" si="0"/>
        <v/>
      </c>
      <c r="O26" s="286">
        <f t="shared" si="1"/>
        <v>0</v>
      </c>
      <c r="P26" s="406" t="str">
        <f t="shared" si="6"/>
        <v>0</v>
      </c>
      <c r="Q26" s="286"/>
      <c r="R26" s="413" t="str">
        <f t="shared" si="2"/>
        <v/>
      </c>
      <c r="S26" s="419" t="str">
        <f t="shared" si="3"/>
        <v>:NAME</v>
      </c>
      <c r="T26" s="286"/>
      <c r="U26" s="287"/>
      <c r="V26" s="287"/>
      <c r="W26" s="287"/>
      <c r="X26" s="287"/>
      <c r="Y26" s="298"/>
      <c r="Z26" s="288"/>
      <c r="AA26" s="289">
        <f t="shared" si="4"/>
        <v>0</v>
      </c>
      <c r="AB26" s="290"/>
      <c r="AC26" s="291"/>
      <c r="AD26" s="292"/>
      <c r="AE26" s="293"/>
      <c r="AG26" s="295"/>
    </row>
    <row r="27" spans="1:33" s="294" customFormat="1" x14ac:dyDescent="0.25">
      <c r="A27" s="487"/>
      <c r="B27" s="490"/>
      <c r="C27" s="493"/>
      <c r="D27" s="390">
        <v>9</v>
      </c>
      <c r="E27" s="396">
        <v>25</v>
      </c>
      <c r="F27" s="469"/>
      <c r="G27" s="282"/>
      <c r="H27" s="283"/>
      <c r="I27" s="282"/>
      <c r="J27" s="284"/>
      <c r="K27" s="284"/>
      <c r="L27" s="484" t="str">
        <f t="shared" si="5"/>
        <v/>
      </c>
      <c r="M27" s="285"/>
      <c r="N27" s="402" t="str">
        <f t="shared" si="0"/>
        <v/>
      </c>
      <c r="O27" s="286">
        <f t="shared" si="1"/>
        <v>0</v>
      </c>
      <c r="P27" s="406" t="str">
        <f t="shared" si="6"/>
        <v>0</v>
      </c>
      <c r="Q27" s="286"/>
      <c r="R27" s="413" t="str">
        <f t="shared" si="2"/>
        <v/>
      </c>
      <c r="S27" s="419" t="str">
        <f t="shared" si="3"/>
        <v>:NAME</v>
      </c>
      <c r="T27" s="286"/>
      <c r="U27" s="287"/>
      <c r="V27" s="287"/>
      <c r="W27" s="287"/>
      <c r="X27" s="298"/>
      <c r="Y27" s="298"/>
      <c r="Z27" s="288"/>
      <c r="AA27" s="289">
        <f t="shared" si="4"/>
        <v>0</v>
      </c>
      <c r="AB27" s="290"/>
      <c r="AC27" s="291"/>
      <c r="AD27" s="292"/>
      <c r="AE27" s="293"/>
      <c r="AG27" s="295"/>
    </row>
    <row r="28" spans="1:33" s="294" customFormat="1" x14ac:dyDescent="0.25">
      <c r="A28" s="487"/>
      <c r="B28" s="490"/>
      <c r="C28" s="493"/>
      <c r="D28" s="390">
        <v>10</v>
      </c>
      <c r="E28" s="396">
        <v>26</v>
      </c>
      <c r="F28" s="469"/>
      <c r="G28" s="282"/>
      <c r="H28" s="283"/>
      <c r="I28" s="282"/>
      <c r="J28" s="284"/>
      <c r="K28" s="284"/>
      <c r="L28" s="484" t="str">
        <f t="shared" si="5"/>
        <v/>
      </c>
      <c r="M28" s="285"/>
      <c r="N28" s="402" t="str">
        <f t="shared" si="0"/>
        <v/>
      </c>
      <c r="O28" s="286">
        <f t="shared" si="1"/>
        <v>0</v>
      </c>
      <c r="P28" s="406" t="str">
        <f t="shared" si="6"/>
        <v>0</v>
      </c>
      <c r="Q28" s="286"/>
      <c r="R28" s="413" t="str">
        <f t="shared" si="2"/>
        <v/>
      </c>
      <c r="S28" s="419" t="str">
        <f t="shared" si="3"/>
        <v>:NAME</v>
      </c>
      <c r="T28" s="286"/>
      <c r="U28" s="287"/>
      <c r="V28" s="287"/>
      <c r="W28" s="287"/>
      <c r="X28" s="287"/>
      <c r="Y28" s="287"/>
      <c r="Z28" s="288"/>
      <c r="AA28" s="289">
        <f t="shared" si="4"/>
        <v>0</v>
      </c>
      <c r="AB28" s="290"/>
      <c r="AC28" s="291"/>
      <c r="AD28" s="292"/>
      <c r="AE28" s="293"/>
      <c r="AG28" s="295"/>
    </row>
    <row r="29" spans="1:33" s="294" customFormat="1" x14ac:dyDescent="0.25">
      <c r="A29" s="487"/>
      <c r="B29" s="490"/>
      <c r="C29" s="493"/>
      <c r="D29" s="390">
        <v>11</v>
      </c>
      <c r="E29" s="396">
        <v>27</v>
      </c>
      <c r="F29" s="469"/>
      <c r="G29" s="282"/>
      <c r="H29" s="283"/>
      <c r="I29" s="282"/>
      <c r="J29" s="284"/>
      <c r="K29" s="284"/>
      <c r="L29" s="484" t="str">
        <f t="shared" si="5"/>
        <v/>
      </c>
      <c r="M29" s="285"/>
      <c r="N29" s="402" t="str">
        <f t="shared" si="0"/>
        <v/>
      </c>
      <c r="O29" s="286">
        <f t="shared" si="1"/>
        <v>0</v>
      </c>
      <c r="P29" s="406" t="str">
        <f t="shared" si="6"/>
        <v>0</v>
      </c>
      <c r="Q29" s="286"/>
      <c r="R29" s="413" t="str">
        <f t="shared" si="2"/>
        <v/>
      </c>
      <c r="S29" s="419" t="str">
        <f t="shared" si="3"/>
        <v>:NAME</v>
      </c>
      <c r="T29" s="286"/>
      <c r="U29" s="287"/>
      <c r="V29" s="287"/>
      <c r="W29" s="287"/>
      <c r="X29" s="287"/>
      <c r="Y29" s="287"/>
      <c r="Z29" s="288"/>
      <c r="AA29" s="289">
        <f t="shared" si="4"/>
        <v>0</v>
      </c>
      <c r="AB29" s="290"/>
      <c r="AC29" s="291"/>
      <c r="AD29" s="292"/>
      <c r="AE29" s="293"/>
      <c r="AG29" s="295"/>
    </row>
    <row r="30" spans="1:33" s="294" customFormat="1" x14ac:dyDescent="0.25">
      <c r="A30" s="487"/>
      <c r="B30" s="490"/>
      <c r="C30" s="493"/>
      <c r="D30" s="390">
        <v>12</v>
      </c>
      <c r="E30" s="396">
        <v>28</v>
      </c>
      <c r="F30" s="469"/>
      <c r="G30" s="282"/>
      <c r="H30" s="283"/>
      <c r="I30" s="282"/>
      <c r="J30" s="284"/>
      <c r="K30" s="284"/>
      <c r="L30" s="484" t="str">
        <f t="shared" si="5"/>
        <v/>
      </c>
      <c r="M30" s="285"/>
      <c r="N30" s="402" t="str">
        <f t="shared" si="0"/>
        <v/>
      </c>
      <c r="O30" s="286">
        <f t="shared" si="1"/>
        <v>0</v>
      </c>
      <c r="P30" s="406" t="str">
        <f t="shared" si="6"/>
        <v>0</v>
      </c>
      <c r="Q30" s="286"/>
      <c r="R30" s="413" t="str">
        <f t="shared" si="2"/>
        <v/>
      </c>
      <c r="S30" s="419" t="str">
        <f t="shared" si="3"/>
        <v>:NAME</v>
      </c>
      <c r="T30" s="286"/>
      <c r="U30" s="287"/>
      <c r="V30" s="287"/>
      <c r="W30" s="287"/>
      <c r="X30" s="287"/>
      <c r="Y30" s="287"/>
      <c r="Z30" s="288"/>
      <c r="AA30" s="289">
        <f t="shared" si="4"/>
        <v>0</v>
      </c>
      <c r="AB30" s="290"/>
      <c r="AC30" s="291"/>
      <c r="AD30" s="292"/>
      <c r="AE30" s="293"/>
      <c r="AG30" s="295"/>
    </row>
    <row r="31" spans="1:33" s="294" customFormat="1" x14ac:dyDescent="0.25">
      <c r="A31" s="487"/>
      <c r="B31" s="490"/>
      <c r="C31" s="493"/>
      <c r="D31" s="390">
        <v>13</v>
      </c>
      <c r="E31" s="396">
        <v>29</v>
      </c>
      <c r="F31" s="469"/>
      <c r="G31" s="282"/>
      <c r="H31" s="283"/>
      <c r="I31" s="282"/>
      <c r="J31" s="284"/>
      <c r="K31" s="284"/>
      <c r="L31" s="484" t="str">
        <f t="shared" si="5"/>
        <v/>
      </c>
      <c r="M31" s="285"/>
      <c r="N31" s="402" t="str">
        <f t="shared" si="0"/>
        <v/>
      </c>
      <c r="O31" s="286">
        <f t="shared" si="1"/>
        <v>0</v>
      </c>
      <c r="P31" s="406" t="str">
        <f t="shared" si="6"/>
        <v>0</v>
      </c>
      <c r="Q31" s="286"/>
      <c r="R31" s="413" t="str">
        <f t="shared" si="2"/>
        <v/>
      </c>
      <c r="S31" s="419" t="str">
        <f t="shared" si="3"/>
        <v>:NAME</v>
      </c>
      <c r="T31" s="286"/>
      <c r="U31" s="287"/>
      <c r="V31" s="287"/>
      <c r="W31" s="287"/>
      <c r="X31" s="298"/>
      <c r="Y31" s="298"/>
      <c r="Z31" s="288"/>
      <c r="AA31" s="289">
        <f t="shared" si="4"/>
        <v>0</v>
      </c>
      <c r="AB31" s="290"/>
      <c r="AC31" s="291"/>
      <c r="AD31" s="292"/>
      <c r="AE31" s="293"/>
      <c r="AG31" s="295"/>
    </row>
    <row r="32" spans="1:33" s="294" customFormat="1" x14ac:dyDescent="0.25">
      <c r="A32" s="487"/>
      <c r="B32" s="490"/>
      <c r="C32" s="493"/>
      <c r="D32" s="390">
        <v>14</v>
      </c>
      <c r="E32" s="396">
        <v>30</v>
      </c>
      <c r="F32" s="469"/>
      <c r="G32" s="282"/>
      <c r="H32" s="283"/>
      <c r="I32" s="282"/>
      <c r="J32" s="284"/>
      <c r="K32" s="284"/>
      <c r="L32" s="484" t="str">
        <f t="shared" si="5"/>
        <v/>
      </c>
      <c r="M32" s="285"/>
      <c r="N32" s="402" t="str">
        <f t="shared" si="0"/>
        <v/>
      </c>
      <c r="O32" s="286">
        <f t="shared" si="1"/>
        <v>0</v>
      </c>
      <c r="P32" s="406" t="str">
        <f t="shared" si="6"/>
        <v>0</v>
      </c>
      <c r="Q32" s="286"/>
      <c r="R32" s="413" t="str">
        <f t="shared" si="2"/>
        <v/>
      </c>
      <c r="S32" s="419" t="str">
        <f t="shared" si="3"/>
        <v>:NAME</v>
      </c>
      <c r="T32" s="286"/>
      <c r="U32" s="287"/>
      <c r="V32" s="287"/>
      <c r="W32" s="287"/>
      <c r="X32" s="287"/>
      <c r="Y32" s="298"/>
      <c r="Z32" s="288"/>
      <c r="AA32" s="289">
        <f t="shared" si="4"/>
        <v>0</v>
      </c>
      <c r="AB32" s="290"/>
      <c r="AC32" s="291"/>
      <c r="AD32" s="292"/>
      <c r="AE32" s="293"/>
      <c r="AG32" s="295"/>
    </row>
    <row r="33" spans="1:33" s="294" customFormat="1" ht="15.75" thickBot="1" x14ac:dyDescent="0.3">
      <c r="A33" s="488"/>
      <c r="B33" s="491"/>
      <c r="C33" s="494"/>
      <c r="D33" s="390">
        <v>15</v>
      </c>
      <c r="E33" s="396">
        <v>31</v>
      </c>
      <c r="F33" s="469"/>
      <c r="G33" s="282"/>
      <c r="H33" s="283"/>
      <c r="I33" s="282"/>
      <c r="J33" s="284"/>
      <c r="K33" s="284"/>
      <c r="L33" s="484" t="str">
        <f t="shared" si="5"/>
        <v/>
      </c>
      <c r="M33" s="285"/>
      <c r="N33" s="402" t="str">
        <f t="shared" si="0"/>
        <v/>
      </c>
      <c r="O33" s="286">
        <f t="shared" si="1"/>
        <v>0</v>
      </c>
      <c r="P33" s="406" t="str">
        <f t="shared" si="6"/>
        <v>0</v>
      </c>
      <c r="Q33" s="286"/>
      <c r="R33" s="413" t="str">
        <f t="shared" si="2"/>
        <v/>
      </c>
      <c r="S33" s="419" t="str">
        <f t="shared" si="3"/>
        <v>:NAME</v>
      </c>
      <c r="T33" s="286"/>
      <c r="U33" s="287"/>
      <c r="V33" s="287"/>
      <c r="W33" s="287"/>
      <c r="X33" s="287"/>
      <c r="Y33" s="298"/>
      <c r="Z33" s="288"/>
      <c r="AA33" s="289">
        <f t="shared" si="4"/>
        <v>0</v>
      </c>
      <c r="AB33" s="290"/>
      <c r="AC33" s="291"/>
      <c r="AD33" s="292"/>
      <c r="AE33" s="293"/>
      <c r="AG33" s="295"/>
    </row>
    <row r="34" spans="1:33" s="279" customFormat="1" ht="14.45" customHeight="1" x14ac:dyDescent="0.25">
      <c r="A34" s="486" t="s">
        <v>44</v>
      </c>
      <c r="B34" s="489" t="str">
        <f>LOOKUP(A34,Module,IO)</f>
        <v>.</v>
      </c>
      <c r="C34" s="492" t="s">
        <v>10</v>
      </c>
      <c r="D34" s="389" t="s">
        <v>160</v>
      </c>
      <c r="E34" s="395">
        <v>32</v>
      </c>
      <c r="F34" s="476"/>
      <c r="G34" s="267"/>
      <c r="H34" s="268"/>
      <c r="I34" s="267"/>
      <c r="J34" s="269"/>
      <c r="K34" s="269"/>
      <c r="L34" s="483" t="str">
        <f t="shared" si="5"/>
        <v/>
      </c>
      <c r="M34" s="270"/>
      <c r="N34" s="401" t="str">
        <f t="shared" ref="N34:N49" si="7">IF(F34&lt;&gt;"",IF($H$1&lt;&gt;"","IO"&amp;".","IO.")&amp;$C$34&amp;"."&amp;$B$34&amp;D34,"")</f>
        <v/>
      </c>
      <c r="O34" s="271">
        <f t="shared" ref="O34:O49" si="8">LOOKUP($A$34,Module,Type)</f>
        <v>0</v>
      </c>
      <c r="P34" s="405" t="str">
        <f>O34&amp;N34</f>
        <v>0</v>
      </c>
      <c r="Q34" s="271"/>
      <c r="R34" s="412" t="str">
        <f t="shared" si="2"/>
        <v/>
      </c>
      <c r="S34" s="418" t="str">
        <f t="shared" si="3"/>
        <v>:NAME</v>
      </c>
      <c r="T34" s="271"/>
      <c r="U34" s="272"/>
      <c r="V34" s="272"/>
      <c r="W34" s="272"/>
      <c r="X34" s="272"/>
      <c r="Y34" s="297"/>
      <c r="Z34" s="273"/>
      <c r="AA34" s="274">
        <f t="shared" si="4"/>
        <v>0</v>
      </c>
      <c r="AB34" s="275"/>
      <c r="AC34" s="276"/>
      <c r="AD34" s="277"/>
      <c r="AE34" s="278"/>
      <c r="AG34" s="280"/>
    </row>
    <row r="35" spans="1:33" s="294" customFormat="1" x14ac:dyDescent="0.25">
      <c r="A35" s="487"/>
      <c r="B35" s="490"/>
      <c r="C35" s="493"/>
      <c r="D35" s="390">
        <v>1</v>
      </c>
      <c r="E35" s="396">
        <v>33</v>
      </c>
      <c r="F35" s="469"/>
      <c r="G35" s="282"/>
      <c r="H35" s="283"/>
      <c r="I35" s="282"/>
      <c r="J35" s="284"/>
      <c r="K35" s="284"/>
      <c r="L35" s="484" t="str">
        <f t="shared" si="5"/>
        <v/>
      </c>
      <c r="M35" s="285"/>
      <c r="N35" s="402" t="str">
        <f t="shared" si="7"/>
        <v/>
      </c>
      <c r="O35" s="286">
        <f t="shared" si="8"/>
        <v>0</v>
      </c>
      <c r="P35" s="406" t="str">
        <f t="shared" ref="P35:P49" si="9">O35&amp;N35</f>
        <v>0</v>
      </c>
      <c r="Q35" s="286"/>
      <c r="R35" s="413" t="str">
        <f t="shared" si="2"/>
        <v/>
      </c>
      <c r="S35" s="419" t="str">
        <f t="shared" si="3"/>
        <v>:NAME</v>
      </c>
      <c r="T35" s="286"/>
      <c r="U35" s="287"/>
      <c r="V35" s="287"/>
      <c r="W35" s="287"/>
      <c r="X35" s="287"/>
      <c r="Y35" s="298"/>
      <c r="Z35" s="288"/>
      <c r="AA35" s="289">
        <f t="shared" si="4"/>
        <v>0</v>
      </c>
      <c r="AB35" s="290"/>
      <c r="AC35" s="291"/>
      <c r="AD35" s="292"/>
      <c r="AE35" s="293"/>
      <c r="AG35" s="295"/>
    </row>
    <row r="36" spans="1:33" s="294" customFormat="1" x14ac:dyDescent="0.25">
      <c r="A36" s="487"/>
      <c r="B36" s="490"/>
      <c r="C36" s="493"/>
      <c r="D36" s="390">
        <v>2</v>
      </c>
      <c r="E36" s="396">
        <v>34</v>
      </c>
      <c r="F36" s="469"/>
      <c r="G36" s="282"/>
      <c r="H36" s="283"/>
      <c r="I36" s="282"/>
      <c r="J36" s="284"/>
      <c r="K36" s="284"/>
      <c r="L36" s="484" t="str">
        <f t="shared" si="5"/>
        <v/>
      </c>
      <c r="M36" s="285"/>
      <c r="N36" s="402" t="str">
        <f t="shared" si="7"/>
        <v/>
      </c>
      <c r="O36" s="286">
        <f t="shared" si="8"/>
        <v>0</v>
      </c>
      <c r="P36" s="406" t="str">
        <f t="shared" si="9"/>
        <v>0</v>
      </c>
      <c r="Q36" s="286"/>
      <c r="R36" s="413" t="str">
        <f t="shared" si="2"/>
        <v/>
      </c>
      <c r="S36" s="419" t="str">
        <f t="shared" si="3"/>
        <v>:NAME</v>
      </c>
      <c r="T36" s="286"/>
      <c r="U36" s="287"/>
      <c r="V36" s="287"/>
      <c r="W36" s="287"/>
      <c r="X36" s="287"/>
      <c r="Y36" s="298"/>
      <c r="Z36" s="288"/>
      <c r="AA36" s="289">
        <f t="shared" si="4"/>
        <v>0</v>
      </c>
      <c r="AB36" s="290"/>
      <c r="AC36" s="291"/>
      <c r="AD36" s="292"/>
      <c r="AE36" s="293"/>
      <c r="AG36" s="295"/>
    </row>
    <row r="37" spans="1:33" s="294" customFormat="1" x14ac:dyDescent="0.25">
      <c r="A37" s="487"/>
      <c r="B37" s="490"/>
      <c r="C37" s="493"/>
      <c r="D37" s="390">
        <v>3</v>
      </c>
      <c r="E37" s="396">
        <v>35</v>
      </c>
      <c r="F37" s="474"/>
      <c r="G37" s="282"/>
      <c r="H37" s="283"/>
      <c r="I37" s="282"/>
      <c r="J37" s="284"/>
      <c r="K37" s="284"/>
      <c r="L37" s="484" t="str">
        <f t="shared" si="5"/>
        <v/>
      </c>
      <c r="M37" s="285"/>
      <c r="N37" s="402" t="str">
        <f t="shared" si="7"/>
        <v/>
      </c>
      <c r="O37" s="286">
        <f t="shared" si="8"/>
        <v>0</v>
      </c>
      <c r="P37" s="406" t="str">
        <f t="shared" si="9"/>
        <v>0</v>
      </c>
      <c r="Q37" s="286"/>
      <c r="R37" s="413" t="str">
        <f t="shared" si="2"/>
        <v/>
      </c>
      <c r="S37" s="419" t="str">
        <f t="shared" si="3"/>
        <v>:NAME</v>
      </c>
      <c r="T37" s="286"/>
      <c r="U37" s="287"/>
      <c r="V37" s="287"/>
      <c r="W37" s="287"/>
      <c r="X37" s="287"/>
      <c r="Y37" s="298"/>
      <c r="Z37" s="288"/>
      <c r="AA37" s="289">
        <f t="shared" si="4"/>
        <v>0</v>
      </c>
      <c r="AB37" s="290"/>
      <c r="AC37" s="291"/>
      <c r="AD37" s="292"/>
      <c r="AE37" s="293"/>
      <c r="AG37" s="295"/>
    </row>
    <row r="38" spans="1:33" s="294" customFormat="1" x14ac:dyDescent="0.25">
      <c r="A38" s="487"/>
      <c r="B38" s="490"/>
      <c r="C38" s="493"/>
      <c r="D38" s="390">
        <v>4</v>
      </c>
      <c r="E38" s="396">
        <v>36</v>
      </c>
      <c r="F38" s="469"/>
      <c r="G38" s="282"/>
      <c r="H38" s="282"/>
      <c r="I38" s="282"/>
      <c r="J38" s="284"/>
      <c r="K38" s="300"/>
      <c r="L38" s="484" t="str">
        <f t="shared" si="5"/>
        <v/>
      </c>
      <c r="M38" s="285"/>
      <c r="N38" s="402" t="str">
        <f t="shared" si="7"/>
        <v/>
      </c>
      <c r="O38" s="286">
        <f t="shared" si="8"/>
        <v>0</v>
      </c>
      <c r="P38" s="406" t="str">
        <f t="shared" si="9"/>
        <v>0</v>
      </c>
      <c r="Q38" s="286"/>
      <c r="R38" s="413" t="str">
        <f t="shared" si="2"/>
        <v/>
      </c>
      <c r="S38" s="419" t="str">
        <f t="shared" si="3"/>
        <v>:NAME</v>
      </c>
      <c r="T38" s="286"/>
      <c r="U38" s="287"/>
      <c r="V38" s="287"/>
      <c r="W38" s="287"/>
      <c r="X38" s="287"/>
      <c r="Y38" s="298"/>
      <c r="Z38" s="288"/>
      <c r="AA38" s="289">
        <f t="shared" si="4"/>
        <v>0</v>
      </c>
      <c r="AB38" s="290"/>
      <c r="AC38" s="291"/>
      <c r="AD38" s="292"/>
      <c r="AE38" s="293"/>
      <c r="AG38" s="295"/>
    </row>
    <row r="39" spans="1:33" s="294" customFormat="1" x14ac:dyDescent="0.25">
      <c r="A39" s="487"/>
      <c r="B39" s="490"/>
      <c r="C39" s="493"/>
      <c r="D39" s="390">
        <v>5</v>
      </c>
      <c r="E39" s="396">
        <v>37</v>
      </c>
      <c r="F39" s="469"/>
      <c r="G39" s="282"/>
      <c r="H39" s="282"/>
      <c r="I39" s="282"/>
      <c r="J39" s="284"/>
      <c r="K39" s="300"/>
      <c r="L39" s="484" t="str">
        <f t="shared" si="5"/>
        <v/>
      </c>
      <c r="M39" s="285"/>
      <c r="N39" s="402" t="str">
        <f t="shared" si="7"/>
        <v/>
      </c>
      <c r="O39" s="286">
        <f t="shared" si="8"/>
        <v>0</v>
      </c>
      <c r="P39" s="406" t="str">
        <f t="shared" si="9"/>
        <v>0</v>
      </c>
      <c r="Q39" s="286"/>
      <c r="R39" s="413" t="str">
        <f t="shared" si="2"/>
        <v/>
      </c>
      <c r="S39" s="419" t="str">
        <f t="shared" si="3"/>
        <v>:NAME</v>
      </c>
      <c r="T39" s="286"/>
      <c r="U39" s="287"/>
      <c r="V39" s="287"/>
      <c r="W39" s="287"/>
      <c r="X39" s="287"/>
      <c r="Y39" s="298"/>
      <c r="Z39" s="288"/>
      <c r="AA39" s="289">
        <f t="shared" si="4"/>
        <v>0</v>
      </c>
      <c r="AB39" s="290"/>
      <c r="AC39" s="291"/>
      <c r="AD39" s="292"/>
      <c r="AE39" s="293"/>
      <c r="AG39" s="295"/>
    </row>
    <row r="40" spans="1:33" s="294" customFormat="1" x14ac:dyDescent="0.25">
      <c r="A40" s="487"/>
      <c r="B40" s="490"/>
      <c r="C40" s="493"/>
      <c r="D40" s="390">
        <v>6</v>
      </c>
      <c r="E40" s="396">
        <v>38</v>
      </c>
      <c r="F40" s="469"/>
      <c r="G40" s="282"/>
      <c r="H40" s="282"/>
      <c r="I40" s="282"/>
      <c r="J40" s="284"/>
      <c r="K40" s="300"/>
      <c r="L40" s="484" t="str">
        <f t="shared" si="5"/>
        <v/>
      </c>
      <c r="M40" s="285"/>
      <c r="N40" s="402" t="str">
        <f t="shared" si="7"/>
        <v/>
      </c>
      <c r="O40" s="286">
        <f t="shared" si="8"/>
        <v>0</v>
      </c>
      <c r="P40" s="406" t="str">
        <f t="shared" si="9"/>
        <v>0</v>
      </c>
      <c r="Q40" s="286"/>
      <c r="R40" s="413" t="str">
        <f t="shared" si="2"/>
        <v/>
      </c>
      <c r="S40" s="419" t="str">
        <f t="shared" si="3"/>
        <v>:NAME</v>
      </c>
      <c r="T40" s="286"/>
      <c r="U40" s="287"/>
      <c r="V40" s="287"/>
      <c r="W40" s="287"/>
      <c r="X40" s="287"/>
      <c r="Y40" s="298"/>
      <c r="Z40" s="288"/>
      <c r="AA40" s="289">
        <f t="shared" si="4"/>
        <v>0</v>
      </c>
      <c r="AB40" s="290"/>
      <c r="AC40" s="291"/>
      <c r="AD40" s="292"/>
      <c r="AE40" s="293"/>
      <c r="AG40" s="295"/>
    </row>
    <row r="41" spans="1:33" s="294" customFormat="1" x14ac:dyDescent="0.25">
      <c r="A41" s="487"/>
      <c r="B41" s="490"/>
      <c r="C41" s="493"/>
      <c r="D41" s="390">
        <v>7</v>
      </c>
      <c r="E41" s="396">
        <v>39</v>
      </c>
      <c r="F41" s="469"/>
      <c r="G41" s="282"/>
      <c r="H41" s="282"/>
      <c r="I41" s="282"/>
      <c r="J41" s="284"/>
      <c r="K41" s="300"/>
      <c r="L41" s="484" t="str">
        <f t="shared" si="5"/>
        <v/>
      </c>
      <c r="M41" s="285"/>
      <c r="N41" s="402" t="str">
        <f t="shared" si="7"/>
        <v/>
      </c>
      <c r="O41" s="286">
        <f t="shared" si="8"/>
        <v>0</v>
      </c>
      <c r="P41" s="406" t="str">
        <f t="shared" si="9"/>
        <v>0</v>
      </c>
      <c r="Q41" s="286"/>
      <c r="R41" s="413" t="str">
        <f t="shared" si="2"/>
        <v/>
      </c>
      <c r="S41" s="419" t="str">
        <f t="shared" si="3"/>
        <v>:NAME</v>
      </c>
      <c r="T41" s="286"/>
      <c r="U41" s="287"/>
      <c r="V41" s="287"/>
      <c r="W41" s="287"/>
      <c r="X41" s="287"/>
      <c r="Y41" s="298"/>
      <c r="Z41" s="288"/>
      <c r="AA41" s="289">
        <f t="shared" si="4"/>
        <v>0</v>
      </c>
      <c r="AB41" s="290"/>
      <c r="AC41" s="291"/>
      <c r="AD41" s="292"/>
      <c r="AE41" s="293"/>
      <c r="AG41" s="295"/>
    </row>
    <row r="42" spans="1:33" s="294" customFormat="1" x14ac:dyDescent="0.25">
      <c r="A42" s="487"/>
      <c r="B42" s="490"/>
      <c r="C42" s="493"/>
      <c r="D42" s="390">
        <v>8</v>
      </c>
      <c r="E42" s="396">
        <v>40</v>
      </c>
      <c r="F42" s="469"/>
      <c r="G42" s="282"/>
      <c r="H42" s="282"/>
      <c r="I42" s="282"/>
      <c r="J42" s="284"/>
      <c r="K42" s="300"/>
      <c r="L42" s="484" t="str">
        <f t="shared" si="5"/>
        <v/>
      </c>
      <c r="M42" s="285"/>
      <c r="N42" s="402" t="str">
        <f t="shared" si="7"/>
        <v/>
      </c>
      <c r="O42" s="286">
        <f t="shared" si="8"/>
        <v>0</v>
      </c>
      <c r="P42" s="406" t="str">
        <f t="shared" si="9"/>
        <v>0</v>
      </c>
      <c r="Q42" s="286"/>
      <c r="R42" s="413" t="str">
        <f t="shared" si="2"/>
        <v/>
      </c>
      <c r="S42" s="419" t="str">
        <f t="shared" si="3"/>
        <v>:NAME</v>
      </c>
      <c r="T42" s="286"/>
      <c r="U42" s="287"/>
      <c r="V42" s="287"/>
      <c r="W42" s="287"/>
      <c r="X42" s="287"/>
      <c r="Y42" s="298"/>
      <c r="Z42" s="288"/>
      <c r="AA42" s="289">
        <f t="shared" si="4"/>
        <v>0</v>
      </c>
      <c r="AB42" s="290"/>
      <c r="AC42" s="291"/>
      <c r="AD42" s="292"/>
      <c r="AE42" s="293"/>
      <c r="AG42" s="295"/>
    </row>
    <row r="43" spans="1:33" s="294" customFormat="1" x14ac:dyDescent="0.25">
      <c r="A43" s="487"/>
      <c r="B43" s="490"/>
      <c r="C43" s="493"/>
      <c r="D43" s="390">
        <v>9</v>
      </c>
      <c r="E43" s="396">
        <v>41</v>
      </c>
      <c r="F43" s="469"/>
      <c r="G43" s="282"/>
      <c r="H43" s="282"/>
      <c r="I43" s="282"/>
      <c r="J43" s="284"/>
      <c r="K43" s="300"/>
      <c r="L43" s="484" t="str">
        <f t="shared" si="5"/>
        <v/>
      </c>
      <c r="M43" s="285"/>
      <c r="N43" s="402" t="str">
        <f t="shared" si="7"/>
        <v/>
      </c>
      <c r="O43" s="286">
        <f t="shared" si="8"/>
        <v>0</v>
      </c>
      <c r="P43" s="406" t="str">
        <f t="shared" si="9"/>
        <v>0</v>
      </c>
      <c r="Q43" s="286"/>
      <c r="R43" s="413" t="str">
        <f t="shared" si="2"/>
        <v/>
      </c>
      <c r="S43" s="419" t="str">
        <f t="shared" si="3"/>
        <v>:NAME</v>
      </c>
      <c r="T43" s="286"/>
      <c r="U43" s="287"/>
      <c r="V43" s="287"/>
      <c r="W43" s="287"/>
      <c r="X43" s="287"/>
      <c r="Y43" s="298"/>
      <c r="Z43" s="288"/>
      <c r="AA43" s="289">
        <f t="shared" si="4"/>
        <v>0</v>
      </c>
      <c r="AB43" s="290"/>
      <c r="AC43" s="291"/>
      <c r="AD43" s="292"/>
      <c r="AE43" s="293"/>
      <c r="AG43" s="295"/>
    </row>
    <row r="44" spans="1:33" s="294" customFormat="1" x14ac:dyDescent="0.25">
      <c r="A44" s="487"/>
      <c r="B44" s="490"/>
      <c r="C44" s="493"/>
      <c r="D44" s="390">
        <v>10</v>
      </c>
      <c r="E44" s="396">
        <v>42</v>
      </c>
      <c r="F44" s="469"/>
      <c r="G44" s="282"/>
      <c r="H44" s="282"/>
      <c r="I44" s="282"/>
      <c r="J44" s="284"/>
      <c r="K44" s="300"/>
      <c r="L44" s="484" t="str">
        <f t="shared" si="5"/>
        <v/>
      </c>
      <c r="M44" s="285"/>
      <c r="N44" s="402" t="str">
        <f t="shared" si="7"/>
        <v/>
      </c>
      <c r="O44" s="286">
        <f t="shared" si="8"/>
        <v>0</v>
      </c>
      <c r="P44" s="406" t="str">
        <f t="shared" si="9"/>
        <v>0</v>
      </c>
      <c r="Q44" s="286"/>
      <c r="R44" s="413" t="str">
        <f t="shared" si="2"/>
        <v/>
      </c>
      <c r="S44" s="419" t="str">
        <f t="shared" si="3"/>
        <v>:NAME</v>
      </c>
      <c r="T44" s="286"/>
      <c r="U44" s="287"/>
      <c r="V44" s="287"/>
      <c r="W44" s="287"/>
      <c r="X44" s="287"/>
      <c r="Y44" s="298"/>
      <c r="Z44" s="288"/>
      <c r="AA44" s="289">
        <f t="shared" si="4"/>
        <v>0</v>
      </c>
      <c r="AB44" s="290"/>
      <c r="AC44" s="291"/>
      <c r="AD44" s="292"/>
      <c r="AE44" s="293"/>
      <c r="AG44" s="295"/>
    </row>
    <row r="45" spans="1:33" s="294" customFormat="1" x14ac:dyDescent="0.25">
      <c r="A45" s="487"/>
      <c r="B45" s="490"/>
      <c r="C45" s="493"/>
      <c r="D45" s="390">
        <v>11</v>
      </c>
      <c r="E45" s="396">
        <v>43</v>
      </c>
      <c r="F45" s="477"/>
      <c r="G45" s="282"/>
      <c r="H45" s="283"/>
      <c r="I45" s="282"/>
      <c r="J45" s="284"/>
      <c r="K45" s="300"/>
      <c r="L45" s="484" t="str">
        <f t="shared" si="5"/>
        <v/>
      </c>
      <c r="M45" s="285"/>
      <c r="N45" s="402" t="str">
        <f t="shared" si="7"/>
        <v/>
      </c>
      <c r="O45" s="286">
        <f t="shared" si="8"/>
        <v>0</v>
      </c>
      <c r="P45" s="406" t="str">
        <f t="shared" si="9"/>
        <v>0</v>
      </c>
      <c r="Q45" s="286"/>
      <c r="R45" s="413" t="str">
        <f t="shared" si="2"/>
        <v/>
      </c>
      <c r="S45" s="419" t="str">
        <f t="shared" si="3"/>
        <v>:NAME</v>
      </c>
      <c r="T45" s="286"/>
      <c r="U45" s="287"/>
      <c r="V45" s="287"/>
      <c r="W45" s="287"/>
      <c r="X45" s="287"/>
      <c r="Y45" s="287"/>
      <c r="Z45" s="288"/>
      <c r="AA45" s="289">
        <f t="shared" si="4"/>
        <v>0</v>
      </c>
      <c r="AB45" s="290"/>
      <c r="AC45" s="291"/>
      <c r="AD45" s="292"/>
      <c r="AE45" s="293"/>
      <c r="AG45" s="295"/>
    </row>
    <row r="46" spans="1:33" s="294" customFormat="1" x14ac:dyDescent="0.25">
      <c r="A46" s="487"/>
      <c r="B46" s="490"/>
      <c r="C46" s="493"/>
      <c r="D46" s="390">
        <v>12</v>
      </c>
      <c r="E46" s="396">
        <v>44</v>
      </c>
      <c r="F46" s="469"/>
      <c r="G46" s="282"/>
      <c r="H46" s="283"/>
      <c r="I46" s="282"/>
      <c r="J46" s="284"/>
      <c r="K46" s="301"/>
      <c r="L46" s="484" t="str">
        <f t="shared" si="5"/>
        <v/>
      </c>
      <c r="M46" s="285"/>
      <c r="N46" s="402" t="str">
        <f t="shared" si="7"/>
        <v/>
      </c>
      <c r="O46" s="286">
        <f t="shared" si="8"/>
        <v>0</v>
      </c>
      <c r="P46" s="406" t="str">
        <f t="shared" si="9"/>
        <v>0</v>
      </c>
      <c r="Q46" s="286"/>
      <c r="R46" s="413" t="str">
        <f t="shared" si="2"/>
        <v/>
      </c>
      <c r="S46" s="419" t="str">
        <f t="shared" si="3"/>
        <v>:NAME</v>
      </c>
      <c r="T46" s="286"/>
      <c r="U46" s="287"/>
      <c r="V46" s="287"/>
      <c r="W46" s="287"/>
      <c r="X46" s="287"/>
      <c r="Y46" s="298"/>
      <c r="Z46" s="288"/>
      <c r="AA46" s="289">
        <f t="shared" si="4"/>
        <v>0</v>
      </c>
      <c r="AB46" s="290"/>
      <c r="AC46" s="291"/>
      <c r="AD46" s="292"/>
      <c r="AE46" s="293"/>
      <c r="AG46" s="295"/>
    </row>
    <row r="47" spans="1:33" s="294" customFormat="1" x14ac:dyDescent="0.25">
      <c r="A47" s="487"/>
      <c r="B47" s="490"/>
      <c r="C47" s="493"/>
      <c r="D47" s="390">
        <v>13</v>
      </c>
      <c r="E47" s="396">
        <v>45</v>
      </c>
      <c r="F47" s="469"/>
      <c r="G47" s="282"/>
      <c r="H47" s="283"/>
      <c r="I47" s="282"/>
      <c r="J47" s="284"/>
      <c r="K47" s="301"/>
      <c r="L47" s="484" t="str">
        <f t="shared" si="5"/>
        <v/>
      </c>
      <c r="M47" s="285"/>
      <c r="N47" s="402" t="str">
        <f t="shared" si="7"/>
        <v/>
      </c>
      <c r="O47" s="286">
        <f t="shared" si="8"/>
        <v>0</v>
      </c>
      <c r="P47" s="406" t="str">
        <f t="shared" si="9"/>
        <v>0</v>
      </c>
      <c r="Q47" s="302"/>
      <c r="R47" s="413" t="str">
        <f t="shared" si="2"/>
        <v/>
      </c>
      <c r="S47" s="419" t="str">
        <f t="shared" si="3"/>
        <v>:NAME</v>
      </c>
      <c r="T47" s="286"/>
      <c r="U47" s="287"/>
      <c r="V47" s="287"/>
      <c r="W47" s="287"/>
      <c r="X47" s="287"/>
      <c r="Y47" s="298"/>
      <c r="Z47" s="288"/>
      <c r="AA47" s="289">
        <f t="shared" si="4"/>
        <v>0</v>
      </c>
      <c r="AB47" s="290"/>
      <c r="AC47" s="291"/>
      <c r="AD47" s="292"/>
      <c r="AE47" s="293"/>
      <c r="AG47" s="295"/>
    </row>
    <row r="48" spans="1:33" s="294" customFormat="1" x14ac:dyDescent="0.25">
      <c r="A48" s="487"/>
      <c r="B48" s="490"/>
      <c r="C48" s="493"/>
      <c r="D48" s="390">
        <v>14</v>
      </c>
      <c r="E48" s="396">
        <v>46</v>
      </c>
      <c r="F48" s="469"/>
      <c r="G48" s="282"/>
      <c r="H48" s="283"/>
      <c r="I48" s="282"/>
      <c r="J48" s="284"/>
      <c r="K48" s="301"/>
      <c r="L48" s="484" t="str">
        <f t="shared" si="5"/>
        <v/>
      </c>
      <c r="M48" s="285"/>
      <c r="N48" s="402" t="str">
        <f t="shared" si="7"/>
        <v/>
      </c>
      <c r="O48" s="286">
        <f t="shared" si="8"/>
        <v>0</v>
      </c>
      <c r="P48" s="406" t="str">
        <f t="shared" si="9"/>
        <v>0</v>
      </c>
      <c r="Q48" s="286"/>
      <c r="R48" s="413" t="str">
        <f t="shared" si="2"/>
        <v/>
      </c>
      <c r="S48" s="419" t="str">
        <f t="shared" si="3"/>
        <v>:NAME</v>
      </c>
      <c r="T48" s="286"/>
      <c r="U48" s="287"/>
      <c r="V48" s="287"/>
      <c r="W48" s="287"/>
      <c r="X48" s="287"/>
      <c r="Y48" s="298"/>
      <c r="Z48" s="288"/>
      <c r="AA48" s="289">
        <f t="shared" si="4"/>
        <v>0</v>
      </c>
      <c r="AB48" s="290"/>
      <c r="AC48" s="291"/>
      <c r="AD48" s="292"/>
      <c r="AE48" s="293"/>
      <c r="AG48" s="295"/>
    </row>
    <row r="49" spans="1:33" s="294" customFormat="1" ht="15.75" thickBot="1" x14ac:dyDescent="0.3">
      <c r="A49" s="488"/>
      <c r="B49" s="491"/>
      <c r="C49" s="494"/>
      <c r="D49" s="390">
        <v>15</v>
      </c>
      <c r="E49" s="396">
        <v>47</v>
      </c>
      <c r="F49" s="474"/>
      <c r="G49" s="282"/>
      <c r="H49" s="282"/>
      <c r="I49" s="282"/>
      <c r="J49" s="282"/>
      <c r="K49" s="301"/>
      <c r="L49" s="484" t="str">
        <f t="shared" si="5"/>
        <v/>
      </c>
      <c r="M49" s="285"/>
      <c r="N49" s="402" t="str">
        <f t="shared" si="7"/>
        <v/>
      </c>
      <c r="O49" s="286">
        <f t="shared" si="8"/>
        <v>0</v>
      </c>
      <c r="P49" s="406" t="str">
        <f t="shared" si="9"/>
        <v>0</v>
      </c>
      <c r="Q49" s="286"/>
      <c r="R49" s="413" t="str">
        <f t="shared" si="2"/>
        <v/>
      </c>
      <c r="S49" s="419" t="str">
        <f t="shared" si="3"/>
        <v>:NAME</v>
      </c>
      <c r="T49" s="286"/>
      <c r="U49" s="287"/>
      <c r="V49" s="287"/>
      <c r="W49" s="287"/>
      <c r="X49" s="287"/>
      <c r="Y49" s="298"/>
      <c r="Z49" s="288"/>
      <c r="AA49" s="289">
        <f t="shared" si="4"/>
        <v>0</v>
      </c>
      <c r="AB49" s="290"/>
      <c r="AC49" s="291"/>
      <c r="AD49" s="292"/>
      <c r="AE49" s="293"/>
      <c r="AG49" s="295"/>
    </row>
    <row r="50" spans="1:33" s="279" customFormat="1" ht="14.45" customHeight="1" x14ac:dyDescent="0.25">
      <c r="A50" s="486" t="s">
        <v>44</v>
      </c>
      <c r="B50" s="489" t="str">
        <f>LOOKUP(A50,Module,IO)</f>
        <v>.</v>
      </c>
      <c r="C50" s="492" t="s">
        <v>11</v>
      </c>
      <c r="D50" s="389" t="s">
        <v>160</v>
      </c>
      <c r="E50" s="395">
        <v>48</v>
      </c>
      <c r="F50" s="467"/>
      <c r="G50" s="267"/>
      <c r="H50" s="267"/>
      <c r="I50" s="267"/>
      <c r="J50" s="269"/>
      <c r="K50" s="269"/>
      <c r="L50" s="483" t="str">
        <f t="shared" si="5"/>
        <v/>
      </c>
      <c r="M50" s="270"/>
      <c r="N50" s="401" t="str">
        <f t="shared" ref="N50:N65" si="10">IF(F50&lt;&gt;"",IF($H$1&lt;&gt;"","IO"&amp;".","IO.")&amp;$C$50&amp;"."&amp;$B$50&amp;D50,"")</f>
        <v/>
      </c>
      <c r="O50" s="271">
        <f t="shared" ref="O50:O65" si="11">LOOKUP($A$50,Module,Type)</f>
        <v>0</v>
      </c>
      <c r="P50" s="405" t="str">
        <f>O50&amp;N50</f>
        <v>0</v>
      </c>
      <c r="Q50" s="271"/>
      <c r="R50" s="412" t="str">
        <f t="shared" si="2"/>
        <v/>
      </c>
      <c r="S50" s="418" t="str">
        <f t="shared" si="3"/>
        <v>:NAME</v>
      </c>
      <c r="T50" s="271"/>
      <c r="U50" s="272"/>
      <c r="V50" s="272"/>
      <c r="W50" s="272"/>
      <c r="X50" s="272"/>
      <c r="Y50" s="297"/>
      <c r="Z50" s="273"/>
      <c r="AA50" s="274">
        <f t="shared" si="4"/>
        <v>0</v>
      </c>
      <c r="AB50" s="275"/>
      <c r="AC50" s="276"/>
      <c r="AD50" s="277"/>
      <c r="AE50" s="278"/>
      <c r="AG50" s="280"/>
    </row>
    <row r="51" spans="1:33" s="294" customFormat="1" x14ac:dyDescent="0.25">
      <c r="A51" s="487"/>
      <c r="B51" s="490"/>
      <c r="C51" s="493"/>
      <c r="D51" s="390">
        <v>1</v>
      </c>
      <c r="E51" s="396">
        <v>49</v>
      </c>
      <c r="F51" s="469"/>
      <c r="G51" s="282"/>
      <c r="H51" s="282"/>
      <c r="I51" s="282"/>
      <c r="J51" s="284"/>
      <c r="K51" s="284"/>
      <c r="L51" s="484" t="str">
        <f t="shared" si="5"/>
        <v/>
      </c>
      <c r="M51" s="285"/>
      <c r="N51" s="402" t="str">
        <f t="shared" si="10"/>
        <v/>
      </c>
      <c r="O51" s="286">
        <f t="shared" si="11"/>
        <v>0</v>
      </c>
      <c r="P51" s="406" t="str">
        <f t="shared" ref="P51:P65" si="12">O51&amp;N51</f>
        <v>0</v>
      </c>
      <c r="Q51" s="286"/>
      <c r="R51" s="413" t="str">
        <f t="shared" si="2"/>
        <v/>
      </c>
      <c r="S51" s="419" t="str">
        <f t="shared" si="3"/>
        <v>:NAME</v>
      </c>
      <c r="T51" s="286"/>
      <c r="U51" s="287"/>
      <c r="V51" s="287"/>
      <c r="W51" s="287"/>
      <c r="X51" s="287"/>
      <c r="Y51" s="298"/>
      <c r="Z51" s="288"/>
      <c r="AA51" s="289">
        <f t="shared" si="4"/>
        <v>0</v>
      </c>
      <c r="AB51" s="290"/>
      <c r="AC51" s="291"/>
      <c r="AD51" s="292"/>
      <c r="AE51" s="293"/>
      <c r="AG51" s="295"/>
    </row>
    <row r="52" spans="1:33" s="294" customFormat="1" x14ac:dyDescent="0.25">
      <c r="A52" s="487"/>
      <c r="B52" s="490"/>
      <c r="C52" s="493"/>
      <c r="D52" s="390">
        <v>2</v>
      </c>
      <c r="E52" s="396">
        <v>50</v>
      </c>
      <c r="F52" s="469"/>
      <c r="G52" s="282"/>
      <c r="H52" s="283"/>
      <c r="I52" s="282"/>
      <c r="J52" s="284"/>
      <c r="K52" s="284"/>
      <c r="L52" s="484" t="str">
        <f t="shared" si="5"/>
        <v/>
      </c>
      <c r="M52" s="285"/>
      <c r="N52" s="402" t="str">
        <f t="shared" si="10"/>
        <v/>
      </c>
      <c r="O52" s="286">
        <f t="shared" si="11"/>
        <v>0</v>
      </c>
      <c r="P52" s="406" t="str">
        <f t="shared" si="12"/>
        <v>0</v>
      </c>
      <c r="Q52" s="286"/>
      <c r="R52" s="413" t="str">
        <f t="shared" si="2"/>
        <v/>
      </c>
      <c r="S52" s="419" t="str">
        <f t="shared" si="3"/>
        <v>:NAME</v>
      </c>
      <c r="T52" s="286"/>
      <c r="U52" s="287"/>
      <c r="V52" s="287"/>
      <c r="W52" s="287"/>
      <c r="X52" s="287"/>
      <c r="Y52" s="298"/>
      <c r="Z52" s="288"/>
      <c r="AA52" s="289">
        <f t="shared" si="4"/>
        <v>0</v>
      </c>
      <c r="AB52" s="290"/>
      <c r="AC52" s="291"/>
      <c r="AD52" s="292"/>
      <c r="AE52" s="293"/>
      <c r="AG52" s="295"/>
    </row>
    <row r="53" spans="1:33" s="294" customFormat="1" x14ac:dyDescent="0.25">
      <c r="A53" s="487"/>
      <c r="B53" s="490"/>
      <c r="C53" s="493"/>
      <c r="D53" s="390">
        <v>3</v>
      </c>
      <c r="E53" s="396">
        <v>51</v>
      </c>
      <c r="F53" s="469"/>
      <c r="G53" s="282"/>
      <c r="H53" s="283"/>
      <c r="I53" s="282"/>
      <c r="J53" s="284"/>
      <c r="K53" s="284"/>
      <c r="L53" s="484" t="str">
        <f t="shared" si="5"/>
        <v/>
      </c>
      <c r="M53" s="285"/>
      <c r="N53" s="402" t="str">
        <f t="shared" si="10"/>
        <v/>
      </c>
      <c r="O53" s="286">
        <f t="shared" si="11"/>
        <v>0</v>
      </c>
      <c r="P53" s="406" t="str">
        <f t="shared" si="12"/>
        <v>0</v>
      </c>
      <c r="Q53" s="286"/>
      <c r="R53" s="413" t="str">
        <f t="shared" si="2"/>
        <v/>
      </c>
      <c r="S53" s="419" t="str">
        <f t="shared" si="3"/>
        <v>:NAME</v>
      </c>
      <c r="T53" s="286"/>
      <c r="U53" s="287"/>
      <c r="V53" s="287"/>
      <c r="W53" s="287"/>
      <c r="X53" s="287"/>
      <c r="Y53" s="298"/>
      <c r="Z53" s="288"/>
      <c r="AA53" s="289">
        <f t="shared" si="4"/>
        <v>0</v>
      </c>
      <c r="AB53" s="290"/>
      <c r="AC53" s="291"/>
      <c r="AD53" s="292"/>
      <c r="AE53" s="293"/>
      <c r="AG53" s="295"/>
    </row>
    <row r="54" spans="1:33" s="294" customFormat="1" x14ac:dyDescent="0.25">
      <c r="A54" s="487"/>
      <c r="B54" s="490"/>
      <c r="C54" s="493"/>
      <c r="D54" s="390">
        <v>4</v>
      </c>
      <c r="E54" s="396">
        <v>52</v>
      </c>
      <c r="F54" s="469"/>
      <c r="G54" s="283"/>
      <c r="H54" s="283"/>
      <c r="I54" s="282"/>
      <c r="J54" s="284"/>
      <c r="K54" s="284"/>
      <c r="L54" s="484" t="str">
        <f t="shared" si="5"/>
        <v/>
      </c>
      <c r="M54" s="285"/>
      <c r="N54" s="402" t="str">
        <f t="shared" si="10"/>
        <v/>
      </c>
      <c r="O54" s="286">
        <f t="shared" si="11"/>
        <v>0</v>
      </c>
      <c r="P54" s="406" t="str">
        <f t="shared" si="12"/>
        <v>0</v>
      </c>
      <c r="Q54" s="286"/>
      <c r="R54" s="413" t="str">
        <f t="shared" si="2"/>
        <v/>
      </c>
      <c r="S54" s="419" t="str">
        <f t="shared" si="3"/>
        <v>:NAME</v>
      </c>
      <c r="T54" s="286"/>
      <c r="U54" s="287"/>
      <c r="V54" s="287"/>
      <c r="W54" s="287"/>
      <c r="X54" s="287"/>
      <c r="Y54" s="298"/>
      <c r="Z54" s="288"/>
      <c r="AA54" s="289">
        <f t="shared" si="4"/>
        <v>0</v>
      </c>
      <c r="AB54" s="290"/>
      <c r="AC54" s="291"/>
      <c r="AD54" s="292"/>
      <c r="AE54" s="293"/>
      <c r="AG54" s="295"/>
    </row>
    <row r="55" spans="1:33" s="294" customFormat="1" x14ac:dyDescent="0.25">
      <c r="A55" s="487"/>
      <c r="B55" s="490"/>
      <c r="C55" s="493"/>
      <c r="D55" s="390">
        <v>5</v>
      </c>
      <c r="E55" s="396">
        <v>53</v>
      </c>
      <c r="F55" s="469"/>
      <c r="G55" s="283"/>
      <c r="H55" s="283"/>
      <c r="I55" s="282"/>
      <c r="J55" s="284"/>
      <c r="K55" s="284"/>
      <c r="L55" s="484" t="str">
        <f t="shared" si="5"/>
        <v/>
      </c>
      <c r="M55" s="285"/>
      <c r="N55" s="402" t="str">
        <f t="shared" si="10"/>
        <v/>
      </c>
      <c r="O55" s="286">
        <f t="shared" si="11"/>
        <v>0</v>
      </c>
      <c r="P55" s="406" t="str">
        <f t="shared" si="12"/>
        <v>0</v>
      </c>
      <c r="Q55" s="286"/>
      <c r="R55" s="413" t="str">
        <f t="shared" si="2"/>
        <v/>
      </c>
      <c r="S55" s="419" t="str">
        <f t="shared" si="3"/>
        <v>:NAME</v>
      </c>
      <c r="T55" s="286"/>
      <c r="U55" s="287"/>
      <c r="V55" s="287"/>
      <c r="W55" s="287"/>
      <c r="X55" s="287"/>
      <c r="Y55" s="298"/>
      <c r="Z55" s="288"/>
      <c r="AA55" s="289">
        <f t="shared" si="4"/>
        <v>0</v>
      </c>
      <c r="AB55" s="290"/>
      <c r="AC55" s="291"/>
      <c r="AD55" s="292"/>
      <c r="AE55" s="293"/>
      <c r="AG55" s="295"/>
    </row>
    <row r="56" spans="1:33" s="294" customFormat="1" x14ac:dyDescent="0.25">
      <c r="A56" s="487"/>
      <c r="B56" s="490"/>
      <c r="C56" s="493"/>
      <c r="D56" s="390">
        <v>6</v>
      </c>
      <c r="E56" s="396">
        <v>54</v>
      </c>
      <c r="F56" s="469"/>
      <c r="G56" s="283"/>
      <c r="H56" s="283"/>
      <c r="I56" s="282"/>
      <c r="J56" s="284"/>
      <c r="K56" s="284"/>
      <c r="L56" s="484" t="str">
        <f t="shared" si="5"/>
        <v/>
      </c>
      <c r="M56" s="285"/>
      <c r="N56" s="402" t="str">
        <f t="shared" si="10"/>
        <v/>
      </c>
      <c r="O56" s="286">
        <f t="shared" si="11"/>
        <v>0</v>
      </c>
      <c r="P56" s="406" t="str">
        <f t="shared" si="12"/>
        <v>0</v>
      </c>
      <c r="Q56" s="286"/>
      <c r="R56" s="413" t="str">
        <f t="shared" si="2"/>
        <v/>
      </c>
      <c r="S56" s="419" t="str">
        <f t="shared" si="3"/>
        <v>:NAME</v>
      </c>
      <c r="T56" s="286"/>
      <c r="U56" s="287"/>
      <c r="V56" s="287"/>
      <c r="W56" s="287"/>
      <c r="X56" s="287"/>
      <c r="Y56" s="298"/>
      <c r="Z56" s="288"/>
      <c r="AA56" s="289">
        <f t="shared" si="4"/>
        <v>0</v>
      </c>
      <c r="AB56" s="290"/>
      <c r="AC56" s="291"/>
      <c r="AD56" s="292"/>
      <c r="AE56" s="293"/>
      <c r="AG56" s="295"/>
    </row>
    <row r="57" spans="1:33" s="294" customFormat="1" x14ac:dyDescent="0.25">
      <c r="A57" s="487"/>
      <c r="B57" s="490"/>
      <c r="C57" s="493"/>
      <c r="D57" s="390">
        <v>7</v>
      </c>
      <c r="E57" s="396">
        <v>55</v>
      </c>
      <c r="F57" s="469"/>
      <c r="G57" s="283"/>
      <c r="H57" s="283"/>
      <c r="I57" s="282"/>
      <c r="J57" s="284"/>
      <c r="K57" s="284"/>
      <c r="L57" s="484" t="str">
        <f t="shared" si="5"/>
        <v/>
      </c>
      <c r="M57" s="285"/>
      <c r="N57" s="402" t="str">
        <f t="shared" si="10"/>
        <v/>
      </c>
      <c r="O57" s="286">
        <f t="shared" si="11"/>
        <v>0</v>
      </c>
      <c r="P57" s="406" t="str">
        <f t="shared" si="12"/>
        <v>0</v>
      </c>
      <c r="Q57" s="286"/>
      <c r="R57" s="413" t="str">
        <f t="shared" si="2"/>
        <v/>
      </c>
      <c r="S57" s="419" t="str">
        <f t="shared" si="3"/>
        <v>:NAME</v>
      </c>
      <c r="T57" s="286"/>
      <c r="U57" s="287"/>
      <c r="V57" s="287"/>
      <c r="W57" s="287"/>
      <c r="X57" s="298"/>
      <c r="Y57" s="298"/>
      <c r="Z57" s="288"/>
      <c r="AA57" s="289">
        <f t="shared" si="4"/>
        <v>0</v>
      </c>
      <c r="AB57" s="290"/>
      <c r="AC57" s="291"/>
      <c r="AD57" s="292"/>
      <c r="AE57" s="293"/>
      <c r="AG57" s="295"/>
    </row>
    <row r="58" spans="1:33" s="294" customFormat="1" x14ac:dyDescent="0.25">
      <c r="A58" s="487"/>
      <c r="B58" s="490"/>
      <c r="C58" s="493"/>
      <c r="D58" s="390">
        <v>8</v>
      </c>
      <c r="E58" s="396">
        <v>56</v>
      </c>
      <c r="F58" s="469"/>
      <c r="G58" s="283"/>
      <c r="H58" s="283"/>
      <c r="I58" s="282"/>
      <c r="J58" s="284"/>
      <c r="K58" s="284"/>
      <c r="L58" s="484" t="str">
        <f t="shared" si="5"/>
        <v/>
      </c>
      <c r="M58" s="285"/>
      <c r="N58" s="402" t="str">
        <f t="shared" si="10"/>
        <v/>
      </c>
      <c r="O58" s="286">
        <f t="shared" si="11"/>
        <v>0</v>
      </c>
      <c r="P58" s="406" t="str">
        <f t="shared" si="12"/>
        <v>0</v>
      </c>
      <c r="Q58" s="286"/>
      <c r="R58" s="413" t="str">
        <f t="shared" si="2"/>
        <v/>
      </c>
      <c r="S58" s="419" t="str">
        <f t="shared" si="3"/>
        <v>:NAME</v>
      </c>
      <c r="T58" s="286"/>
      <c r="U58" s="287"/>
      <c r="V58" s="287"/>
      <c r="W58" s="287"/>
      <c r="X58" s="287"/>
      <c r="Y58" s="298"/>
      <c r="Z58" s="288"/>
      <c r="AA58" s="289">
        <f t="shared" si="4"/>
        <v>0</v>
      </c>
      <c r="AB58" s="290"/>
      <c r="AC58" s="291"/>
      <c r="AD58" s="292"/>
      <c r="AE58" s="293"/>
      <c r="AG58" s="295"/>
    </row>
    <row r="59" spans="1:33" s="294" customFormat="1" x14ac:dyDescent="0.25">
      <c r="A59" s="487"/>
      <c r="B59" s="490"/>
      <c r="C59" s="493"/>
      <c r="D59" s="390">
        <v>9</v>
      </c>
      <c r="E59" s="396">
        <v>57</v>
      </c>
      <c r="F59" s="469"/>
      <c r="G59" s="283"/>
      <c r="H59" s="283"/>
      <c r="I59" s="282"/>
      <c r="J59" s="284"/>
      <c r="K59" s="300"/>
      <c r="L59" s="484" t="str">
        <f t="shared" si="5"/>
        <v/>
      </c>
      <c r="M59" s="285"/>
      <c r="N59" s="402" t="str">
        <f t="shared" si="10"/>
        <v/>
      </c>
      <c r="O59" s="286">
        <f t="shared" si="11"/>
        <v>0</v>
      </c>
      <c r="P59" s="406" t="str">
        <f>O59&amp;N59</f>
        <v>0</v>
      </c>
      <c r="Q59" s="286"/>
      <c r="R59" s="413" t="str">
        <f t="shared" si="2"/>
        <v/>
      </c>
      <c r="S59" s="419" t="str">
        <f t="shared" si="3"/>
        <v>:NAME</v>
      </c>
      <c r="T59" s="286"/>
      <c r="U59" s="287"/>
      <c r="V59" s="287"/>
      <c r="W59" s="287"/>
      <c r="X59" s="287"/>
      <c r="Y59" s="298"/>
      <c r="Z59" s="288"/>
      <c r="AA59" s="289">
        <f t="shared" si="4"/>
        <v>0</v>
      </c>
      <c r="AB59" s="290"/>
      <c r="AC59" s="291"/>
      <c r="AD59" s="292"/>
      <c r="AE59" s="293"/>
      <c r="AG59" s="295"/>
    </row>
    <row r="60" spans="1:33" s="294" customFormat="1" x14ac:dyDescent="0.25">
      <c r="A60" s="487"/>
      <c r="B60" s="490"/>
      <c r="C60" s="493"/>
      <c r="D60" s="390">
        <v>10</v>
      </c>
      <c r="E60" s="396">
        <v>58</v>
      </c>
      <c r="F60" s="469"/>
      <c r="G60" s="283"/>
      <c r="H60" s="283"/>
      <c r="I60" s="282"/>
      <c r="J60" s="284"/>
      <c r="K60" s="300"/>
      <c r="L60" s="484" t="str">
        <f t="shared" si="5"/>
        <v/>
      </c>
      <c r="M60" s="285"/>
      <c r="N60" s="402" t="str">
        <f t="shared" si="10"/>
        <v/>
      </c>
      <c r="O60" s="286">
        <f t="shared" si="11"/>
        <v>0</v>
      </c>
      <c r="P60" s="406" t="str">
        <f t="shared" si="12"/>
        <v>0</v>
      </c>
      <c r="Q60" s="286"/>
      <c r="R60" s="413" t="str">
        <f t="shared" si="2"/>
        <v/>
      </c>
      <c r="S60" s="419" t="str">
        <f t="shared" si="3"/>
        <v>:NAME</v>
      </c>
      <c r="T60" s="286"/>
      <c r="U60" s="287"/>
      <c r="V60" s="287"/>
      <c r="W60" s="287"/>
      <c r="X60" s="287"/>
      <c r="Y60" s="298"/>
      <c r="Z60" s="288"/>
      <c r="AA60" s="289">
        <f t="shared" si="4"/>
        <v>0</v>
      </c>
      <c r="AB60" s="290"/>
      <c r="AC60" s="291"/>
      <c r="AD60" s="292"/>
      <c r="AE60" s="293"/>
      <c r="AG60" s="295"/>
    </row>
    <row r="61" spans="1:33" s="294" customFormat="1" x14ac:dyDescent="0.25">
      <c r="A61" s="487"/>
      <c r="B61" s="490"/>
      <c r="C61" s="493"/>
      <c r="D61" s="390">
        <v>11</v>
      </c>
      <c r="E61" s="396">
        <v>59</v>
      </c>
      <c r="F61" s="469"/>
      <c r="G61" s="283"/>
      <c r="H61" s="283"/>
      <c r="I61" s="282"/>
      <c r="J61" s="284"/>
      <c r="K61" s="300"/>
      <c r="L61" s="484" t="str">
        <f t="shared" si="5"/>
        <v/>
      </c>
      <c r="M61" s="285"/>
      <c r="N61" s="402" t="str">
        <f t="shared" si="10"/>
        <v/>
      </c>
      <c r="O61" s="286">
        <f t="shared" si="11"/>
        <v>0</v>
      </c>
      <c r="P61" s="406" t="str">
        <f t="shared" si="12"/>
        <v>0</v>
      </c>
      <c r="Q61" s="286"/>
      <c r="R61" s="413" t="str">
        <f t="shared" si="2"/>
        <v/>
      </c>
      <c r="S61" s="419" t="str">
        <f t="shared" si="3"/>
        <v>:NAME</v>
      </c>
      <c r="T61" s="286"/>
      <c r="U61" s="287"/>
      <c r="V61" s="287"/>
      <c r="W61" s="287"/>
      <c r="X61" s="287"/>
      <c r="Y61" s="298"/>
      <c r="Z61" s="288"/>
      <c r="AA61" s="289">
        <f t="shared" si="4"/>
        <v>0</v>
      </c>
      <c r="AB61" s="290"/>
      <c r="AC61" s="291"/>
      <c r="AD61" s="292"/>
      <c r="AE61" s="293"/>
      <c r="AG61" s="295"/>
    </row>
    <row r="62" spans="1:33" s="294" customFormat="1" x14ac:dyDescent="0.25">
      <c r="A62" s="487"/>
      <c r="B62" s="490"/>
      <c r="C62" s="493"/>
      <c r="D62" s="390">
        <v>12</v>
      </c>
      <c r="E62" s="396">
        <v>60</v>
      </c>
      <c r="F62" s="469"/>
      <c r="G62" s="283"/>
      <c r="H62" s="283"/>
      <c r="I62" s="282"/>
      <c r="J62" s="284"/>
      <c r="K62" s="300"/>
      <c r="L62" s="484" t="str">
        <f t="shared" si="5"/>
        <v/>
      </c>
      <c r="M62" s="285"/>
      <c r="N62" s="402" t="str">
        <f t="shared" si="10"/>
        <v/>
      </c>
      <c r="O62" s="286">
        <f t="shared" si="11"/>
        <v>0</v>
      </c>
      <c r="P62" s="406" t="str">
        <f t="shared" si="12"/>
        <v>0</v>
      </c>
      <c r="Q62" s="286"/>
      <c r="R62" s="413" t="str">
        <f t="shared" si="2"/>
        <v/>
      </c>
      <c r="S62" s="419" t="str">
        <f t="shared" si="3"/>
        <v>:NAME</v>
      </c>
      <c r="T62" s="286"/>
      <c r="U62" s="287"/>
      <c r="V62" s="287"/>
      <c r="W62" s="287"/>
      <c r="X62" s="287"/>
      <c r="Y62" s="298"/>
      <c r="Z62" s="288"/>
      <c r="AA62" s="289">
        <f t="shared" si="4"/>
        <v>0</v>
      </c>
      <c r="AB62" s="290"/>
      <c r="AC62" s="291"/>
      <c r="AD62" s="292"/>
      <c r="AE62" s="293"/>
      <c r="AG62" s="295"/>
    </row>
    <row r="63" spans="1:33" s="294" customFormat="1" x14ac:dyDescent="0.25">
      <c r="A63" s="487"/>
      <c r="B63" s="490"/>
      <c r="C63" s="493"/>
      <c r="D63" s="390">
        <v>13</v>
      </c>
      <c r="E63" s="396">
        <v>61</v>
      </c>
      <c r="F63" s="469"/>
      <c r="G63" s="283"/>
      <c r="H63" s="283"/>
      <c r="I63" s="282"/>
      <c r="J63" s="284"/>
      <c r="K63" s="300"/>
      <c r="L63" s="484" t="str">
        <f t="shared" si="5"/>
        <v/>
      </c>
      <c r="M63" s="285"/>
      <c r="N63" s="402" t="str">
        <f t="shared" si="10"/>
        <v/>
      </c>
      <c r="O63" s="286">
        <f t="shared" si="11"/>
        <v>0</v>
      </c>
      <c r="P63" s="406" t="str">
        <f t="shared" si="12"/>
        <v>0</v>
      </c>
      <c r="Q63" s="286"/>
      <c r="R63" s="413" t="str">
        <f t="shared" si="2"/>
        <v/>
      </c>
      <c r="S63" s="419" t="str">
        <f t="shared" si="3"/>
        <v>:NAME</v>
      </c>
      <c r="T63" s="286"/>
      <c r="U63" s="287"/>
      <c r="V63" s="287"/>
      <c r="W63" s="287"/>
      <c r="X63" s="287"/>
      <c r="Y63" s="298"/>
      <c r="Z63" s="288"/>
      <c r="AA63" s="289">
        <f t="shared" si="4"/>
        <v>0</v>
      </c>
      <c r="AB63" s="290"/>
      <c r="AC63" s="291"/>
      <c r="AD63" s="292"/>
      <c r="AE63" s="293"/>
      <c r="AG63" s="295"/>
    </row>
    <row r="64" spans="1:33" s="294" customFormat="1" x14ac:dyDescent="0.25">
      <c r="A64" s="487"/>
      <c r="B64" s="490"/>
      <c r="C64" s="493"/>
      <c r="D64" s="390">
        <v>14</v>
      </c>
      <c r="E64" s="396">
        <v>62</v>
      </c>
      <c r="F64" s="474"/>
      <c r="G64" s="282"/>
      <c r="H64" s="283"/>
      <c r="I64" s="282"/>
      <c r="J64" s="284"/>
      <c r="K64" s="300"/>
      <c r="L64" s="484" t="str">
        <f t="shared" si="5"/>
        <v/>
      </c>
      <c r="M64" s="285"/>
      <c r="N64" s="402" t="str">
        <f t="shared" si="10"/>
        <v/>
      </c>
      <c r="O64" s="286">
        <f t="shared" si="11"/>
        <v>0</v>
      </c>
      <c r="P64" s="406" t="str">
        <f t="shared" si="12"/>
        <v>0</v>
      </c>
      <c r="Q64" s="286"/>
      <c r="R64" s="413" t="str">
        <f t="shared" si="2"/>
        <v/>
      </c>
      <c r="S64" s="419" t="str">
        <f t="shared" si="3"/>
        <v>:NAME</v>
      </c>
      <c r="T64" s="286"/>
      <c r="U64" s="287"/>
      <c r="V64" s="287"/>
      <c r="W64" s="287"/>
      <c r="X64" s="287"/>
      <c r="Y64" s="298"/>
      <c r="Z64" s="288"/>
      <c r="AA64" s="289">
        <f t="shared" si="4"/>
        <v>0</v>
      </c>
      <c r="AB64" s="290"/>
      <c r="AC64" s="291"/>
      <c r="AD64" s="292"/>
      <c r="AE64" s="293"/>
      <c r="AG64" s="295"/>
    </row>
    <row r="65" spans="1:33" s="294" customFormat="1" ht="15.75" thickBot="1" x14ac:dyDescent="0.3">
      <c r="A65" s="488"/>
      <c r="B65" s="491"/>
      <c r="C65" s="494"/>
      <c r="D65" s="390">
        <v>15</v>
      </c>
      <c r="E65" s="396">
        <v>63</v>
      </c>
      <c r="F65" s="466"/>
      <c r="G65" s="282"/>
      <c r="H65" s="283"/>
      <c r="I65" s="282"/>
      <c r="J65" s="284"/>
      <c r="K65" s="300"/>
      <c r="L65" s="484" t="str">
        <f t="shared" si="5"/>
        <v/>
      </c>
      <c r="M65" s="285"/>
      <c r="N65" s="402" t="str">
        <f t="shared" si="10"/>
        <v/>
      </c>
      <c r="O65" s="286">
        <f t="shared" si="11"/>
        <v>0</v>
      </c>
      <c r="P65" s="406" t="str">
        <f t="shared" si="12"/>
        <v>0</v>
      </c>
      <c r="Q65" s="286"/>
      <c r="R65" s="413" t="str">
        <f t="shared" si="2"/>
        <v/>
      </c>
      <c r="S65" s="419" t="str">
        <f t="shared" si="3"/>
        <v>:NAME</v>
      </c>
      <c r="T65" s="286"/>
      <c r="U65" s="287"/>
      <c r="V65" s="287"/>
      <c r="W65" s="287"/>
      <c r="X65" s="287"/>
      <c r="Y65" s="298"/>
      <c r="Z65" s="288"/>
      <c r="AA65" s="289">
        <f t="shared" si="4"/>
        <v>0</v>
      </c>
      <c r="AB65" s="290"/>
      <c r="AC65" s="291"/>
      <c r="AD65" s="292"/>
      <c r="AE65" s="293"/>
      <c r="AG65" s="295"/>
    </row>
    <row r="66" spans="1:33" s="279" customFormat="1" ht="14.45" customHeight="1" x14ac:dyDescent="0.25">
      <c r="A66" s="486" t="s">
        <v>0</v>
      </c>
      <c r="B66" s="489" t="str">
        <f>LOOKUP(A66,Module,IO)</f>
        <v>DigitalOutput</v>
      </c>
      <c r="C66" s="492" t="s">
        <v>12</v>
      </c>
      <c r="D66" s="389" t="s">
        <v>160</v>
      </c>
      <c r="E66" s="398">
        <v>64</v>
      </c>
      <c r="F66" s="476" t="s">
        <v>1018</v>
      </c>
      <c r="G66" s="267" t="s">
        <v>1266</v>
      </c>
      <c r="H66" s="303" t="s">
        <v>584</v>
      </c>
      <c r="I66" s="267" t="s">
        <v>1263</v>
      </c>
      <c r="J66" s="267" t="s">
        <v>1265</v>
      </c>
      <c r="K66" s="269" t="s">
        <v>1264</v>
      </c>
      <c r="L66" s="483" t="str">
        <f t="shared" si="5"/>
        <v>PSDUS0202:NSB:B104:DRK:XXX:ME001</v>
      </c>
      <c r="M66" s="270" t="s">
        <v>154</v>
      </c>
      <c r="N66" s="401" t="str">
        <f t="shared" ref="N66:N81" si="13">IF(F66&lt;&gt;"",IF($H$1&lt;&gt;"","IO"&amp;".","IO.")&amp;$C$66&amp;"."&amp;$B$66&amp;D66,"")</f>
        <v>IO.Slot4.DigitalOutput0</v>
      </c>
      <c r="O66" s="271" t="str">
        <f t="shared" ref="O66:O81" si="14">LOOKUP($A$66,Module,Type)</f>
        <v>F.</v>
      </c>
      <c r="P66" s="405" t="str">
        <f>O66&amp;N66</f>
        <v>F.IO.Slot4.DigitalOutput0</v>
      </c>
      <c r="Q66" s="271" t="s">
        <v>158</v>
      </c>
      <c r="R66" s="412" t="str">
        <f t="shared" ref="R66:R129" si="15">IF(G66&lt;&gt;"",G66&amp;"."&amp;H66&amp;"."&amp;I66&amp;"."&amp;J66&amp;IF(K66&lt;&gt;"","."&amp;K66,""),"")</f>
        <v>NSB.B104.DRK.XXX.ME001</v>
      </c>
      <c r="S66" s="418" t="str">
        <f t="shared" ref="S66:S129" si="16">L66&amp;":NAME"</f>
        <v>PSDUS0202:NSB:B104:DRK:XXX:ME001:NAME</v>
      </c>
      <c r="T66" s="271"/>
      <c r="U66" s="272"/>
      <c r="V66" s="272"/>
      <c r="W66" s="272"/>
      <c r="X66" s="272"/>
      <c r="Y66" s="297"/>
      <c r="Z66" s="273"/>
      <c r="AA66" s="274">
        <f t="shared" si="4"/>
        <v>32</v>
      </c>
      <c r="AB66" s="275"/>
      <c r="AC66" s="276"/>
      <c r="AD66" s="277"/>
      <c r="AE66" s="278"/>
      <c r="AG66" s="280" t="s">
        <v>1274</v>
      </c>
    </row>
    <row r="67" spans="1:33" s="294" customFormat="1" x14ac:dyDescent="0.25">
      <c r="A67" s="487"/>
      <c r="B67" s="490"/>
      <c r="C67" s="493"/>
      <c r="D67" s="390">
        <v>1</v>
      </c>
      <c r="E67" s="399">
        <v>65</v>
      </c>
      <c r="F67" s="474" t="s">
        <v>1019</v>
      </c>
      <c r="G67" s="282" t="s">
        <v>1266</v>
      </c>
      <c r="H67" s="304" t="s">
        <v>585</v>
      </c>
      <c r="I67" s="282" t="s">
        <v>1263</v>
      </c>
      <c r="J67" s="282" t="s">
        <v>1265</v>
      </c>
      <c r="K67" s="284" t="s">
        <v>1264</v>
      </c>
      <c r="L67" s="484" t="str">
        <f t="shared" si="5"/>
        <v>PSDUS0202:NSB:B105:DRK:XXX:ME001</v>
      </c>
      <c r="M67" s="285" t="s">
        <v>154</v>
      </c>
      <c r="N67" s="402" t="str">
        <f t="shared" ref="N67:N72" si="17">IF(F67&lt;&gt;"",IF($H$1&lt;&gt;"","IO"&amp;".","IO.")&amp;$C$66&amp;"."&amp;$B$66&amp;D67,"")</f>
        <v>IO.Slot4.DigitalOutput1</v>
      </c>
      <c r="O67" s="286" t="str">
        <f t="shared" si="14"/>
        <v>F.</v>
      </c>
      <c r="P67" s="406" t="str">
        <f t="shared" ref="P67:P72" si="18">O67&amp;N67</f>
        <v>F.IO.Slot4.DigitalOutput1</v>
      </c>
      <c r="Q67" s="286" t="s">
        <v>158</v>
      </c>
      <c r="R67" s="413" t="str">
        <f t="shared" si="15"/>
        <v>NSB.B105.DRK.XXX.ME001</v>
      </c>
      <c r="S67" s="419" t="str">
        <f t="shared" si="16"/>
        <v>PSDUS0202:NSB:B105:DRK:XXX:ME001:NAME</v>
      </c>
      <c r="T67" s="286"/>
      <c r="U67" s="287"/>
      <c r="V67" s="287"/>
      <c r="W67" s="287"/>
      <c r="X67" s="287"/>
      <c r="Y67" s="298"/>
      <c r="Z67" s="288"/>
      <c r="AA67" s="289">
        <f t="shared" ref="AA67:AA130" si="19">LEN(L67)</f>
        <v>32</v>
      </c>
      <c r="AB67" s="290"/>
      <c r="AC67" s="291"/>
      <c r="AD67" s="292"/>
      <c r="AE67" s="293"/>
      <c r="AG67" s="295" t="s">
        <v>1275</v>
      </c>
    </row>
    <row r="68" spans="1:33" s="294" customFormat="1" x14ac:dyDescent="0.25">
      <c r="A68" s="487"/>
      <c r="B68" s="490"/>
      <c r="C68" s="493"/>
      <c r="D68" s="390">
        <v>2</v>
      </c>
      <c r="E68" s="399">
        <v>66</v>
      </c>
      <c r="F68" s="474" t="s">
        <v>1020</v>
      </c>
      <c r="G68" s="282" t="s">
        <v>1266</v>
      </c>
      <c r="H68" s="304" t="s">
        <v>1270</v>
      </c>
      <c r="I68" s="282" t="s">
        <v>1269</v>
      </c>
      <c r="J68" s="282" t="s">
        <v>1265</v>
      </c>
      <c r="K68" s="284" t="s">
        <v>1264</v>
      </c>
      <c r="L68" s="484" t="str">
        <f t="shared" si="5"/>
        <v>PSDUS0202:NSB:Z103:DUF:XXX:ME001</v>
      </c>
      <c r="M68" s="285" t="s">
        <v>154</v>
      </c>
      <c r="N68" s="402" t="str">
        <f t="shared" si="17"/>
        <v>IO.Slot4.DigitalOutput2</v>
      </c>
      <c r="O68" s="286" t="str">
        <f t="shared" si="14"/>
        <v>F.</v>
      </c>
      <c r="P68" s="406" t="str">
        <f t="shared" si="18"/>
        <v>F.IO.Slot4.DigitalOutput2</v>
      </c>
      <c r="Q68" s="286" t="s">
        <v>158</v>
      </c>
      <c r="R68" s="413" t="str">
        <f t="shared" si="15"/>
        <v>NSB.Z103.DUF.XXX.ME001</v>
      </c>
      <c r="S68" s="419" t="str">
        <f t="shared" si="16"/>
        <v>PSDUS0202:NSB:Z103:DUF:XXX:ME001:NAME</v>
      </c>
      <c r="T68" s="286"/>
      <c r="U68" s="287"/>
      <c r="V68" s="287"/>
      <c r="W68" s="287"/>
      <c r="X68" s="287"/>
      <c r="Y68" s="298"/>
      <c r="Z68" s="288"/>
      <c r="AA68" s="289">
        <f t="shared" si="19"/>
        <v>32</v>
      </c>
      <c r="AB68" s="290"/>
      <c r="AC68" s="291"/>
      <c r="AD68" s="292"/>
      <c r="AE68" s="293"/>
      <c r="AG68" s="295" t="s">
        <v>1273</v>
      </c>
    </row>
    <row r="69" spans="1:33" s="294" customFormat="1" x14ac:dyDescent="0.25">
      <c r="A69" s="487"/>
      <c r="B69" s="490"/>
      <c r="C69" s="493"/>
      <c r="D69" s="390">
        <v>3</v>
      </c>
      <c r="E69" s="399">
        <v>67</v>
      </c>
      <c r="F69" s="474" t="s">
        <v>1021</v>
      </c>
      <c r="G69" s="282" t="s">
        <v>1266</v>
      </c>
      <c r="H69" s="304" t="s">
        <v>581</v>
      </c>
      <c r="I69" s="282" t="s">
        <v>1263</v>
      </c>
      <c r="J69" s="282" t="s">
        <v>1276</v>
      </c>
      <c r="K69" s="284" t="s">
        <v>1264</v>
      </c>
      <c r="L69" s="484" t="str">
        <f t="shared" si="5"/>
        <v>PSDUS0202:NSB:B101:DRK:FUE:ME001</v>
      </c>
      <c r="M69" s="285" t="s">
        <v>154</v>
      </c>
      <c r="N69" s="402" t="str">
        <f t="shared" si="17"/>
        <v>IO.Slot4.DigitalOutput3</v>
      </c>
      <c r="O69" s="286" t="str">
        <f t="shared" si="14"/>
        <v>F.</v>
      </c>
      <c r="P69" s="406" t="str">
        <f t="shared" si="18"/>
        <v>F.IO.Slot4.DigitalOutput3</v>
      </c>
      <c r="Q69" s="286" t="s">
        <v>158</v>
      </c>
      <c r="R69" s="413" t="str">
        <f t="shared" si="15"/>
        <v>NSB.B101.DRK.FUE.ME001</v>
      </c>
      <c r="S69" s="419" t="str">
        <f t="shared" si="16"/>
        <v>PSDUS0202:NSB:B101:DRK:FUE:ME001:NAME</v>
      </c>
      <c r="T69" s="286"/>
      <c r="U69" s="287"/>
      <c r="V69" s="287"/>
      <c r="W69" s="287"/>
      <c r="X69" s="287"/>
      <c r="Y69" s="298"/>
      <c r="Z69" s="288"/>
      <c r="AA69" s="289">
        <f t="shared" si="19"/>
        <v>32</v>
      </c>
      <c r="AB69" s="290"/>
      <c r="AC69" s="291"/>
      <c r="AD69" s="292"/>
      <c r="AE69" s="293"/>
      <c r="AG69" s="295" t="s">
        <v>1277</v>
      </c>
    </row>
    <row r="70" spans="1:33" s="294" customFormat="1" x14ac:dyDescent="0.25">
      <c r="A70" s="487"/>
      <c r="B70" s="490"/>
      <c r="C70" s="493"/>
      <c r="D70" s="390">
        <v>4</v>
      </c>
      <c r="E70" s="399">
        <v>68</v>
      </c>
      <c r="F70" s="474" t="s">
        <v>1022</v>
      </c>
      <c r="G70" s="282"/>
      <c r="H70" s="304"/>
      <c r="I70" s="282"/>
      <c r="J70" s="282"/>
      <c r="K70" s="284"/>
      <c r="L70" s="484" t="str">
        <f t="shared" si="5"/>
        <v/>
      </c>
      <c r="M70" s="285"/>
      <c r="N70" s="402"/>
      <c r="O70" s="286"/>
      <c r="P70" s="406"/>
      <c r="Q70" s="286"/>
      <c r="R70" s="413" t="str">
        <f t="shared" si="15"/>
        <v/>
      </c>
      <c r="S70" s="419" t="str">
        <f t="shared" si="16"/>
        <v>:NAME</v>
      </c>
      <c r="T70" s="286"/>
      <c r="U70" s="287"/>
      <c r="V70" s="287"/>
      <c r="W70" s="287"/>
      <c r="X70" s="287"/>
      <c r="Y70" s="298"/>
      <c r="Z70" s="288"/>
      <c r="AA70" s="289">
        <f t="shared" si="19"/>
        <v>0</v>
      </c>
      <c r="AB70" s="290"/>
      <c r="AC70" s="291"/>
      <c r="AD70" s="292"/>
      <c r="AE70" s="293"/>
      <c r="AG70" s="295"/>
    </row>
    <row r="71" spans="1:33" s="294" customFormat="1" x14ac:dyDescent="0.25">
      <c r="A71" s="487"/>
      <c r="B71" s="490"/>
      <c r="C71" s="493"/>
      <c r="D71" s="390">
        <v>5</v>
      </c>
      <c r="E71" s="399">
        <v>69</v>
      </c>
      <c r="F71" s="474" t="s">
        <v>1023</v>
      </c>
      <c r="G71" s="282" t="s">
        <v>1266</v>
      </c>
      <c r="H71" s="304" t="s">
        <v>583</v>
      </c>
      <c r="I71" s="282" t="s">
        <v>1279</v>
      </c>
      <c r="J71" s="282" t="s">
        <v>1265</v>
      </c>
      <c r="K71" s="284" t="s">
        <v>1264</v>
      </c>
      <c r="L71" s="484" t="str">
        <f t="shared" si="5"/>
        <v>PSDUS0202:NSB:B103:TMP:XXX:ME001</v>
      </c>
      <c r="M71" s="285" t="s">
        <v>154</v>
      </c>
      <c r="N71" s="402" t="str">
        <f t="shared" si="17"/>
        <v>IO.Slot4.DigitalOutput5</v>
      </c>
      <c r="O71" s="286" t="str">
        <f t="shared" si="14"/>
        <v>F.</v>
      </c>
      <c r="P71" s="406" t="str">
        <f t="shared" si="18"/>
        <v>F.IO.Slot4.DigitalOutput5</v>
      </c>
      <c r="Q71" s="286" t="s">
        <v>158</v>
      </c>
      <c r="R71" s="413" t="str">
        <f t="shared" si="15"/>
        <v>NSB.B103.TMP.XXX.ME001</v>
      </c>
      <c r="S71" s="419" t="str">
        <f t="shared" si="16"/>
        <v>PSDUS0202:NSB:B103:TMP:XXX:ME001:NAME</v>
      </c>
      <c r="T71" s="286"/>
      <c r="U71" s="287"/>
      <c r="V71" s="287"/>
      <c r="W71" s="287"/>
      <c r="X71" s="287"/>
      <c r="Y71" s="298"/>
      <c r="Z71" s="288"/>
      <c r="AA71" s="289">
        <f t="shared" si="19"/>
        <v>32</v>
      </c>
      <c r="AB71" s="290"/>
      <c r="AC71" s="291"/>
      <c r="AD71" s="292"/>
      <c r="AE71" s="293"/>
      <c r="AG71" s="295" t="s">
        <v>1286</v>
      </c>
    </row>
    <row r="72" spans="1:33" s="294" customFormat="1" x14ac:dyDescent="0.25">
      <c r="A72" s="487"/>
      <c r="B72" s="490"/>
      <c r="C72" s="493"/>
      <c r="D72" s="390">
        <v>6</v>
      </c>
      <c r="E72" s="399">
        <v>70</v>
      </c>
      <c r="F72" s="474" t="s">
        <v>1024</v>
      </c>
      <c r="G72" s="282" t="s">
        <v>1266</v>
      </c>
      <c r="H72" s="283" t="s">
        <v>582</v>
      </c>
      <c r="I72" s="282" t="s">
        <v>1279</v>
      </c>
      <c r="J72" s="283" t="s">
        <v>1265</v>
      </c>
      <c r="K72" s="284" t="s">
        <v>1264</v>
      </c>
      <c r="L72" s="484" t="str">
        <f t="shared" si="5"/>
        <v>PSDUS0202:NSB:B102:TMP:XXX:ME001</v>
      </c>
      <c r="M72" s="285" t="s">
        <v>154</v>
      </c>
      <c r="N72" s="402" t="str">
        <f t="shared" si="17"/>
        <v>IO.Slot4.DigitalOutput6</v>
      </c>
      <c r="O72" s="286" t="str">
        <f t="shared" si="14"/>
        <v>F.</v>
      </c>
      <c r="P72" s="406" t="str">
        <f t="shared" si="18"/>
        <v>F.IO.Slot4.DigitalOutput6</v>
      </c>
      <c r="Q72" s="286" t="s">
        <v>158</v>
      </c>
      <c r="R72" s="413" t="str">
        <f t="shared" si="15"/>
        <v>NSB.B102.TMP.XXX.ME001</v>
      </c>
      <c r="S72" s="419" t="str">
        <f t="shared" si="16"/>
        <v>PSDUS0202:NSB:B102:TMP:XXX:ME001:NAME</v>
      </c>
      <c r="T72" s="286"/>
      <c r="U72" s="287"/>
      <c r="V72" s="287"/>
      <c r="W72" s="287"/>
      <c r="X72" s="287"/>
      <c r="Y72" s="298"/>
      <c r="Z72" s="288"/>
      <c r="AA72" s="289">
        <f t="shared" si="19"/>
        <v>32</v>
      </c>
      <c r="AB72" s="290"/>
      <c r="AC72" s="291"/>
      <c r="AD72" s="292"/>
      <c r="AE72" s="293"/>
      <c r="AG72" s="295"/>
    </row>
    <row r="73" spans="1:33" s="294" customFormat="1" x14ac:dyDescent="0.25">
      <c r="A73" s="487"/>
      <c r="B73" s="490"/>
      <c r="C73" s="493"/>
      <c r="D73" s="390">
        <v>7</v>
      </c>
      <c r="E73" s="399">
        <v>71</v>
      </c>
      <c r="F73" s="474" t="s">
        <v>1025</v>
      </c>
      <c r="G73" s="282"/>
      <c r="H73" s="283"/>
      <c r="I73" s="282"/>
      <c r="J73" s="283"/>
      <c r="K73" s="284"/>
      <c r="L73" s="484" t="str">
        <f t="shared" si="5"/>
        <v/>
      </c>
      <c r="M73" s="285"/>
      <c r="N73" s="402" t="str">
        <f t="shared" si="13"/>
        <v>IO.Slot4.DigitalOutput7</v>
      </c>
      <c r="O73" s="286" t="str">
        <f t="shared" si="14"/>
        <v>F.</v>
      </c>
      <c r="P73" s="406" t="str">
        <f t="shared" ref="P73:P81" si="20">O73&amp;N73</f>
        <v>F.IO.Slot4.DigitalOutput7</v>
      </c>
      <c r="Q73" s="286"/>
      <c r="R73" s="413" t="str">
        <f t="shared" si="15"/>
        <v/>
      </c>
      <c r="S73" s="419" t="str">
        <f t="shared" si="16"/>
        <v>:NAME</v>
      </c>
      <c r="T73" s="286"/>
      <c r="U73" s="287"/>
      <c r="V73" s="287"/>
      <c r="W73" s="287"/>
      <c r="X73" s="287"/>
      <c r="Y73" s="298"/>
      <c r="Z73" s="288"/>
      <c r="AA73" s="289">
        <f t="shared" si="19"/>
        <v>0</v>
      </c>
      <c r="AB73" s="290"/>
      <c r="AC73" s="291"/>
      <c r="AD73" s="292"/>
      <c r="AE73" s="293"/>
      <c r="AG73" s="295"/>
    </row>
    <row r="74" spans="1:33" s="294" customFormat="1" x14ac:dyDescent="0.25">
      <c r="A74" s="487"/>
      <c r="B74" s="490"/>
      <c r="C74" s="493"/>
      <c r="D74" s="390">
        <v>8</v>
      </c>
      <c r="E74" s="399">
        <v>72</v>
      </c>
      <c r="F74" s="474"/>
      <c r="G74" s="282"/>
      <c r="H74" s="304"/>
      <c r="I74" s="282"/>
      <c r="J74" s="283"/>
      <c r="K74" s="284"/>
      <c r="L74" s="484" t="str">
        <f t="shared" si="5"/>
        <v/>
      </c>
      <c r="M74" s="285"/>
      <c r="N74" s="402" t="str">
        <f t="shared" si="13"/>
        <v/>
      </c>
      <c r="O74" s="286" t="str">
        <f t="shared" si="14"/>
        <v>F.</v>
      </c>
      <c r="P74" s="406" t="str">
        <f t="shared" si="20"/>
        <v>F.</v>
      </c>
      <c r="Q74" s="286"/>
      <c r="R74" s="413" t="str">
        <f t="shared" si="15"/>
        <v/>
      </c>
      <c r="S74" s="419" t="str">
        <f t="shared" si="16"/>
        <v>:NAME</v>
      </c>
      <c r="T74" s="286"/>
      <c r="U74" s="287"/>
      <c r="V74" s="287"/>
      <c r="W74" s="287"/>
      <c r="X74" s="287"/>
      <c r="Y74" s="298"/>
      <c r="Z74" s="288"/>
      <c r="AA74" s="289">
        <f t="shared" si="19"/>
        <v>0</v>
      </c>
      <c r="AB74" s="290"/>
      <c r="AC74" s="291"/>
      <c r="AD74" s="292"/>
      <c r="AE74" s="293"/>
      <c r="AG74" s="295"/>
    </row>
    <row r="75" spans="1:33" s="294" customFormat="1" x14ac:dyDescent="0.25">
      <c r="A75" s="487"/>
      <c r="B75" s="490"/>
      <c r="C75" s="493"/>
      <c r="D75" s="390">
        <v>9</v>
      </c>
      <c r="E75" s="399">
        <v>73</v>
      </c>
      <c r="F75" s="474"/>
      <c r="G75" s="282"/>
      <c r="H75" s="304"/>
      <c r="I75" s="282"/>
      <c r="J75" s="283"/>
      <c r="K75" s="284"/>
      <c r="L75" s="484" t="str">
        <f t="shared" si="5"/>
        <v/>
      </c>
      <c r="M75" s="285"/>
      <c r="N75" s="402" t="str">
        <f t="shared" si="13"/>
        <v/>
      </c>
      <c r="O75" s="286" t="str">
        <f t="shared" si="14"/>
        <v>F.</v>
      </c>
      <c r="P75" s="406" t="str">
        <f t="shared" si="20"/>
        <v>F.</v>
      </c>
      <c r="Q75" s="286"/>
      <c r="R75" s="413" t="str">
        <f t="shared" si="15"/>
        <v/>
      </c>
      <c r="S75" s="419" t="str">
        <f t="shared" si="16"/>
        <v>:NAME</v>
      </c>
      <c r="T75" s="286"/>
      <c r="U75" s="287"/>
      <c r="V75" s="287"/>
      <c r="W75" s="287"/>
      <c r="X75" s="287"/>
      <c r="Y75" s="298"/>
      <c r="Z75" s="288"/>
      <c r="AA75" s="289">
        <f t="shared" si="19"/>
        <v>0</v>
      </c>
      <c r="AB75" s="290"/>
      <c r="AC75" s="291"/>
      <c r="AD75" s="292"/>
      <c r="AE75" s="293"/>
      <c r="AG75" s="295"/>
    </row>
    <row r="76" spans="1:33" s="294" customFormat="1" x14ac:dyDescent="0.25">
      <c r="A76" s="487"/>
      <c r="B76" s="490"/>
      <c r="C76" s="493"/>
      <c r="D76" s="390">
        <v>10</v>
      </c>
      <c r="E76" s="399">
        <v>74</v>
      </c>
      <c r="F76" s="474"/>
      <c r="G76" s="282"/>
      <c r="H76" s="304"/>
      <c r="I76" s="282"/>
      <c r="J76" s="283"/>
      <c r="K76" s="284"/>
      <c r="L76" s="484" t="str">
        <f t="shared" si="5"/>
        <v/>
      </c>
      <c r="M76" s="285"/>
      <c r="N76" s="402" t="str">
        <f t="shared" si="13"/>
        <v/>
      </c>
      <c r="O76" s="286" t="str">
        <f t="shared" si="14"/>
        <v>F.</v>
      </c>
      <c r="P76" s="406" t="str">
        <f t="shared" si="20"/>
        <v>F.</v>
      </c>
      <c r="Q76" s="286"/>
      <c r="R76" s="413" t="str">
        <f t="shared" si="15"/>
        <v/>
      </c>
      <c r="S76" s="419" t="str">
        <f t="shared" si="16"/>
        <v>:NAME</v>
      </c>
      <c r="T76" s="286"/>
      <c r="U76" s="287"/>
      <c r="V76" s="287"/>
      <c r="W76" s="287"/>
      <c r="X76" s="287"/>
      <c r="Y76" s="298"/>
      <c r="Z76" s="288"/>
      <c r="AA76" s="289">
        <f t="shared" si="19"/>
        <v>0</v>
      </c>
      <c r="AB76" s="290"/>
      <c r="AC76" s="291"/>
      <c r="AD76" s="292"/>
      <c r="AE76" s="293"/>
      <c r="AG76" s="295"/>
    </row>
    <row r="77" spans="1:33" s="294" customFormat="1" x14ac:dyDescent="0.25">
      <c r="A77" s="487"/>
      <c r="B77" s="490"/>
      <c r="C77" s="493"/>
      <c r="D77" s="390">
        <v>11</v>
      </c>
      <c r="E77" s="399">
        <v>75</v>
      </c>
      <c r="F77" s="474"/>
      <c r="G77" s="282"/>
      <c r="H77" s="304"/>
      <c r="I77" s="282"/>
      <c r="J77" s="283"/>
      <c r="K77" s="284"/>
      <c r="L77" s="484" t="str">
        <f t="shared" si="5"/>
        <v/>
      </c>
      <c r="M77" s="285"/>
      <c r="N77" s="402" t="str">
        <f t="shared" si="13"/>
        <v/>
      </c>
      <c r="O77" s="286" t="str">
        <f t="shared" si="14"/>
        <v>F.</v>
      </c>
      <c r="P77" s="406" t="str">
        <f t="shared" si="20"/>
        <v>F.</v>
      </c>
      <c r="Q77" s="286"/>
      <c r="R77" s="413" t="str">
        <f t="shared" si="15"/>
        <v/>
      </c>
      <c r="S77" s="419" t="str">
        <f t="shared" si="16"/>
        <v>:NAME</v>
      </c>
      <c r="T77" s="286"/>
      <c r="U77" s="287"/>
      <c r="V77" s="287"/>
      <c r="W77" s="287"/>
      <c r="X77" s="287"/>
      <c r="Y77" s="298"/>
      <c r="Z77" s="288"/>
      <c r="AA77" s="289">
        <f t="shared" si="19"/>
        <v>0</v>
      </c>
      <c r="AB77" s="290"/>
      <c r="AC77" s="291"/>
      <c r="AD77" s="292"/>
      <c r="AE77" s="293"/>
      <c r="AG77" s="295"/>
    </row>
    <row r="78" spans="1:33" s="294" customFormat="1" x14ac:dyDescent="0.25">
      <c r="A78" s="487"/>
      <c r="B78" s="490"/>
      <c r="C78" s="493"/>
      <c r="D78" s="390">
        <v>12</v>
      </c>
      <c r="E78" s="399">
        <v>76</v>
      </c>
      <c r="F78" s="474"/>
      <c r="G78" s="282"/>
      <c r="H78" s="283"/>
      <c r="I78" s="282"/>
      <c r="J78" s="283"/>
      <c r="K78" s="284"/>
      <c r="L78" s="484" t="str">
        <f t="shared" si="5"/>
        <v/>
      </c>
      <c r="M78" s="285"/>
      <c r="N78" s="402" t="str">
        <f t="shared" si="13"/>
        <v/>
      </c>
      <c r="O78" s="286" t="str">
        <f t="shared" si="14"/>
        <v>F.</v>
      </c>
      <c r="P78" s="406" t="str">
        <f t="shared" si="20"/>
        <v>F.</v>
      </c>
      <c r="Q78" s="286"/>
      <c r="R78" s="413" t="str">
        <f t="shared" si="15"/>
        <v/>
      </c>
      <c r="S78" s="419" t="str">
        <f t="shared" si="16"/>
        <v>:NAME</v>
      </c>
      <c r="T78" s="286"/>
      <c r="U78" s="287"/>
      <c r="V78" s="287"/>
      <c r="W78" s="287"/>
      <c r="X78" s="287"/>
      <c r="Y78" s="298"/>
      <c r="Z78" s="288"/>
      <c r="AA78" s="289">
        <f t="shared" si="19"/>
        <v>0</v>
      </c>
      <c r="AB78" s="290"/>
      <c r="AC78" s="291"/>
      <c r="AD78" s="292"/>
      <c r="AE78" s="293"/>
      <c r="AG78" s="295"/>
    </row>
    <row r="79" spans="1:33" s="294" customFormat="1" x14ac:dyDescent="0.25">
      <c r="A79" s="487"/>
      <c r="B79" s="490"/>
      <c r="C79" s="493"/>
      <c r="D79" s="390">
        <v>13</v>
      </c>
      <c r="E79" s="399">
        <v>77</v>
      </c>
      <c r="F79" s="474"/>
      <c r="G79" s="282"/>
      <c r="H79" s="283"/>
      <c r="I79" s="282"/>
      <c r="J79" s="283"/>
      <c r="K79" s="284"/>
      <c r="L79" s="484" t="str">
        <f t="shared" si="5"/>
        <v/>
      </c>
      <c r="M79" s="285"/>
      <c r="N79" s="402" t="str">
        <f t="shared" si="13"/>
        <v/>
      </c>
      <c r="O79" s="286" t="str">
        <f t="shared" si="14"/>
        <v>F.</v>
      </c>
      <c r="P79" s="406" t="str">
        <f t="shared" si="20"/>
        <v>F.</v>
      </c>
      <c r="Q79" s="286"/>
      <c r="R79" s="413" t="str">
        <f t="shared" si="15"/>
        <v/>
      </c>
      <c r="S79" s="419" t="str">
        <f t="shared" si="16"/>
        <v>:NAME</v>
      </c>
      <c r="T79" s="286"/>
      <c r="U79" s="287"/>
      <c r="V79" s="287"/>
      <c r="W79" s="287"/>
      <c r="X79" s="287"/>
      <c r="Y79" s="298"/>
      <c r="Z79" s="288"/>
      <c r="AA79" s="289">
        <f t="shared" si="19"/>
        <v>0</v>
      </c>
      <c r="AB79" s="290"/>
      <c r="AC79" s="291"/>
      <c r="AD79" s="292"/>
      <c r="AE79" s="293"/>
      <c r="AG79" s="295"/>
    </row>
    <row r="80" spans="1:33" s="294" customFormat="1" x14ac:dyDescent="0.25">
      <c r="A80" s="487"/>
      <c r="B80" s="490"/>
      <c r="C80" s="493"/>
      <c r="D80" s="390">
        <v>14</v>
      </c>
      <c r="E80" s="399">
        <v>78</v>
      </c>
      <c r="F80" s="474"/>
      <c r="G80" s="282"/>
      <c r="H80" s="283"/>
      <c r="I80" s="282"/>
      <c r="J80" s="283"/>
      <c r="K80" s="284"/>
      <c r="L80" s="484" t="str">
        <f t="shared" si="5"/>
        <v/>
      </c>
      <c r="M80" s="285"/>
      <c r="N80" s="402" t="str">
        <f t="shared" si="13"/>
        <v/>
      </c>
      <c r="O80" s="286" t="str">
        <f t="shared" si="14"/>
        <v>F.</v>
      </c>
      <c r="P80" s="406" t="str">
        <f t="shared" si="20"/>
        <v>F.</v>
      </c>
      <c r="Q80" s="286"/>
      <c r="R80" s="413" t="str">
        <f t="shared" si="15"/>
        <v/>
      </c>
      <c r="S80" s="419" t="str">
        <f t="shared" si="16"/>
        <v>:NAME</v>
      </c>
      <c r="T80" s="286"/>
      <c r="U80" s="287"/>
      <c r="V80" s="287"/>
      <c r="W80" s="287"/>
      <c r="X80" s="287"/>
      <c r="Y80" s="298"/>
      <c r="Z80" s="288"/>
      <c r="AA80" s="289">
        <f t="shared" si="19"/>
        <v>0</v>
      </c>
      <c r="AB80" s="290"/>
      <c r="AC80" s="291"/>
      <c r="AD80" s="292"/>
      <c r="AE80" s="293"/>
      <c r="AG80" s="295"/>
    </row>
    <row r="81" spans="1:33" s="294" customFormat="1" ht="15.75" thickBot="1" x14ac:dyDescent="0.3">
      <c r="A81" s="488"/>
      <c r="B81" s="491"/>
      <c r="C81" s="494"/>
      <c r="D81" s="390">
        <v>15</v>
      </c>
      <c r="E81" s="399">
        <v>79</v>
      </c>
      <c r="F81" s="474"/>
      <c r="G81" s="282"/>
      <c r="H81" s="283"/>
      <c r="I81" s="282"/>
      <c r="J81" s="283"/>
      <c r="K81" s="284"/>
      <c r="L81" s="484" t="str">
        <f t="shared" si="5"/>
        <v/>
      </c>
      <c r="M81" s="285"/>
      <c r="N81" s="402" t="str">
        <f t="shared" si="13"/>
        <v/>
      </c>
      <c r="O81" s="286" t="str">
        <f t="shared" si="14"/>
        <v>F.</v>
      </c>
      <c r="P81" s="406" t="str">
        <f t="shared" si="20"/>
        <v>F.</v>
      </c>
      <c r="Q81" s="286"/>
      <c r="R81" s="413" t="str">
        <f t="shared" si="15"/>
        <v/>
      </c>
      <c r="S81" s="419" t="str">
        <f t="shared" si="16"/>
        <v>:NAME</v>
      </c>
      <c r="T81" s="286"/>
      <c r="U81" s="287"/>
      <c r="V81" s="287"/>
      <c r="W81" s="287"/>
      <c r="X81" s="287"/>
      <c r="Y81" s="298"/>
      <c r="Z81" s="288"/>
      <c r="AA81" s="289">
        <f t="shared" si="19"/>
        <v>0</v>
      </c>
      <c r="AB81" s="290"/>
      <c r="AC81" s="291"/>
      <c r="AD81" s="292"/>
      <c r="AE81" s="293"/>
      <c r="AG81" s="295"/>
    </row>
    <row r="82" spans="1:33" s="279" customFormat="1" ht="14.45" customHeight="1" x14ac:dyDescent="0.25">
      <c r="A82" s="486" t="s">
        <v>0</v>
      </c>
      <c r="B82" s="489" t="str">
        <f>LOOKUP(A82,Module,IO)</f>
        <v>DigitalOutput</v>
      </c>
      <c r="C82" s="492" t="s">
        <v>13</v>
      </c>
      <c r="D82" s="389" t="s">
        <v>160</v>
      </c>
      <c r="E82" s="398">
        <v>80</v>
      </c>
      <c r="F82" s="476" t="s">
        <v>1026</v>
      </c>
      <c r="G82" s="267" t="s">
        <v>1266</v>
      </c>
      <c r="H82" s="268" t="s">
        <v>1294</v>
      </c>
      <c r="I82" s="268" t="s">
        <v>1292</v>
      </c>
      <c r="J82" s="268" t="s">
        <v>1293</v>
      </c>
      <c r="K82" s="269" t="s">
        <v>1264</v>
      </c>
      <c r="L82" s="483" t="str">
        <f t="shared" si="5"/>
        <v>PSDUS0202:NSB:M101:PUM:LET:ME001</v>
      </c>
      <c r="M82" s="270"/>
      <c r="N82" s="401" t="str">
        <f t="shared" ref="N82:N97" si="21">IF(F82&lt;&gt;"",IF($H$1&lt;&gt;"","IO"&amp;".","IO.")&amp;$C$82&amp;"."&amp;$B$82&amp;D82,"")</f>
        <v>IO.Slot5.DigitalOutput0</v>
      </c>
      <c r="O82" s="271" t="str">
        <f t="shared" ref="O82:O97" si="22">LOOKUP($A$82,Module,Type)</f>
        <v>F.</v>
      </c>
      <c r="P82" s="405" t="str">
        <f>O82&amp;N82</f>
        <v>F.IO.Slot5.DigitalOutput0</v>
      </c>
      <c r="Q82" s="271"/>
      <c r="R82" s="412" t="str">
        <f t="shared" si="15"/>
        <v>NSB.M101.PUM.LET.ME001</v>
      </c>
      <c r="S82" s="418" t="str">
        <f t="shared" si="16"/>
        <v>PSDUS0202:NSB:M101:PUM:LET:ME001:NAME</v>
      </c>
      <c r="T82" s="271"/>
      <c r="U82" s="272"/>
      <c r="V82" s="272"/>
      <c r="W82" s="272"/>
      <c r="X82" s="272"/>
      <c r="Y82" s="297"/>
      <c r="Z82" s="273"/>
      <c r="AA82" s="274">
        <f t="shared" si="19"/>
        <v>32</v>
      </c>
      <c r="AB82" s="275"/>
      <c r="AC82" s="276"/>
      <c r="AD82" s="277"/>
      <c r="AE82" s="278"/>
      <c r="AG82" s="280" t="s">
        <v>1295</v>
      </c>
    </row>
    <row r="83" spans="1:33" s="294" customFormat="1" x14ac:dyDescent="0.25">
      <c r="A83" s="487"/>
      <c r="B83" s="490"/>
      <c r="C83" s="493"/>
      <c r="D83" s="390">
        <v>1</v>
      </c>
      <c r="E83" s="399">
        <v>81</v>
      </c>
      <c r="F83" s="474" t="s">
        <v>1027</v>
      </c>
      <c r="G83" s="282" t="s">
        <v>1266</v>
      </c>
      <c r="H83" s="283" t="s">
        <v>1307</v>
      </c>
      <c r="I83" s="282" t="s">
        <v>1292</v>
      </c>
      <c r="J83" s="283" t="s">
        <v>1293</v>
      </c>
      <c r="K83" s="305" t="s">
        <v>1264</v>
      </c>
      <c r="L83" s="484" t="str">
        <f t="shared" ref="L83:L146" si="23">IF(G83&lt;&gt;"",$G$1&amp;":"&amp;G83&amp;":"&amp;H83&amp;":"&amp;I83&amp;":"&amp;(IF(K83&lt;&gt;"",J83&amp;":"&amp;K83,J83)),"")</f>
        <v>PSDUS0202:NSB:M102:PUM:LET:ME001</v>
      </c>
      <c r="M83" s="285"/>
      <c r="N83" s="402" t="str">
        <f t="shared" si="21"/>
        <v>IO.Slot5.DigitalOutput1</v>
      </c>
      <c r="O83" s="286" t="str">
        <f t="shared" si="22"/>
        <v>F.</v>
      </c>
      <c r="P83" s="406" t="str">
        <f t="shared" ref="P83:P97" si="24">O83&amp;N83</f>
        <v>F.IO.Slot5.DigitalOutput1</v>
      </c>
      <c r="Q83" s="286"/>
      <c r="R83" s="413" t="str">
        <f t="shared" si="15"/>
        <v>NSB.M102.PUM.LET.ME001</v>
      </c>
      <c r="S83" s="419" t="str">
        <f t="shared" si="16"/>
        <v>PSDUS0202:NSB:M102:PUM:LET:ME001:NAME</v>
      </c>
      <c r="T83" s="286"/>
      <c r="U83" s="287"/>
      <c r="V83" s="287"/>
      <c r="W83" s="287"/>
      <c r="X83" s="287"/>
      <c r="Y83" s="298"/>
      <c r="Z83" s="288"/>
      <c r="AA83" s="289">
        <f t="shared" si="19"/>
        <v>32</v>
      </c>
      <c r="AB83" s="290"/>
      <c r="AC83" s="291"/>
      <c r="AD83" s="292"/>
      <c r="AE83" s="293"/>
      <c r="AG83" s="295" t="s">
        <v>1308</v>
      </c>
    </row>
    <row r="84" spans="1:33" s="294" customFormat="1" x14ac:dyDescent="0.25">
      <c r="A84" s="487"/>
      <c r="B84" s="490"/>
      <c r="C84" s="493"/>
      <c r="D84" s="390">
        <v>2</v>
      </c>
      <c r="E84" s="399">
        <v>82</v>
      </c>
      <c r="F84" s="474" t="s">
        <v>1025</v>
      </c>
      <c r="G84" s="282"/>
      <c r="H84" s="283"/>
      <c r="I84" s="282"/>
      <c r="J84" s="283"/>
      <c r="K84" s="305"/>
      <c r="L84" s="484" t="str">
        <f t="shared" si="23"/>
        <v/>
      </c>
      <c r="M84" s="285"/>
      <c r="N84" s="402" t="str">
        <f t="shared" si="21"/>
        <v>IO.Slot5.DigitalOutput2</v>
      </c>
      <c r="O84" s="286" t="str">
        <f t="shared" si="22"/>
        <v>F.</v>
      </c>
      <c r="P84" s="406" t="str">
        <f t="shared" si="24"/>
        <v>F.IO.Slot5.DigitalOutput2</v>
      </c>
      <c r="Q84" s="286"/>
      <c r="R84" s="413" t="str">
        <f t="shared" si="15"/>
        <v/>
      </c>
      <c r="S84" s="419" t="str">
        <f t="shared" si="16"/>
        <v>:NAME</v>
      </c>
      <c r="T84" s="286"/>
      <c r="U84" s="287"/>
      <c r="V84" s="287"/>
      <c r="W84" s="287"/>
      <c r="X84" s="287"/>
      <c r="Y84" s="298"/>
      <c r="Z84" s="288"/>
      <c r="AA84" s="289">
        <f t="shared" si="19"/>
        <v>0</v>
      </c>
      <c r="AB84" s="290"/>
      <c r="AC84" s="291"/>
      <c r="AD84" s="292"/>
      <c r="AE84" s="293"/>
      <c r="AG84" s="295"/>
    </row>
    <row r="85" spans="1:33" s="294" customFormat="1" x14ac:dyDescent="0.25">
      <c r="A85" s="487"/>
      <c r="B85" s="490"/>
      <c r="C85" s="493"/>
      <c r="D85" s="390">
        <v>3</v>
      </c>
      <c r="E85" s="399">
        <v>83</v>
      </c>
      <c r="F85" s="474" t="s">
        <v>1025</v>
      </c>
      <c r="G85" s="282"/>
      <c r="H85" s="283"/>
      <c r="I85" s="282"/>
      <c r="J85" s="283"/>
      <c r="K85" s="284"/>
      <c r="L85" s="484" t="str">
        <f t="shared" si="23"/>
        <v/>
      </c>
      <c r="M85" s="285"/>
      <c r="N85" s="402" t="str">
        <f t="shared" si="21"/>
        <v>IO.Slot5.DigitalOutput3</v>
      </c>
      <c r="O85" s="286" t="str">
        <f t="shared" si="22"/>
        <v>F.</v>
      </c>
      <c r="P85" s="406" t="str">
        <f t="shared" si="24"/>
        <v>F.IO.Slot5.DigitalOutput3</v>
      </c>
      <c r="Q85" s="286"/>
      <c r="R85" s="413" t="str">
        <f t="shared" si="15"/>
        <v/>
      </c>
      <c r="S85" s="419" t="str">
        <f t="shared" si="16"/>
        <v>:NAME</v>
      </c>
      <c r="T85" s="286"/>
      <c r="U85" s="287"/>
      <c r="V85" s="287"/>
      <c r="W85" s="287"/>
      <c r="X85" s="287"/>
      <c r="Y85" s="298"/>
      <c r="Z85" s="288"/>
      <c r="AA85" s="289">
        <f t="shared" si="19"/>
        <v>0</v>
      </c>
      <c r="AB85" s="290"/>
      <c r="AC85" s="291"/>
      <c r="AD85" s="292"/>
      <c r="AE85" s="293"/>
      <c r="AG85" s="295"/>
    </row>
    <row r="86" spans="1:33" s="294" customFormat="1" x14ac:dyDescent="0.25">
      <c r="A86" s="487"/>
      <c r="B86" s="490"/>
      <c r="C86" s="493"/>
      <c r="D86" s="390">
        <v>4</v>
      </c>
      <c r="E86" s="399">
        <v>84</v>
      </c>
      <c r="F86" s="474" t="s">
        <v>1025</v>
      </c>
      <c r="G86" s="282"/>
      <c r="H86" s="283"/>
      <c r="I86" s="282"/>
      <c r="J86" s="283"/>
      <c r="K86" s="284"/>
      <c r="L86" s="484" t="str">
        <f t="shared" si="23"/>
        <v/>
      </c>
      <c r="M86" s="285"/>
      <c r="N86" s="402" t="str">
        <f t="shared" si="21"/>
        <v>IO.Slot5.DigitalOutput4</v>
      </c>
      <c r="O86" s="286" t="str">
        <f t="shared" si="22"/>
        <v>F.</v>
      </c>
      <c r="P86" s="406" t="str">
        <f t="shared" si="24"/>
        <v>F.IO.Slot5.DigitalOutput4</v>
      </c>
      <c r="Q86" s="286"/>
      <c r="R86" s="413" t="str">
        <f t="shared" si="15"/>
        <v/>
      </c>
      <c r="S86" s="419" t="str">
        <f t="shared" si="16"/>
        <v>:NAME</v>
      </c>
      <c r="T86" s="286"/>
      <c r="U86" s="287"/>
      <c r="V86" s="287"/>
      <c r="W86" s="287"/>
      <c r="X86" s="287"/>
      <c r="Y86" s="298"/>
      <c r="Z86" s="288"/>
      <c r="AA86" s="289">
        <f t="shared" si="19"/>
        <v>0</v>
      </c>
      <c r="AB86" s="290"/>
      <c r="AC86" s="291"/>
      <c r="AD86" s="292"/>
      <c r="AE86" s="293"/>
      <c r="AG86" s="295"/>
    </row>
    <row r="87" spans="1:33" s="294" customFormat="1" x14ac:dyDescent="0.25">
      <c r="A87" s="487"/>
      <c r="B87" s="490"/>
      <c r="C87" s="493"/>
      <c r="D87" s="390">
        <v>5</v>
      </c>
      <c r="E87" s="399">
        <v>85</v>
      </c>
      <c r="F87" s="474" t="s">
        <v>1025</v>
      </c>
      <c r="G87" s="282"/>
      <c r="H87" s="283"/>
      <c r="I87" s="282"/>
      <c r="J87" s="283"/>
      <c r="K87" s="284"/>
      <c r="L87" s="484" t="str">
        <f t="shared" si="23"/>
        <v/>
      </c>
      <c r="M87" s="285"/>
      <c r="N87" s="402" t="str">
        <f t="shared" si="21"/>
        <v>IO.Slot5.DigitalOutput5</v>
      </c>
      <c r="O87" s="286" t="str">
        <f t="shared" si="22"/>
        <v>F.</v>
      </c>
      <c r="P87" s="406" t="str">
        <f t="shared" si="24"/>
        <v>F.IO.Slot5.DigitalOutput5</v>
      </c>
      <c r="Q87" s="286"/>
      <c r="R87" s="413" t="str">
        <f t="shared" si="15"/>
        <v/>
      </c>
      <c r="S87" s="419" t="str">
        <f t="shared" si="16"/>
        <v>:NAME</v>
      </c>
      <c r="T87" s="286"/>
      <c r="U87" s="287"/>
      <c r="V87" s="287"/>
      <c r="W87" s="287"/>
      <c r="X87" s="287"/>
      <c r="Y87" s="298"/>
      <c r="Z87" s="288"/>
      <c r="AA87" s="289">
        <f t="shared" si="19"/>
        <v>0</v>
      </c>
      <c r="AB87" s="290"/>
      <c r="AC87" s="291"/>
      <c r="AD87" s="292"/>
      <c r="AE87" s="293"/>
      <c r="AG87" s="295"/>
    </row>
    <row r="88" spans="1:33" s="294" customFormat="1" x14ac:dyDescent="0.25">
      <c r="A88" s="487"/>
      <c r="B88" s="490"/>
      <c r="C88" s="493"/>
      <c r="D88" s="390">
        <v>6</v>
      </c>
      <c r="E88" s="399">
        <v>86</v>
      </c>
      <c r="F88" s="474" t="s">
        <v>1025</v>
      </c>
      <c r="G88" s="282"/>
      <c r="H88" s="283"/>
      <c r="I88" s="282"/>
      <c r="J88" s="283"/>
      <c r="K88" s="284"/>
      <c r="L88" s="484" t="str">
        <f t="shared" si="23"/>
        <v/>
      </c>
      <c r="M88" s="285"/>
      <c r="N88" s="402" t="str">
        <f t="shared" si="21"/>
        <v>IO.Slot5.DigitalOutput6</v>
      </c>
      <c r="O88" s="286" t="str">
        <f t="shared" si="22"/>
        <v>F.</v>
      </c>
      <c r="P88" s="406" t="str">
        <f t="shared" si="24"/>
        <v>F.IO.Slot5.DigitalOutput6</v>
      </c>
      <c r="Q88" s="286"/>
      <c r="R88" s="413" t="str">
        <f t="shared" si="15"/>
        <v/>
      </c>
      <c r="S88" s="419" t="str">
        <f t="shared" si="16"/>
        <v>:NAME</v>
      </c>
      <c r="T88" s="286"/>
      <c r="U88" s="287"/>
      <c r="V88" s="287"/>
      <c r="W88" s="287"/>
      <c r="X88" s="287"/>
      <c r="Y88" s="298"/>
      <c r="Z88" s="288"/>
      <c r="AA88" s="289">
        <f t="shared" si="19"/>
        <v>0</v>
      </c>
      <c r="AB88" s="290"/>
      <c r="AC88" s="291"/>
      <c r="AD88" s="292"/>
      <c r="AE88" s="293"/>
      <c r="AG88" s="295"/>
    </row>
    <row r="89" spans="1:33" s="294" customFormat="1" x14ac:dyDescent="0.25">
      <c r="A89" s="487"/>
      <c r="B89" s="490"/>
      <c r="C89" s="493"/>
      <c r="D89" s="390">
        <v>7</v>
      </c>
      <c r="E89" s="399">
        <v>87</v>
      </c>
      <c r="F89" s="474" t="s">
        <v>1025</v>
      </c>
      <c r="G89" s="282"/>
      <c r="H89" s="283"/>
      <c r="I89" s="282"/>
      <c r="J89" s="283"/>
      <c r="K89" s="284"/>
      <c r="L89" s="484" t="str">
        <f t="shared" si="23"/>
        <v/>
      </c>
      <c r="M89" s="285"/>
      <c r="N89" s="402" t="str">
        <f t="shared" si="21"/>
        <v>IO.Slot5.DigitalOutput7</v>
      </c>
      <c r="O89" s="286" t="str">
        <f t="shared" si="22"/>
        <v>F.</v>
      </c>
      <c r="P89" s="406" t="str">
        <f t="shared" si="24"/>
        <v>F.IO.Slot5.DigitalOutput7</v>
      </c>
      <c r="Q89" s="286"/>
      <c r="R89" s="413" t="str">
        <f t="shared" si="15"/>
        <v/>
      </c>
      <c r="S89" s="419" t="str">
        <f t="shared" si="16"/>
        <v>:NAME</v>
      </c>
      <c r="T89" s="286"/>
      <c r="U89" s="287"/>
      <c r="V89" s="287"/>
      <c r="W89" s="287"/>
      <c r="X89" s="287"/>
      <c r="Y89" s="298"/>
      <c r="Z89" s="288"/>
      <c r="AA89" s="289">
        <f t="shared" si="19"/>
        <v>0</v>
      </c>
      <c r="AB89" s="290"/>
      <c r="AC89" s="291"/>
      <c r="AD89" s="292"/>
      <c r="AE89" s="293"/>
      <c r="AG89" s="295"/>
    </row>
    <row r="90" spans="1:33" s="294" customFormat="1" x14ac:dyDescent="0.25">
      <c r="A90" s="487"/>
      <c r="B90" s="490"/>
      <c r="C90" s="493"/>
      <c r="D90" s="390">
        <v>8</v>
      </c>
      <c r="E90" s="399">
        <v>88</v>
      </c>
      <c r="F90" s="474"/>
      <c r="G90" s="282"/>
      <c r="H90" s="283"/>
      <c r="I90" s="282"/>
      <c r="J90" s="282"/>
      <c r="K90" s="284"/>
      <c r="L90" s="484" t="str">
        <f t="shared" si="23"/>
        <v/>
      </c>
      <c r="M90" s="285"/>
      <c r="N90" s="402" t="str">
        <f t="shared" si="21"/>
        <v/>
      </c>
      <c r="O90" s="286" t="str">
        <f t="shared" si="22"/>
        <v>F.</v>
      </c>
      <c r="P90" s="406" t="str">
        <f t="shared" si="24"/>
        <v>F.</v>
      </c>
      <c r="Q90" s="286"/>
      <c r="R90" s="413" t="str">
        <f t="shared" si="15"/>
        <v/>
      </c>
      <c r="S90" s="419" t="str">
        <f t="shared" si="16"/>
        <v>:NAME</v>
      </c>
      <c r="T90" s="286"/>
      <c r="U90" s="287"/>
      <c r="V90" s="287"/>
      <c r="W90" s="287"/>
      <c r="X90" s="287"/>
      <c r="Y90" s="298"/>
      <c r="Z90" s="288"/>
      <c r="AA90" s="289">
        <f t="shared" si="19"/>
        <v>0</v>
      </c>
      <c r="AB90" s="290"/>
      <c r="AC90" s="291"/>
      <c r="AD90" s="292"/>
      <c r="AE90" s="293"/>
      <c r="AG90" s="295"/>
    </row>
    <row r="91" spans="1:33" s="294" customFormat="1" x14ac:dyDescent="0.25">
      <c r="A91" s="487"/>
      <c r="B91" s="490"/>
      <c r="C91" s="493"/>
      <c r="D91" s="390">
        <v>9</v>
      </c>
      <c r="E91" s="399">
        <v>89</v>
      </c>
      <c r="F91" s="474"/>
      <c r="G91" s="282"/>
      <c r="H91" s="283"/>
      <c r="I91" s="282"/>
      <c r="J91" s="282"/>
      <c r="K91" s="284"/>
      <c r="L91" s="484" t="str">
        <f t="shared" si="23"/>
        <v/>
      </c>
      <c r="M91" s="285"/>
      <c r="N91" s="402" t="str">
        <f t="shared" si="21"/>
        <v/>
      </c>
      <c r="O91" s="286" t="str">
        <f t="shared" si="22"/>
        <v>F.</v>
      </c>
      <c r="P91" s="406" t="str">
        <f t="shared" si="24"/>
        <v>F.</v>
      </c>
      <c r="Q91" s="286"/>
      <c r="R91" s="413" t="str">
        <f t="shared" si="15"/>
        <v/>
      </c>
      <c r="S91" s="419" t="str">
        <f t="shared" si="16"/>
        <v>:NAME</v>
      </c>
      <c r="T91" s="286"/>
      <c r="U91" s="287"/>
      <c r="V91" s="287"/>
      <c r="W91" s="287"/>
      <c r="X91" s="287"/>
      <c r="Y91" s="298"/>
      <c r="Z91" s="288"/>
      <c r="AA91" s="289">
        <f t="shared" si="19"/>
        <v>0</v>
      </c>
      <c r="AB91" s="290"/>
      <c r="AC91" s="291"/>
      <c r="AD91" s="292"/>
      <c r="AE91" s="293"/>
      <c r="AG91" s="295"/>
    </row>
    <row r="92" spans="1:33" s="294" customFormat="1" x14ac:dyDescent="0.25">
      <c r="A92" s="487"/>
      <c r="B92" s="490"/>
      <c r="C92" s="493"/>
      <c r="D92" s="390">
        <v>10</v>
      </c>
      <c r="E92" s="399">
        <v>90</v>
      </c>
      <c r="F92" s="474"/>
      <c r="G92" s="282"/>
      <c r="H92" s="282"/>
      <c r="I92" s="282"/>
      <c r="J92" s="282"/>
      <c r="K92" s="284"/>
      <c r="L92" s="484" t="str">
        <f t="shared" si="23"/>
        <v/>
      </c>
      <c r="M92" s="285"/>
      <c r="N92" s="402" t="str">
        <f t="shared" si="21"/>
        <v/>
      </c>
      <c r="O92" s="286" t="str">
        <f t="shared" si="22"/>
        <v>F.</v>
      </c>
      <c r="P92" s="406" t="str">
        <f t="shared" si="24"/>
        <v>F.</v>
      </c>
      <c r="Q92" s="286"/>
      <c r="R92" s="413" t="str">
        <f t="shared" si="15"/>
        <v/>
      </c>
      <c r="S92" s="419" t="str">
        <f t="shared" si="16"/>
        <v>:NAME</v>
      </c>
      <c r="T92" s="286"/>
      <c r="U92" s="287"/>
      <c r="V92" s="287"/>
      <c r="W92" s="287"/>
      <c r="X92" s="287"/>
      <c r="Y92" s="298"/>
      <c r="Z92" s="288"/>
      <c r="AA92" s="289">
        <f t="shared" si="19"/>
        <v>0</v>
      </c>
      <c r="AB92" s="290"/>
      <c r="AC92" s="291"/>
      <c r="AD92" s="292"/>
      <c r="AE92" s="293"/>
      <c r="AG92" s="295"/>
    </row>
    <row r="93" spans="1:33" s="294" customFormat="1" x14ac:dyDescent="0.25">
      <c r="A93" s="487"/>
      <c r="B93" s="490"/>
      <c r="C93" s="493"/>
      <c r="D93" s="390">
        <v>11</v>
      </c>
      <c r="E93" s="399">
        <v>91</v>
      </c>
      <c r="F93" s="474"/>
      <c r="G93" s="282"/>
      <c r="H93" s="282"/>
      <c r="I93" s="282"/>
      <c r="J93" s="282"/>
      <c r="K93" s="284"/>
      <c r="L93" s="484" t="str">
        <f t="shared" si="23"/>
        <v/>
      </c>
      <c r="M93" s="285"/>
      <c r="N93" s="402" t="str">
        <f t="shared" si="21"/>
        <v/>
      </c>
      <c r="O93" s="286" t="str">
        <f t="shared" si="22"/>
        <v>F.</v>
      </c>
      <c r="P93" s="406" t="str">
        <f t="shared" si="24"/>
        <v>F.</v>
      </c>
      <c r="Q93" s="286"/>
      <c r="R93" s="413" t="str">
        <f t="shared" si="15"/>
        <v/>
      </c>
      <c r="S93" s="419" t="str">
        <f t="shared" si="16"/>
        <v>:NAME</v>
      </c>
      <c r="T93" s="286"/>
      <c r="U93" s="287"/>
      <c r="V93" s="287"/>
      <c r="W93" s="287"/>
      <c r="X93" s="287"/>
      <c r="Y93" s="298"/>
      <c r="Z93" s="288"/>
      <c r="AA93" s="289">
        <f t="shared" si="19"/>
        <v>0</v>
      </c>
      <c r="AB93" s="290"/>
      <c r="AC93" s="291"/>
      <c r="AD93" s="292"/>
      <c r="AE93" s="293"/>
      <c r="AG93" s="295"/>
    </row>
    <row r="94" spans="1:33" s="294" customFormat="1" x14ac:dyDescent="0.25">
      <c r="A94" s="487"/>
      <c r="B94" s="490"/>
      <c r="C94" s="493"/>
      <c r="D94" s="390">
        <v>12</v>
      </c>
      <c r="E94" s="399">
        <v>92</v>
      </c>
      <c r="F94" s="474"/>
      <c r="G94" s="282"/>
      <c r="H94" s="282"/>
      <c r="I94" s="282"/>
      <c r="J94" s="282"/>
      <c r="K94" s="284"/>
      <c r="L94" s="484" t="str">
        <f t="shared" si="23"/>
        <v/>
      </c>
      <c r="M94" s="285"/>
      <c r="N94" s="402" t="str">
        <f t="shared" si="21"/>
        <v/>
      </c>
      <c r="O94" s="286" t="str">
        <f t="shared" si="22"/>
        <v>F.</v>
      </c>
      <c r="P94" s="406" t="str">
        <f t="shared" si="24"/>
        <v>F.</v>
      </c>
      <c r="Q94" s="286"/>
      <c r="R94" s="413" t="str">
        <f t="shared" si="15"/>
        <v/>
      </c>
      <c r="S94" s="419" t="str">
        <f t="shared" si="16"/>
        <v>:NAME</v>
      </c>
      <c r="T94" s="286"/>
      <c r="U94" s="287"/>
      <c r="V94" s="287"/>
      <c r="W94" s="287"/>
      <c r="X94" s="287"/>
      <c r="Y94" s="298"/>
      <c r="Z94" s="288"/>
      <c r="AA94" s="289">
        <f t="shared" si="19"/>
        <v>0</v>
      </c>
      <c r="AB94" s="290"/>
      <c r="AC94" s="291"/>
      <c r="AD94" s="292"/>
      <c r="AE94" s="293"/>
      <c r="AG94" s="295"/>
    </row>
    <row r="95" spans="1:33" s="294" customFormat="1" x14ac:dyDescent="0.25">
      <c r="A95" s="487"/>
      <c r="B95" s="490"/>
      <c r="C95" s="493"/>
      <c r="D95" s="390">
        <v>13</v>
      </c>
      <c r="E95" s="399">
        <v>93</v>
      </c>
      <c r="F95" s="474"/>
      <c r="G95" s="282"/>
      <c r="H95" s="283"/>
      <c r="I95" s="283"/>
      <c r="J95" s="282"/>
      <c r="K95" s="284"/>
      <c r="L95" s="484" t="str">
        <f t="shared" si="23"/>
        <v/>
      </c>
      <c r="M95" s="285"/>
      <c r="N95" s="402" t="str">
        <f t="shared" si="21"/>
        <v/>
      </c>
      <c r="O95" s="286" t="str">
        <f t="shared" si="22"/>
        <v>F.</v>
      </c>
      <c r="P95" s="406" t="str">
        <f t="shared" si="24"/>
        <v>F.</v>
      </c>
      <c r="Q95" s="286"/>
      <c r="R95" s="413" t="str">
        <f t="shared" si="15"/>
        <v/>
      </c>
      <c r="S95" s="419" t="str">
        <f t="shared" si="16"/>
        <v>:NAME</v>
      </c>
      <c r="T95" s="286"/>
      <c r="U95" s="287"/>
      <c r="V95" s="287"/>
      <c r="W95" s="287"/>
      <c r="X95" s="287"/>
      <c r="Y95" s="298"/>
      <c r="Z95" s="288"/>
      <c r="AA95" s="289">
        <f t="shared" si="19"/>
        <v>0</v>
      </c>
      <c r="AB95" s="290"/>
      <c r="AC95" s="291"/>
      <c r="AD95" s="292"/>
      <c r="AE95" s="293"/>
      <c r="AG95" s="295"/>
    </row>
    <row r="96" spans="1:33" s="294" customFormat="1" x14ac:dyDescent="0.25">
      <c r="A96" s="487"/>
      <c r="B96" s="490"/>
      <c r="C96" s="493"/>
      <c r="D96" s="390">
        <v>14</v>
      </c>
      <c r="E96" s="399">
        <v>94</v>
      </c>
      <c r="F96" s="474"/>
      <c r="G96" s="282"/>
      <c r="H96" s="283"/>
      <c r="I96" s="283"/>
      <c r="J96" s="282"/>
      <c r="K96" s="284"/>
      <c r="L96" s="484" t="str">
        <f t="shared" si="23"/>
        <v/>
      </c>
      <c r="M96" s="285"/>
      <c r="N96" s="402" t="str">
        <f t="shared" si="21"/>
        <v/>
      </c>
      <c r="O96" s="286" t="str">
        <f t="shared" si="22"/>
        <v>F.</v>
      </c>
      <c r="P96" s="406" t="str">
        <f t="shared" si="24"/>
        <v>F.</v>
      </c>
      <c r="Q96" s="286"/>
      <c r="R96" s="413" t="str">
        <f t="shared" si="15"/>
        <v/>
      </c>
      <c r="S96" s="419" t="str">
        <f t="shared" si="16"/>
        <v>:NAME</v>
      </c>
      <c r="T96" s="286"/>
      <c r="U96" s="287"/>
      <c r="V96" s="287"/>
      <c r="W96" s="287"/>
      <c r="X96" s="287"/>
      <c r="Y96" s="298"/>
      <c r="Z96" s="288"/>
      <c r="AA96" s="289">
        <f t="shared" si="19"/>
        <v>0</v>
      </c>
      <c r="AB96" s="290"/>
      <c r="AC96" s="291"/>
      <c r="AD96" s="292"/>
      <c r="AE96" s="293"/>
      <c r="AG96" s="295"/>
    </row>
    <row r="97" spans="1:33" s="294" customFormat="1" ht="15.75" thickBot="1" x14ac:dyDescent="0.3">
      <c r="A97" s="488"/>
      <c r="B97" s="491"/>
      <c r="C97" s="494"/>
      <c r="D97" s="390">
        <v>15</v>
      </c>
      <c r="E97" s="399">
        <v>95</v>
      </c>
      <c r="F97" s="474"/>
      <c r="G97" s="282"/>
      <c r="H97" s="282"/>
      <c r="I97" s="304"/>
      <c r="J97" s="282"/>
      <c r="K97" s="284"/>
      <c r="L97" s="484" t="str">
        <f t="shared" si="23"/>
        <v/>
      </c>
      <c r="M97" s="285"/>
      <c r="N97" s="402" t="str">
        <f t="shared" si="21"/>
        <v/>
      </c>
      <c r="O97" s="286" t="str">
        <f t="shared" si="22"/>
        <v>F.</v>
      </c>
      <c r="P97" s="406" t="str">
        <f t="shared" si="24"/>
        <v>F.</v>
      </c>
      <c r="Q97" s="286"/>
      <c r="R97" s="413" t="str">
        <f t="shared" si="15"/>
        <v/>
      </c>
      <c r="S97" s="419" t="str">
        <f t="shared" si="16"/>
        <v>:NAME</v>
      </c>
      <c r="T97" s="286"/>
      <c r="U97" s="287"/>
      <c r="V97" s="287"/>
      <c r="W97" s="287"/>
      <c r="X97" s="287"/>
      <c r="Y97" s="298"/>
      <c r="Z97" s="288"/>
      <c r="AA97" s="289">
        <f t="shared" si="19"/>
        <v>0</v>
      </c>
      <c r="AB97" s="290"/>
      <c r="AC97" s="291"/>
      <c r="AD97" s="292"/>
      <c r="AE97" s="293"/>
      <c r="AG97" s="295"/>
    </row>
    <row r="98" spans="1:33" s="279" customFormat="1" ht="14.45" customHeight="1" x14ac:dyDescent="0.25">
      <c r="A98" s="486" t="s">
        <v>0</v>
      </c>
      <c r="B98" s="489" t="str">
        <f>LOOKUP(A98,Module,IO)</f>
        <v>DigitalOutput</v>
      </c>
      <c r="C98" s="492" t="s">
        <v>14</v>
      </c>
      <c r="D98" s="389" t="s">
        <v>160</v>
      </c>
      <c r="E98" s="398">
        <v>96</v>
      </c>
      <c r="F98" s="476" t="s">
        <v>1028</v>
      </c>
      <c r="G98" s="267" t="s">
        <v>1313</v>
      </c>
      <c r="H98" s="268" t="s">
        <v>1314</v>
      </c>
      <c r="I98" s="267" t="s">
        <v>1316</v>
      </c>
      <c r="J98" s="267" t="s">
        <v>1282</v>
      </c>
      <c r="K98" s="269" t="s">
        <v>1283</v>
      </c>
      <c r="L98" s="483" t="str">
        <f t="shared" si="23"/>
        <v>PSDUS0202:ELT:F007:HAS:ASG:SM001</v>
      </c>
      <c r="M98" s="270"/>
      <c r="N98" s="401" t="str">
        <f t="shared" ref="N98:N113" si="25">IF(F98&lt;&gt;"",IF($H$1&lt;&gt;"","IO"&amp;".","IO.")&amp;$C$98&amp;"."&amp;$B$98&amp;D98,"")</f>
        <v>IO.Slot6.DigitalOutput0</v>
      </c>
      <c r="O98" s="271" t="str">
        <f t="shared" ref="O98:O113" si="26">LOOKUP($A$98,Module,Type)</f>
        <v>F.</v>
      </c>
      <c r="P98" s="405" t="str">
        <f>O98&amp;N98</f>
        <v>F.IO.Slot6.DigitalOutput0</v>
      </c>
      <c r="Q98" s="271"/>
      <c r="R98" s="412" t="str">
        <f t="shared" si="15"/>
        <v>ELT.F007.HAS.ASG.SM001</v>
      </c>
      <c r="S98" s="418" t="str">
        <f t="shared" si="16"/>
        <v>PSDUS0202:ELT:F007:HAS:ASG:SM001:NAME</v>
      </c>
      <c r="T98" s="271"/>
      <c r="U98" s="272"/>
      <c r="V98" s="272"/>
      <c r="W98" s="272"/>
      <c r="X98" s="272"/>
      <c r="Y98" s="297"/>
      <c r="Z98" s="273"/>
      <c r="AA98" s="274">
        <f t="shared" si="19"/>
        <v>32</v>
      </c>
      <c r="AB98" s="275"/>
      <c r="AC98" s="276"/>
      <c r="AD98" s="277"/>
      <c r="AE98" s="278"/>
      <c r="AG98" s="280"/>
    </row>
    <row r="99" spans="1:33" s="294" customFormat="1" x14ac:dyDescent="0.25">
      <c r="A99" s="487"/>
      <c r="B99" s="490"/>
      <c r="C99" s="493"/>
      <c r="D99" s="390">
        <v>1</v>
      </c>
      <c r="E99" s="399">
        <v>97</v>
      </c>
      <c r="F99" s="474" t="s">
        <v>1029</v>
      </c>
      <c r="G99" s="282" t="s">
        <v>1313</v>
      </c>
      <c r="H99" s="282" t="s">
        <v>598</v>
      </c>
      <c r="I99" s="282" t="s">
        <v>1318</v>
      </c>
      <c r="J99" s="282" t="s">
        <v>1282</v>
      </c>
      <c r="K99" s="305" t="s">
        <v>1283</v>
      </c>
      <c r="L99" s="484" t="str">
        <f t="shared" si="23"/>
        <v>PSDUS0202:ELT:F005:PHC:ASG:SM001</v>
      </c>
      <c r="M99" s="285"/>
      <c r="N99" s="402" t="str">
        <f t="shared" si="25"/>
        <v>IO.Slot6.DigitalOutput1</v>
      </c>
      <c r="O99" s="286" t="str">
        <f t="shared" si="26"/>
        <v>F.</v>
      </c>
      <c r="P99" s="406" t="str">
        <f t="shared" ref="P99:P113" si="27">O99&amp;N99</f>
        <v>F.IO.Slot6.DigitalOutput1</v>
      </c>
      <c r="Q99" s="286"/>
      <c r="R99" s="413" t="str">
        <f t="shared" si="15"/>
        <v>ELT.F005.PHC.ASG.SM001</v>
      </c>
      <c r="S99" s="419" t="str">
        <f t="shared" si="16"/>
        <v>PSDUS0202:ELT:F005:PHC:ASG:SM001:NAME</v>
      </c>
      <c r="T99" s="286"/>
      <c r="U99" s="287"/>
      <c r="V99" s="287"/>
      <c r="W99" s="287"/>
      <c r="X99" s="287"/>
      <c r="Y99" s="298"/>
      <c r="Z99" s="288"/>
      <c r="AA99" s="289">
        <f t="shared" si="19"/>
        <v>32</v>
      </c>
      <c r="AB99" s="290"/>
      <c r="AC99" s="291"/>
      <c r="AD99" s="292"/>
      <c r="AE99" s="293"/>
      <c r="AG99" s="295"/>
    </row>
    <row r="100" spans="1:33" s="294" customFormat="1" x14ac:dyDescent="0.25">
      <c r="A100" s="487"/>
      <c r="B100" s="490"/>
      <c r="C100" s="493"/>
      <c r="D100" s="390">
        <v>2</v>
      </c>
      <c r="E100" s="399">
        <v>98</v>
      </c>
      <c r="F100" s="474" t="s">
        <v>1030</v>
      </c>
      <c r="G100" s="282" t="s">
        <v>1313</v>
      </c>
      <c r="H100" s="282" t="s">
        <v>498</v>
      </c>
      <c r="I100" s="282" t="s">
        <v>1319</v>
      </c>
      <c r="J100" s="282" t="s">
        <v>1282</v>
      </c>
      <c r="K100" s="305" t="s">
        <v>1283</v>
      </c>
      <c r="L100" s="484" t="str">
        <f t="shared" si="23"/>
        <v>PSDUS0202:ELT:F002:SIC:ASG:SM001</v>
      </c>
      <c r="M100" s="285"/>
      <c r="N100" s="402" t="str">
        <f t="shared" si="25"/>
        <v>IO.Slot6.DigitalOutput2</v>
      </c>
      <c r="O100" s="286" t="str">
        <f t="shared" si="26"/>
        <v>F.</v>
      </c>
      <c r="P100" s="406" t="str">
        <f t="shared" si="27"/>
        <v>F.IO.Slot6.DigitalOutput2</v>
      </c>
      <c r="Q100" s="286"/>
      <c r="R100" s="413" t="str">
        <f t="shared" si="15"/>
        <v>ELT.F002.SIC.ASG.SM001</v>
      </c>
      <c r="S100" s="419" t="str">
        <f t="shared" si="16"/>
        <v>PSDUS0202:ELT:F002:SIC:ASG:SM001:NAME</v>
      </c>
      <c r="T100" s="286"/>
      <c r="U100" s="287"/>
      <c r="V100" s="287"/>
      <c r="W100" s="287"/>
      <c r="X100" s="287"/>
      <c r="Y100" s="298"/>
      <c r="Z100" s="288"/>
      <c r="AA100" s="289">
        <f t="shared" si="19"/>
        <v>32</v>
      </c>
      <c r="AB100" s="290"/>
      <c r="AC100" s="291"/>
      <c r="AD100" s="292"/>
      <c r="AE100" s="293"/>
      <c r="AG100" s="295"/>
    </row>
    <row r="101" spans="1:33" s="294" customFormat="1" x14ac:dyDescent="0.25">
      <c r="A101" s="487"/>
      <c r="B101" s="490"/>
      <c r="C101" s="493"/>
      <c r="D101" s="390">
        <v>3</v>
      </c>
      <c r="E101" s="399">
        <v>99</v>
      </c>
      <c r="F101" s="474" t="s">
        <v>1031</v>
      </c>
      <c r="G101" s="282" t="s">
        <v>1313</v>
      </c>
      <c r="H101" s="282" t="s">
        <v>497</v>
      </c>
      <c r="I101" s="282" t="s">
        <v>1320</v>
      </c>
      <c r="J101" s="282" t="s">
        <v>1282</v>
      </c>
      <c r="K101" s="284" t="s">
        <v>1283</v>
      </c>
      <c r="L101" s="484" t="str">
        <f t="shared" si="23"/>
        <v>PSDUS0202:ELT:F001:NAS:ASG:SM001</v>
      </c>
      <c r="M101" s="285"/>
      <c r="N101" s="402" t="str">
        <f t="shared" si="25"/>
        <v>IO.Slot6.DigitalOutput3</v>
      </c>
      <c r="O101" s="286" t="str">
        <f t="shared" si="26"/>
        <v>F.</v>
      </c>
      <c r="P101" s="406" t="str">
        <f t="shared" si="27"/>
        <v>F.IO.Slot6.DigitalOutput3</v>
      </c>
      <c r="Q101" s="286"/>
      <c r="R101" s="413" t="str">
        <f t="shared" si="15"/>
        <v>ELT.F001.NAS.ASG.SM001</v>
      </c>
      <c r="S101" s="419" t="str">
        <f t="shared" si="16"/>
        <v>PSDUS0202:ELT:F001:NAS:ASG:SM001:NAME</v>
      </c>
      <c r="T101" s="286"/>
      <c r="U101" s="287"/>
      <c r="V101" s="287"/>
      <c r="W101" s="287"/>
      <c r="X101" s="287"/>
      <c r="Y101" s="298"/>
      <c r="Z101" s="288"/>
      <c r="AA101" s="289">
        <f t="shared" si="19"/>
        <v>32</v>
      </c>
      <c r="AB101" s="290"/>
      <c r="AC101" s="291"/>
      <c r="AD101" s="292"/>
      <c r="AE101" s="293"/>
      <c r="AG101" s="295"/>
    </row>
    <row r="102" spans="1:33" s="294" customFormat="1" x14ac:dyDescent="0.25">
      <c r="A102" s="487"/>
      <c r="B102" s="490"/>
      <c r="C102" s="493"/>
      <c r="D102" s="390">
        <v>4</v>
      </c>
      <c r="E102" s="399">
        <v>100</v>
      </c>
      <c r="F102" s="474" t="s">
        <v>1032</v>
      </c>
      <c r="G102" s="282" t="s">
        <v>1313</v>
      </c>
      <c r="H102" s="283" t="s">
        <v>563</v>
      </c>
      <c r="I102" s="282" t="s">
        <v>1321</v>
      </c>
      <c r="J102" s="282" t="s">
        <v>1282</v>
      </c>
      <c r="K102" s="284" t="s">
        <v>1283</v>
      </c>
      <c r="L102" s="484" t="str">
        <f t="shared" si="23"/>
        <v>PSDUS0202:ELT:F004:FEU:ASG:SM001</v>
      </c>
      <c r="M102" s="285"/>
      <c r="N102" s="402" t="str">
        <f t="shared" si="25"/>
        <v>IO.Slot6.DigitalOutput4</v>
      </c>
      <c r="O102" s="286" t="str">
        <f t="shared" si="26"/>
        <v>F.</v>
      </c>
      <c r="P102" s="406" t="str">
        <f t="shared" si="27"/>
        <v>F.IO.Slot6.DigitalOutput4</v>
      </c>
      <c r="Q102" s="286"/>
      <c r="R102" s="413" t="str">
        <f t="shared" si="15"/>
        <v>ELT.F004.FEU.ASG.SM001</v>
      </c>
      <c r="S102" s="419" t="str">
        <f t="shared" si="16"/>
        <v>PSDUS0202:ELT:F004:FEU:ASG:SM001:NAME</v>
      </c>
      <c r="T102" s="286"/>
      <c r="U102" s="287"/>
      <c r="V102" s="287"/>
      <c r="W102" s="287"/>
      <c r="X102" s="287"/>
      <c r="Y102" s="298"/>
      <c r="Z102" s="288"/>
      <c r="AA102" s="289">
        <f t="shared" si="19"/>
        <v>32</v>
      </c>
      <c r="AB102" s="290"/>
      <c r="AC102" s="291"/>
      <c r="AD102" s="292"/>
      <c r="AE102" s="293"/>
      <c r="AG102" s="295"/>
    </row>
    <row r="103" spans="1:33" s="294" customFormat="1" x14ac:dyDescent="0.25">
      <c r="A103" s="487"/>
      <c r="B103" s="490"/>
      <c r="C103" s="493"/>
      <c r="D103" s="390">
        <v>5</v>
      </c>
      <c r="E103" s="399">
        <v>101</v>
      </c>
      <c r="F103" s="474" t="s">
        <v>1033</v>
      </c>
      <c r="G103" s="282" t="s">
        <v>1313</v>
      </c>
      <c r="H103" s="282" t="s">
        <v>599</v>
      </c>
      <c r="I103" s="282" t="s">
        <v>1322</v>
      </c>
      <c r="J103" s="282" t="s">
        <v>1282</v>
      </c>
      <c r="K103" s="284" t="s">
        <v>1283</v>
      </c>
      <c r="L103" s="484" t="str">
        <f t="shared" si="23"/>
        <v>PSDUS0202:ELT:F006:XSP:ASG:SM001</v>
      </c>
      <c r="M103" s="285"/>
      <c r="N103" s="402" t="str">
        <f t="shared" si="25"/>
        <v>IO.Slot6.DigitalOutput5</v>
      </c>
      <c r="O103" s="286" t="str">
        <f t="shared" si="26"/>
        <v>F.</v>
      </c>
      <c r="P103" s="406" t="str">
        <f t="shared" si="27"/>
        <v>F.IO.Slot6.DigitalOutput5</v>
      </c>
      <c r="Q103" s="286"/>
      <c r="R103" s="413" t="str">
        <f t="shared" si="15"/>
        <v>ELT.F006.XSP.ASG.SM001</v>
      </c>
      <c r="S103" s="419" t="str">
        <f t="shared" si="16"/>
        <v>PSDUS0202:ELT:F006:XSP:ASG:SM001:NAME</v>
      </c>
      <c r="T103" s="286"/>
      <c r="U103" s="287"/>
      <c r="V103" s="287"/>
      <c r="W103" s="287"/>
      <c r="X103" s="287"/>
      <c r="Y103" s="298"/>
      <c r="Z103" s="288"/>
      <c r="AA103" s="289">
        <f t="shared" si="19"/>
        <v>32</v>
      </c>
      <c r="AB103" s="290"/>
      <c r="AC103" s="291"/>
      <c r="AD103" s="292"/>
      <c r="AE103" s="293"/>
      <c r="AG103" s="295"/>
    </row>
    <row r="104" spans="1:33" s="294" customFormat="1" x14ac:dyDescent="0.25">
      <c r="A104" s="487"/>
      <c r="B104" s="490"/>
      <c r="C104" s="493"/>
      <c r="D104" s="390">
        <v>6</v>
      </c>
      <c r="E104" s="399">
        <v>102</v>
      </c>
      <c r="F104" s="474" t="s">
        <v>1034</v>
      </c>
      <c r="G104" s="282" t="s">
        <v>1313</v>
      </c>
      <c r="H104" s="282" t="s">
        <v>1315</v>
      </c>
      <c r="I104" s="283" t="s">
        <v>1317</v>
      </c>
      <c r="J104" s="282" t="s">
        <v>1299</v>
      </c>
      <c r="K104" s="284" t="s">
        <v>1297</v>
      </c>
      <c r="L104" s="484" t="str">
        <f t="shared" si="23"/>
        <v>PSDUS0202:ELT:F008:TAS:EIN:BM001</v>
      </c>
      <c r="M104" s="285"/>
      <c r="N104" s="402" t="str">
        <f t="shared" si="25"/>
        <v>IO.Slot6.DigitalOutput6</v>
      </c>
      <c r="O104" s="286" t="str">
        <f t="shared" si="26"/>
        <v>F.</v>
      </c>
      <c r="P104" s="406" t="str">
        <f t="shared" si="27"/>
        <v>F.IO.Slot6.DigitalOutput6</v>
      </c>
      <c r="Q104" s="286"/>
      <c r="R104" s="413" t="str">
        <f t="shared" si="15"/>
        <v>ELT.F008.TAS.EIN.BM001</v>
      </c>
      <c r="S104" s="419" t="str">
        <f t="shared" si="16"/>
        <v>PSDUS0202:ELT:F008:TAS:EIN:BM001:NAME</v>
      </c>
      <c r="T104" s="286"/>
      <c r="U104" s="287"/>
      <c r="V104" s="287"/>
      <c r="W104" s="287"/>
      <c r="X104" s="287"/>
      <c r="Y104" s="298"/>
      <c r="Z104" s="288"/>
      <c r="AA104" s="289">
        <f t="shared" si="19"/>
        <v>32</v>
      </c>
      <c r="AB104" s="290"/>
      <c r="AC104" s="291"/>
      <c r="AD104" s="292"/>
      <c r="AE104" s="293"/>
      <c r="AG104" s="295"/>
    </row>
    <row r="105" spans="1:33" s="294" customFormat="1" x14ac:dyDescent="0.25">
      <c r="A105" s="487"/>
      <c r="B105" s="490"/>
      <c r="C105" s="493"/>
      <c r="D105" s="390">
        <v>7</v>
      </c>
      <c r="E105" s="399">
        <v>103</v>
      </c>
      <c r="F105" s="474" t="s">
        <v>1025</v>
      </c>
      <c r="G105" s="282"/>
      <c r="H105" s="282"/>
      <c r="I105" s="282"/>
      <c r="J105" s="282"/>
      <c r="K105" s="284"/>
      <c r="L105" s="484" t="str">
        <f t="shared" si="23"/>
        <v/>
      </c>
      <c r="M105" s="285"/>
      <c r="N105" s="402" t="str">
        <f t="shared" si="25"/>
        <v>IO.Slot6.DigitalOutput7</v>
      </c>
      <c r="O105" s="286" t="str">
        <f t="shared" si="26"/>
        <v>F.</v>
      </c>
      <c r="P105" s="406" t="str">
        <f t="shared" si="27"/>
        <v>F.IO.Slot6.DigitalOutput7</v>
      </c>
      <c r="Q105" s="286"/>
      <c r="R105" s="413" t="str">
        <f t="shared" si="15"/>
        <v/>
      </c>
      <c r="S105" s="419" t="str">
        <f t="shared" si="16"/>
        <v>:NAME</v>
      </c>
      <c r="T105" s="286"/>
      <c r="U105" s="287"/>
      <c r="V105" s="287"/>
      <c r="W105" s="287"/>
      <c r="X105" s="287"/>
      <c r="Y105" s="298"/>
      <c r="Z105" s="288"/>
      <c r="AA105" s="289">
        <f t="shared" si="19"/>
        <v>0</v>
      </c>
      <c r="AB105" s="290"/>
      <c r="AC105" s="291"/>
      <c r="AD105" s="292"/>
      <c r="AE105" s="293"/>
      <c r="AG105" s="295"/>
    </row>
    <row r="106" spans="1:33" s="294" customFormat="1" x14ac:dyDescent="0.25">
      <c r="A106" s="487"/>
      <c r="B106" s="490"/>
      <c r="C106" s="493"/>
      <c r="D106" s="390">
        <v>8</v>
      </c>
      <c r="E106" s="399">
        <v>104</v>
      </c>
      <c r="F106" s="474" t="s">
        <v>1035</v>
      </c>
      <c r="G106" s="282" t="s">
        <v>1266</v>
      </c>
      <c r="H106" s="304" t="s">
        <v>1330</v>
      </c>
      <c r="I106" s="282" t="s">
        <v>1329</v>
      </c>
      <c r="J106" s="283" t="s">
        <v>1296</v>
      </c>
      <c r="K106" s="284" t="s">
        <v>1297</v>
      </c>
      <c r="L106" s="484" t="str">
        <f t="shared" si="23"/>
        <v>PSDUS0202:NSB:S201:FIL:AUT:BM001</v>
      </c>
      <c r="M106" s="285"/>
      <c r="N106" s="402" t="str">
        <f t="shared" si="25"/>
        <v>IO.Slot6.DigitalOutput8</v>
      </c>
      <c r="O106" s="286" t="str">
        <f t="shared" si="26"/>
        <v>F.</v>
      </c>
      <c r="P106" s="406" t="str">
        <f t="shared" si="27"/>
        <v>F.IO.Slot6.DigitalOutput8</v>
      </c>
      <c r="Q106" s="286"/>
      <c r="R106" s="413" t="str">
        <f t="shared" si="15"/>
        <v>NSB.S201.FIL.AUT.BM001</v>
      </c>
      <c r="S106" s="419" t="str">
        <f t="shared" si="16"/>
        <v>PSDUS0202:NSB:S201:FIL:AUT:BM001:NAME</v>
      </c>
      <c r="T106" s="286"/>
      <c r="U106" s="287"/>
      <c r="V106" s="287"/>
      <c r="W106" s="287"/>
      <c r="X106" s="287"/>
      <c r="Y106" s="287"/>
      <c r="Z106" s="288"/>
      <c r="AA106" s="289">
        <f t="shared" si="19"/>
        <v>32</v>
      </c>
      <c r="AB106" s="290"/>
      <c r="AC106" s="291"/>
      <c r="AD106" s="292"/>
      <c r="AE106" s="293"/>
      <c r="AG106" s="295"/>
    </row>
    <row r="107" spans="1:33" s="294" customFormat="1" x14ac:dyDescent="0.25">
      <c r="A107" s="487"/>
      <c r="B107" s="490"/>
      <c r="C107" s="493"/>
      <c r="D107" s="390">
        <v>9</v>
      </c>
      <c r="E107" s="399">
        <v>105</v>
      </c>
      <c r="F107" s="474" t="s">
        <v>1036</v>
      </c>
      <c r="G107" s="282" t="s">
        <v>1266</v>
      </c>
      <c r="H107" s="304" t="s">
        <v>1330</v>
      </c>
      <c r="I107" s="282" t="s">
        <v>1329</v>
      </c>
      <c r="J107" s="283" t="s">
        <v>1327</v>
      </c>
      <c r="K107" s="284" t="s">
        <v>1297</v>
      </c>
      <c r="L107" s="484" t="str">
        <f t="shared" si="23"/>
        <v>PSDUS0202:NSB:S201:FIL:TAG:BM001</v>
      </c>
      <c r="M107" s="285"/>
      <c r="N107" s="402" t="str">
        <f t="shared" si="25"/>
        <v>IO.Slot6.DigitalOutput9</v>
      </c>
      <c r="O107" s="286" t="str">
        <f t="shared" si="26"/>
        <v>F.</v>
      </c>
      <c r="P107" s="406" t="str">
        <f t="shared" si="27"/>
        <v>F.IO.Slot6.DigitalOutput9</v>
      </c>
      <c r="Q107" s="286"/>
      <c r="R107" s="413" t="str">
        <f t="shared" si="15"/>
        <v>NSB.S201.FIL.TAG.BM001</v>
      </c>
      <c r="S107" s="419" t="str">
        <f t="shared" si="16"/>
        <v>PSDUS0202:NSB:S201:FIL:TAG:BM001:NAME</v>
      </c>
      <c r="T107" s="286"/>
      <c r="U107" s="287"/>
      <c r="V107" s="287"/>
      <c r="W107" s="287"/>
      <c r="X107" s="287"/>
      <c r="Y107" s="287"/>
      <c r="Z107" s="288"/>
      <c r="AA107" s="289">
        <f t="shared" si="19"/>
        <v>32</v>
      </c>
      <c r="AB107" s="290"/>
      <c r="AC107" s="291"/>
      <c r="AD107" s="292"/>
      <c r="AE107" s="293"/>
      <c r="AG107" s="295"/>
    </row>
    <row r="108" spans="1:33" s="294" customFormat="1" x14ac:dyDescent="0.25">
      <c r="A108" s="487"/>
      <c r="B108" s="490"/>
      <c r="C108" s="493"/>
      <c r="D108" s="390">
        <v>10</v>
      </c>
      <c r="E108" s="399">
        <v>106</v>
      </c>
      <c r="F108" s="474" t="s">
        <v>1037</v>
      </c>
      <c r="G108" s="282" t="s">
        <v>1266</v>
      </c>
      <c r="H108" s="304" t="s">
        <v>1330</v>
      </c>
      <c r="I108" s="282" t="s">
        <v>1329</v>
      </c>
      <c r="J108" s="283" t="s">
        <v>1328</v>
      </c>
      <c r="K108" s="284" t="s">
        <v>1297</v>
      </c>
      <c r="L108" s="484" t="str">
        <f t="shared" si="23"/>
        <v>PSDUS0202:NSB:S201:FIL:NAB:BM001</v>
      </c>
      <c r="M108" s="285"/>
      <c r="N108" s="402" t="str">
        <f t="shared" si="25"/>
        <v>IO.Slot6.DigitalOutput10</v>
      </c>
      <c r="O108" s="286" t="str">
        <f t="shared" si="26"/>
        <v>F.</v>
      </c>
      <c r="P108" s="406" t="str">
        <f t="shared" si="27"/>
        <v>F.IO.Slot6.DigitalOutput10</v>
      </c>
      <c r="Q108" s="286"/>
      <c r="R108" s="413" t="str">
        <f t="shared" si="15"/>
        <v>NSB.S201.FIL.NAB.BM001</v>
      </c>
      <c r="S108" s="419" t="str">
        <f t="shared" si="16"/>
        <v>PSDUS0202:NSB:S201:FIL:NAB:BM001:NAME</v>
      </c>
      <c r="T108" s="286"/>
      <c r="U108" s="287"/>
      <c r="V108" s="287"/>
      <c r="W108" s="287"/>
      <c r="X108" s="287"/>
      <c r="Y108" s="287"/>
      <c r="Z108" s="288"/>
      <c r="AA108" s="289">
        <f t="shared" si="19"/>
        <v>32</v>
      </c>
      <c r="AB108" s="290"/>
      <c r="AC108" s="291"/>
      <c r="AD108" s="292"/>
      <c r="AE108" s="293"/>
      <c r="AG108" s="295"/>
    </row>
    <row r="109" spans="1:33" s="294" customFormat="1" x14ac:dyDescent="0.25">
      <c r="A109" s="487"/>
      <c r="B109" s="490"/>
      <c r="C109" s="493"/>
      <c r="D109" s="423">
        <v>11</v>
      </c>
      <c r="E109" s="428">
        <v>107</v>
      </c>
      <c r="F109" s="474" t="s">
        <v>1038</v>
      </c>
      <c r="G109" s="282" t="s">
        <v>1266</v>
      </c>
      <c r="H109" s="282" t="s">
        <v>1355</v>
      </c>
      <c r="I109" s="282" t="s">
        <v>1329</v>
      </c>
      <c r="J109" s="283" t="s">
        <v>1298</v>
      </c>
      <c r="K109" s="284" t="s">
        <v>1297</v>
      </c>
      <c r="L109" s="484" t="str">
        <f t="shared" si="23"/>
        <v>PSDUS0202:NSB:S202:FIL:HND:BM001</v>
      </c>
      <c r="M109" s="285"/>
      <c r="N109" s="402" t="str">
        <f t="shared" si="25"/>
        <v>IO.Slot6.DigitalOutput11</v>
      </c>
      <c r="O109" s="286" t="str">
        <f t="shared" si="26"/>
        <v>F.</v>
      </c>
      <c r="P109" s="406" t="str">
        <f t="shared" si="27"/>
        <v>F.IO.Slot6.DigitalOutput11</v>
      </c>
      <c r="Q109" s="286"/>
      <c r="R109" s="413" t="str">
        <f t="shared" si="15"/>
        <v>NSB.S202.FIL.HND.BM001</v>
      </c>
      <c r="S109" s="419" t="str">
        <f t="shared" si="16"/>
        <v>PSDUS0202:NSB:S202:FIL:HND:BM001:NAME</v>
      </c>
      <c r="T109" s="286"/>
      <c r="U109" s="287"/>
      <c r="V109" s="287"/>
      <c r="W109" s="287"/>
      <c r="X109" s="287"/>
      <c r="Y109" s="287"/>
      <c r="Z109" s="288"/>
      <c r="AA109" s="289">
        <f t="shared" si="19"/>
        <v>32</v>
      </c>
      <c r="AB109" s="290"/>
      <c r="AC109" s="291"/>
      <c r="AD109" s="292"/>
      <c r="AE109" s="293"/>
      <c r="AG109" s="295" t="s">
        <v>1360</v>
      </c>
    </row>
    <row r="110" spans="1:33" s="294" customFormat="1" x14ac:dyDescent="0.25">
      <c r="A110" s="487"/>
      <c r="B110" s="490"/>
      <c r="C110" s="493"/>
      <c r="D110" s="390">
        <v>12</v>
      </c>
      <c r="E110" s="399">
        <v>108</v>
      </c>
      <c r="F110" s="474" t="s">
        <v>1039</v>
      </c>
      <c r="G110" s="282" t="s">
        <v>1266</v>
      </c>
      <c r="H110" s="282" t="s">
        <v>1355</v>
      </c>
      <c r="I110" s="282" t="s">
        <v>1329</v>
      </c>
      <c r="J110" s="283" t="s">
        <v>1296</v>
      </c>
      <c r="K110" s="284" t="s">
        <v>1297</v>
      </c>
      <c r="L110" s="484" t="str">
        <f t="shared" si="23"/>
        <v>PSDUS0202:NSB:S202:FIL:AUT:BM001</v>
      </c>
      <c r="M110" s="285"/>
      <c r="N110" s="402" t="str">
        <f t="shared" si="25"/>
        <v>IO.Slot6.DigitalOutput12</v>
      </c>
      <c r="O110" s="286" t="str">
        <f t="shared" si="26"/>
        <v>F.</v>
      </c>
      <c r="P110" s="406" t="str">
        <f t="shared" si="27"/>
        <v>F.IO.Slot6.DigitalOutput12</v>
      </c>
      <c r="Q110" s="286"/>
      <c r="R110" s="413" t="str">
        <f t="shared" si="15"/>
        <v>NSB.S202.FIL.AUT.BM001</v>
      </c>
      <c r="S110" s="419" t="str">
        <f t="shared" si="16"/>
        <v>PSDUS0202:NSB:S202:FIL:AUT:BM001:NAME</v>
      </c>
      <c r="T110" s="286"/>
      <c r="U110" s="287"/>
      <c r="V110" s="287"/>
      <c r="W110" s="287"/>
      <c r="X110" s="287"/>
      <c r="Y110" s="287"/>
      <c r="Z110" s="288"/>
      <c r="AA110" s="289">
        <f t="shared" si="19"/>
        <v>32</v>
      </c>
      <c r="AB110" s="290"/>
      <c r="AC110" s="291"/>
      <c r="AD110" s="292"/>
      <c r="AE110" s="293"/>
      <c r="AG110" s="295"/>
    </row>
    <row r="111" spans="1:33" s="294" customFormat="1" x14ac:dyDescent="0.25">
      <c r="A111" s="487"/>
      <c r="B111" s="490"/>
      <c r="C111" s="493"/>
      <c r="D111" s="423">
        <v>13</v>
      </c>
      <c r="E111" s="428">
        <v>109</v>
      </c>
      <c r="F111" s="474" t="s">
        <v>1040</v>
      </c>
      <c r="G111" s="282" t="s">
        <v>1266</v>
      </c>
      <c r="H111" s="282" t="s">
        <v>1356</v>
      </c>
      <c r="I111" s="282" t="s">
        <v>1329</v>
      </c>
      <c r="J111" s="283" t="s">
        <v>1298</v>
      </c>
      <c r="K111" s="284" t="s">
        <v>1297</v>
      </c>
      <c r="L111" s="484" t="str">
        <f t="shared" si="23"/>
        <v>PSDUS0202:NSB:S203:FIL:HND:BM001</v>
      </c>
      <c r="M111" s="285"/>
      <c r="N111" s="402" t="str">
        <f t="shared" si="25"/>
        <v>IO.Slot6.DigitalOutput13</v>
      </c>
      <c r="O111" s="286" t="str">
        <f t="shared" si="26"/>
        <v>F.</v>
      </c>
      <c r="P111" s="406" t="str">
        <f t="shared" si="27"/>
        <v>F.IO.Slot6.DigitalOutput13</v>
      </c>
      <c r="Q111" s="286"/>
      <c r="R111" s="413" t="str">
        <f t="shared" si="15"/>
        <v>NSB.S203.FIL.HND.BM001</v>
      </c>
      <c r="S111" s="419" t="str">
        <f t="shared" si="16"/>
        <v>PSDUS0202:NSB:S203:FIL:HND:BM001:NAME</v>
      </c>
      <c r="T111" s="286"/>
      <c r="U111" s="287"/>
      <c r="V111" s="287"/>
      <c r="W111" s="287"/>
      <c r="X111" s="287"/>
      <c r="Y111" s="298"/>
      <c r="Z111" s="288"/>
      <c r="AA111" s="289">
        <f t="shared" si="19"/>
        <v>32</v>
      </c>
      <c r="AB111" s="290"/>
      <c r="AC111" s="291"/>
      <c r="AD111" s="292"/>
      <c r="AE111" s="293"/>
      <c r="AG111" s="295" t="s">
        <v>1360</v>
      </c>
    </row>
    <row r="112" spans="1:33" s="294" customFormat="1" x14ac:dyDescent="0.25">
      <c r="A112" s="487"/>
      <c r="B112" s="490"/>
      <c r="C112" s="493"/>
      <c r="D112" s="390">
        <v>14</v>
      </c>
      <c r="E112" s="399">
        <v>110</v>
      </c>
      <c r="F112" s="474" t="s">
        <v>1041</v>
      </c>
      <c r="G112" s="282" t="s">
        <v>1266</v>
      </c>
      <c r="H112" s="282" t="s">
        <v>1356</v>
      </c>
      <c r="I112" s="282" t="s">
        <v>1329</v>
      </c>
      <c r="J112" s="283" t="s">
        <v>1296</v>
      </c>
      <c r="K112" s="284" t="s">
        <v>1297</v>
      </c>
      <c r="L112" s="484" t="str">
        <f t="shared" si="23"/>
        <v>PSDUS0202:NSB:S203:FIL:AUT:BM001</v>
      </c>
      <c r="M112" s="285"/>
      <c r="N112" s="402" t="str">
        <f t="shared" si="25"/>
        <v>IO.Slot6.DigitalOutput14</v>
      </c>
      <c r="O112" s="286" t="str">
        <f t="shared" si="26"/>
        <v>F.</v>
      </c>
      <c r="P112" s="406" t="str">
        <f t="shared" si="27"/>
        <v>F.IO.Slot6.DigitalOutput14</v>
      </c>
      <c r="Q112" s="286"/>
      <c r="R112" s="413" t="str">
        <f t="shared" si="15"/>
        <v>NSB.S203.FIL.AUT.BM001</v>
      </c>
      <c r="S112" s="419" t="str">
        <f t="shared" si="16"/>
        <v>PSDUS0202:NSB:S203:FIL:AUT:BM001:NAME</v>
      </c>
      <c r="T112" s="286"/>
      <c r="U112" s="287"/>
      <c r="V112" s="287"/>
      <c r="W112" s="287"/>
      <c r="X112" s="287"/>
      <c r="Y112" s="287"/>
      <c r="Z112" s="288"/>
      <c r="AA112" s="289">
        <f t="shared" si="19"/>
        <v>32</v>
      </c>
      <c r="AB112" s="290"/>
      <c r="AC112" s="291"/>
      <c r="AD112" s="292"/>
      <c r="AE112" s="293"/>
      <c r="AG112" s="295"/>
    </row>
    <row r="113" spans="1:33" s="294" customFormat="1" ht="15.75" thickBot="1" x14ac:dyDescent="0.3">
      <c r="A113" s="488"/>
      <c r="B113" s="491"/>
      <c r="C113" s="494"/>
      <c r="D113" s="423">
        <v>15</v>
      </c>
      <c r="E113" s="428">
        <v>111</v>
      </c>
      <c r="F113" s="474" t="s">
        <v>1042</v>
      </c>
      <c r="G113" s="282" t="s">
        <v>1266</v>
      </c>
      <c r="H113" s="282" t="s">
        <v>1357</v>
      </c>
      <c r="I113" s="282" t="s">
        <v>1302</v>
      </c>
      <c r="J113" s="283" t="s">
        <v>1298</v>
      </c>
      <c r="K113" s="284" t="s">
        <v>1297</v>
      </c>
      <c r="L113" s="484" t="str">
        <f t="shared" si="23"/>
        <v>PSDUS0202:NSB:S211:AKL:HND:BM001</v>
      </c>
      <c r="M113" s="285"/>
      <c r="N113" s="402" t="str">
        <f t="shared" si="25"/>
        <v>IO.Slot6.DigitalOutput15</v>
      </c>
      <c r="O113" s="286" t="str">
        <f t="shared" si="26"/>
        <v>F.</v>
      </c>
      <c r="P113" s="406" t="str">
        <f t="shared" si="27"/>
        <v>F.IO.Slot6.DigitalOutput15</v>
      </c>
      <c r="Q113" s="286"/>
      <c r="R113" s="413" t="str">
        <f t="shared" si="15"/>
        <v>NSB.S211.AKL.HND.BM001</v>
      </c>
      <c r="S113" s="419" t="str">
        <f t="shared" si="16"/>
        <v>PSDUS0202:NSB:S211:AKL:HND:BM001:NAME</v>
      </c>
      <c r="T113" s="286"/>
      <c r="U113" s="287"/>
      <c r="V113" s="287"/>
      <c r="W113" s="287"/>
      <c r="X113" s="287"/>
      <c r="Y113" s="287"/>
      <c r="Z113" s="288"/>
      <c r="AA113" s="289">
        <f t="shared" si="19"/>
        <v>32</v>
      </c>
      <c r="AB113" s="290"/>
      <c r="AC113" s="291"/>
      <c r="AD113" s="292"/>
      <c r="AE113" s="293"/>
      <c r="AG113" s="295" t="s">
        <v>1361</v>
      </c>
    </row>
    <row r="114" spans="1:33" s="279" customFormat="1" ht="14.45" customHeight="1" x14ac:dyDescent="0.25">
      <c r="A114" s="486" t="s">
        <v>1</v>
      </c>
      <c r="B114" s="489" t="str">
        <f>LOOKUP(A114,Module,IO)</f>
        <v>DigitalInput</v>
      </c>
      <c r="C114" s="492" t="s">
        <v>15</v>
      </c>
      <c r="D114" s="389" t="s">
        <v>160</v>
      </c>
      <c r="E114" s="398">
        <v>112</v>
      </c>
      <c r="F114" s="476" t="s">
        <v>1043</v>
      </c>
      <c r="G114" s="267" t="s">
        <v>1266</v>
      </c>
      <c r="H114" s="267" t="s">
        <v>1357</v>
      </c>
      <c r="I114" s="267" t="s">
        <v>1302</v>
      </c>
      <c r="J114" s="268" t="s">
        <v>1296</v>
      </c>
      <c r="K114" s="269" t="s">
        <v>1297</v>
      </c>
      <c r="L114" s="483" t="str">
        <f t="shared" si="23"/>
        <v>PSDUS0202:NSB:S211:AKL:AUT:BM001</v>
      </c>
      <c r="M114" s="270"/>
      <c r="N114" s="401" t="str">
        <f t="shared" ref="N114:N129" si="28">IF(F114&lt;&gt;"",IF($H$1&lt;&gt;"","IO"&amp;".","IO.")&amp;$C$114&amp;"."&amp;$B$114&amp;D114,"")</f>
        <v>IO.Slot7.DigitalInput0</v>
      </c>
      <c r="O114" s="271" t="str">
        <f t="shared" ref="O114:O129" si="29">LOOKUP($A$114,Module,Type)</f>
        <v>F.</v>
      </c>
      <c r="P114" s="405" t="str">
        <f>O114&amp;N114</f>
        <v>F.IO.Slot7.DigitalInput0</v>
      </c>
      <c r="Q114" s="271"/>
      <c r="R114" s="412" t="str">
        <f t="shared" si="15"/>
        <v>NSB.S211.AKL.AUT.BM001</v>
      </c>
      <c r="S114" s="418" t="str">
        <f t="shared" si="16"/>
        <v>PSDUS0202:NSB:S211:AKL:AUT:BM001:NAME</v>
      </c>
      <c r="T114" s="271"/>
      <c r="U114" s="272"/>
      <c r="V114" s="272"/>
      <c r="W114" s="272"/>
      <c r="X114" s="272"/>
      <c r="Y114" s="297"/>
      <c r="Z114" s="273"/>
      <c r="AA114" s="274">
        <f t="shared" si="19"/>
        <v>32</v>
      </c>
      <c r="AB114" s="275"/>
      <c r="AC114" s="276"/>
      <c r="AD114" s="277"/>
      <c r="AE114" s="278"/>
      <c r="AG114" s="280"/>
    </row>
    <row r="115" spans="1:33" s="294" customFormat="1" x14ac:dyDescent="0.25">
      <c r="A115" s="487"/>
      <c r="B115" s="490"/>
      <c r="C115" s="493"/>
      <c r="D115" s="390">
        <v>1</v>
      </c>
      <c r="E115" s="399">
        <v>113</v>
      </c>
      <c r="F115" s="474" t="s">
        <v>1044</v>
      </c>
      <c r="G115" s="282" t="s">
        <v>1266</v>
      </c>
      <c r="H115" s="283" t="s">
        <v>1294</v>
      </c>
      <c r="I115" s="283" t="s">
        <v>1292</v>
      </c>
      <c r="J115" s="283" t="s">
        <v>1296</v>
      </c>
      <c r="K115" s="305" t="s">
        <v>1297</v>
      </c>
      <c r="L115" s="484" t="str">
        <f t="shared" si="23"/>
        <v>PSDUS0202:NSB:M101:PUM:AUT:BM001</v>
      </c>
      <c r="M115" s="285"/>
      <c r="N115" s="402" t="str">
        <f t="shared" si="28"/>
        <v>IO.Slot7.DigitalInput1</v>
      </c>
      <c r="O115" s="286" t="str">
        <f t="shared" si="29"/>
        <v>F.</v>
      </c>
      <c r="P115" s="406" t="str">
        <f t="shared" ref="P115:P129" si="30">O115&amp;N115</f>
        <v>F.IO.Slot7.DigitalInput1</v>
      </c>
      <c r="Q115" s="286"/>
      <c r="R115" s="413" t="str">
        <f t="shared" si="15"/>
        <v>NSB.M101.PUM.AUT.BM001</v>
      </c>
      <c r="S115" s="419" t="str">
        <f t="shared" si="16"/>
        <v>PSDUS0202:NSB:M101:PUM:AUT:BM001:NAME</v>
      </c>
      <c r="T115" s="286"/>
      <c r="U115" s="287"/>
      <c r="V115" s="287"/>
      <c r="W115" s="287"/>
      <c r="X115" s="287"/>
      <c r="Y115" s="298"/>
      <c r="Z115" s="288"/>
      <c r="AA115" s="289">
        <f t="shared" si="19"/>
        <v>32</v>
      </c>
      <c r="AB115" s="290"/>
      <c r="AC115" s="291"/>
      <c r="AD115" s="292"/>
      <c r="AE115" s="293"/>
      <c r="AG115" s="295" t="s">
        <v>1295</v>
      </c>
    </row>
    <row r="116" spans="1:33" s="294" customFormat="1" x14ac:dyDescent="0.25">
      <c r="A116" s="487"/>
      <c r="B116" s="490"/>
      <c r="C116" s="493"/>
      <c r="D116" s="423">
        <v>2</v>
      </c>
      <c r="E116" s="428">
        <v>114</v>
      </c>
      <c r="F116" s="474" t="s">
        <v>1045</v>
      </c>
      <c r="G116" s="282" t="s">
        <v>1266</v>
      </c>
      <c r="H116" s="283" t="s">
        <v>1294</v>
      </c>
      <c r="I116" s="283" t="s">
        <v>1292</v>
      </c>
      <c r="J116" s="300" t="s">
        <v>1493</v>
      </c>
      <c r="K116" s="305"/>
      <c r="L116" s="484" t="str">
        <f t="shared" si="23"/>
        <v>PSDUS0202:NSB:M101:PUM:001</v>
      </c>
      <c r="M116" s="285" t="s">
        <v>152</v>
      </c>
      <c r="N116" s="402" t="str">
        <f t="shared" si="28"/>
        <v>IO.Slot7.DigitalInput2</v>
      </c>
      <c r="O116" s="286" t="str">
        <f t="shared" si="29"/>
        <v>F.</v>
      </c>
      <c r="P116" s="406" t="str">
        <f t="shared" si="30"/>
        <v>F.IO.Slot7.DigitalInput2</v>
      </c>
      <c r="Q116" s="286" t="s">
        <v>162</v>
      </c>
      <c r="R116" s="413" t="str">
        <f t="shared" si="15"/>
        <v>NSB.M101.PUM.001</v>
      </c>
      <c r="S116" s="419" t="str">
        <f t="shared" si="16"/>
        <v>PSDUS0202:NSB:M101:PUM:001:NAME</v>
      </c>
      <c r="T116" s="286"/>
      <c r="U116" s="287"/>
      <c r="V116" s="287"/>
      <c r="W116" s="287"/>
      <c r="X116" s="287"/>
      <c r="Y116" s="298"/>
      <c r="Z116" s="288"/>
      <c r="AA116" s="289">
        <f t="shared" si="19"/>
        <v>26</v>
      </c>
      <c r="AB116" s="290"/>
      <c r="AC116" s="291"/>
      <c r="AD116" s="292"/>
      <c r="AE116" s="293"/>
      <c r="AG116" s="295" t="s">
        <v>1295</v>
      </c>
    </row>
    <row r="117" spans="1:33" s="294" customFormat="1" x14ac:dyDescent="0.25">
      <c r="A117" s="487"/>
      <c r="B117" s="490"/>
      <c r="C117" s="493"/>
      <c r="D117" s="390">
        <v>3</v>
      </c>
      <c r="E117" s="399">
        <v>115</v>
      </c>
      <c r="F117" s="474" t="s">
        <v>1046</v>
      </c>
      <c r="G117" s="282" t="s">
        <v>1266</v>
      </c>
      <c r="H117" s="283" t="s">
        <v>1294</v>
      </c>
      <c r="I117" s="283" t="s">
        <v>1292</v>
      </c>
      <c r="J117" s="300" t="s">
        <v>1493</v>
      </c>
      <c r="K117" s="284"/>
      <c r="L117" s="484" t="str">
        <f t="shared" si="23"/>
        <v>PSDUS0202:NSB:M101:PUM:001</v>
      </c>
      <c r="M117" s="285" t="s">
        <v>152</v>
      </c>
      <c r="N117" s="402" t="str">
        <f t="shared" si="28"/>
        <v>IO.Slot7.DigitalInput3</v>
      </c>
      <c r="O117" s="286" t="str">
        <f t="shared" si="29"/>
        <v>F.</v>
      </c>
      <c r="P117" s="406" t="str">
        <f t="shared" si="30"/>
        <v>F.IO.Slot7.DigitalInput3</v>
      </c>
      <c r="Q117" s="286" t="s">
        <v>148</v>
      </c>
      <c r="R117" s="413" t="str">
        <f t="shared" si="15"/>
        <v>NSB.M101.PUM.001</v>
      </c>
      <c r="S117" s="419" t="str">
        <f t="shared" si="16"/>
        <v>PSDUS0202:NSB:M101:PUM:001:NAME</v>
      </c>
      <c r="T117" s="286"/>
      <c r="U117" s="287"/>
      <c r="V117" s="287"/>
      <c r="W117" s="287"/>
      <c r="X117" s="287"/>
      <c r="Y117" s="298"/>
      <c r="Z117" s="288"/>
      <c r="AA117" s="289">
        <f t="shared" si="19"/>
        <v>26</v>
      </c>
      <c r="AB117" s="290"/>
      <c r="AC117" s="291"/>
      <c r="AD117" s="292"/>
      <c r="AE117" s="293"/>
      <c r="AG117" s="295" t="s">
        <v>1295</v>
      </c>
    </row>
    <row r="118" spans="1:33" s="294" customFormat="1" x14ac:dyDescent="0.25">
      <c r="A118" s="487"/>
      <c r="B118" s="490"/>
      <c r="C118" s="493"/>
      <c r="D118" s="390">
        <v>4</v>
      </c>
      <c r="E118" s="399">
        <v>116</v>
      </c>
      <c r="F118" s="474" t="s">
        <v>1047</v>
      </c>
      <c r="G118" s="282" t="s">
        <v>1266</v>
      </c>
      <c r="H118" s="283" t="s">
        <v>1294</v>
      </c>
      <c r="I118" s="283" t="s">
        <v>1292</v>
      </c>
      <c r="J118" s="300" t="s">
        <v>1493</v>
      </c>
      <c r="K118" s="284"/>
      <c r="L118" s="484" t="str">
        <f t="shared" si="23"/>
        <v>PSDUS0202:NSB:M101:PUM:001</v>
      </c>
      <c r="M118" s="285" t="s">
        <v>152</v>
      </c>
      <c r="N118" s="402" t="str">
        <f t="shared" si="28"/>
        <v>IO.Slot7.DigitalInput4</v>
      </c>
      <c r="O118" s="286" t="str">
        <f t="shared" si="29"/>
        <v>F.</v>
      </c>
      <c r="P118" s="406" t="str">
        <f t="shared" si="30"/>
        <v>F.IO.Slot7.DigitalInput4</v>
      </c>
      <c r="Q118" s="286" t="s">
        <v>150</v>
      </c>
      <c r="R118" s="413" t="str">
        <f t="shared" si="15"/>
        <v>NSB.M101.PUM.001</v>
      </c>
      <c r="S118" s="419" t="str">
        <f t="shared" si="16"/>
        <v>PSDUS0202:NSB:M101:PUM:001:NAME</v>
      </c>
      <c r="T118" s="286"/>
      <c r="U118" s="287"/>
      <c r="V118" s="287"/>
      <c r="W118" s="287"/>
      <c r="X118" s="287"/>
      <c r="Y118" s="298"/>
      <c r="Z118" s="288"/>
      <c r="AA118" s="289">
        <f t="shared" si="19"/>
        <v>26</v>
      </c>
      <c r="AB118" s="290"/>
      <c r="AC118" s="291"/>
      <c r="AD118" s="292"/>
      <c r="AE118" s="293"/>
      <c r="AG118" s="295" t="s">
        <v>1295</v>
      </c>
    </row>
    <row r="119" spans="1:33" s="294" customFormat="1" x14ac:dyDescent="0.25">
      <c r="A119" s="487"/>
      <c r="B119" s="490"/>
      <c r="C119" s="493"/>
      <c r="D119" s="390">
        <v>5</v>
      </c>
      <c r="E119" s="399">
        <v>117</v>
      </c>
      <c r="F119" s="474" t="s">
        <v>1048</v>
      </c>
      <c r="G119" s="282" t="s">
        <v>1266</v>
      </c>
      <c r="H119" s="283" t="s">
        <v>1307</v>
      </c>
      <c r="I119" s="282" t="s">
        <v>1292</v>
      </c>
      <c r="J119" s="283" t="s">
        <v>1296</v>
      </c>
      <c r="K119" s="284" t="s">
        <v>1297</v>
      </c>
      <c r="L119" s="484" t="str">
        <f t="shared" si="23"/>
        <v>PSDUS0202:NSB:M102:PUM:AUT:BM001</v>
      </c>
      <c r="M119" s="285"/>
      <c r="N119" s="402" t="str">
        <f t="shared" si="28"/>
        <v>IO.Slot7.DigitalInput5</v>
      </c>
      <c r="O119" s="286" t="str">
        <f t="shared" si="29"/>
        <v>F.</v>
      </c>
      <c r="P119" s="406" t="str">
        <f t="shared" si="30"/>
        <v>F.IO.Slot7.DigitalInput5</v>
      </c>
      <c r="Q119" s="286"/>
      <c r="R119" s="413" t="str">
        <f t="shared" si="15"/>
        <v>NSB.M102.PUM.AUT.BM001</v>
      </c>
      <c r="S119" s="419" t="str">
        <f t="shared" si="16"/>
        <v>PSDUS0202:NSB:M102:PUM:AUT:BM001:NAME</v>
      </c>
      <c r="T119" s="286"/>
      <c r="U119" s="287"/>
      <c r="V119" s="287"/>
      <c r="W119" s="287"/>
      <c r="X119" s="287"/>
      <c r="Y119" s="298"/>
      <c r="Z119" s="288"/>
      <c r="AA119" s="289">
        <f t="shared" si="19"/>
        <v>32</v>
      </c>
      <c r="AB119" s="290"/>
      <c r="AC119" s="291"/>
      <c r="AD119" s="292"/>
      <c r="AE119" s="293"/>
      <c r="AG119" s="295" t="s">
        <v>1308</v>
      </c>
    </row>
    <row r="120" spans="1:33" s="294" customFormat="1" x14ac:dyDescent="0.25">
      <c r="A120" s="487"/>
      <c r="B120" s="490"/>
      <c r="C120" s="493"/>
      <c r="D120" s="423">
        <v>6</v>
      </c>
      <c r="E120" s="428">
        <v>118</v>
      </c>
      <c r="F120" s="474" t="s">
        <v>1049</v>
      </c>
      <c r="G120" s="282" t="s">
        <v>1266</v>
      </c>
      <c r="H120" s="283" t="s">
        <v>1307</v>
      </c>
      <c r="I120" s="282" t="s">
        <v>1292</v>
      </c>
      <c r="J120" s="283" t="s">
        <v>1298</v>
      </c>
      <c r="K120" s="284" t="s">
        <v>1297</v>
      </c>
      <c r="L120" s="484" t="str">
        <f t="shared" si="23"/>
        <v>PSDUS0202:NSB:M102:PUM:HND:BM001</v>
      </c>
      <c r="M120" s="285"/>
      <c r="N120" s="402" t="str">
        <f t="shared" si="28"/>
        <v>IO.Slot7.DigitalInput6</v>
      </c>
      <c r="O120" s="286" t="str">
        <f t="shared" si="29"/>
        <v>F.</v>
      </c>
      <c r="P120" s="406" t="str">
        <f t="shared" si="30"/>
        <v>F.IO.Slot7.DigitalInput6</v>
      </c>
      <c r="Q120" s="286"/>
      <c r="R120" s="413" t="str">
        <f t="shared" si="15"/>
        <v>NSB.M102.PUM.HND.BM001</v>
      </c>
      <c r="S120" s="419" t="str">
        <f t="shared" si="16"/>
        <v>PSDUS0202:NSB:M102:PUM:HND:BM001:NAME</v>
      </c>
      <c r="T120" s="286"/>
      <c r="U120" s="287"/>
      <c r="V120" s="287"/>
      <c r="W120" s="287"/>
      <c r="X120" s="287"/>
      <c r="Y120" s="298"/>
      <c r="Z120" s="288"/>
      <c r="AA120" s="289">
        <f t="shared" si="19"/>
        <v>32</v>
      </c>
      <c r="AB120" s="290"/>
      <c r="AC120" s="291"/>
      <c r="AD120" s="292"/>
      <c r="AE120" s="293"/>
      <c r="AG120" s="295" t="s">
        <v>1308</v>
      </c>
    </row>
    <row r="121" spans="1:33" s="294" customFormat="1" x14ac:dyDescent="0.25">
      <c r="A121" s="487"/>
      <c r="B121" s="490"/>
      <c r="C121" s="493"/>
      <c r="D121" s="390">
        <v>7</v>
      </c>
      <c r="E121" s="399">
        <v>119</v>
      </c>
      <c r="F121" s="474" t="s">
        <v>1050</v>
      </c>
      <c r="G121" s="282" t="s">
        <v>1266</v>
      </c>
      <c r="H121" s="283" t="s">
        <v>1307</v>
      </c>
      <c r="I121" s="282" t="s">
        <v>1292</v>
      </c>
      <c r="J121" s="283" t="s">
        <v>1299</v>
      </c>
      <c r="K121" s="284" t="s">
        <v>1297</v>
      </c>
      <c r="L121" s="484" t="str">
        <f t="shared" si="23"/>
        <v>PSDUS0202:NSB:M102:PUM:EIN:BM001</v>
      </c>
      <c r="M121" s="285"/>
      <c r="N121" s="402" t="str">
        <f t="shared" si="28"/>
        <v>IO.Slot7.DigitalInput7</v>
      </c>
      <c r="O121" s="286" t="str">
        <f t="shared" si="29"/>
        <v>F.</v>
      </c>
      <c r="P121" s="406" t="str">
        <f t="shared" si="30"/>
        <v>F.IO.Slot7.DigitalInput7</v>
      </c>
      <c r="Q121" s="286"/>
      <c r="R121" s="413" t="str">
        <f t="shared" si="15"/>
        <v>NSB.M102.PUM.EIN.BM001</v>
      </c>
      <c r="S121" s="419" t="str">
        <f t="shared" si="16"/>
        <v>PSDUS0202:NSB:M102:PUM:EIN:BM001:NAME</v>
      </c>
      <c r="T121" s="286"/>
      <c r="U121" s="287"/>
      <c r="V121" s="287"/>
      <c r="W121" s="287"/>
      <c r="X121" s="287"/>
      <c r="Y121" s="298"/>
      <c r="Z121" s="288"/>
      <c r="AA121" s="289">
        <f t="shared" si="19"/>
        <v>32</v>
      </c>
      <c r="AB121" s="290"/>
      <c r="AC121" s="291"/>
      <c r="AD121" s="292"/>
      <c r="AE121" s="293"/>
      <c r="AG121" s="295" t="s">
        <v>1308</v>
      </c>
    </row>
    <row r="122" spans="1:33" s="294" customFormat="1" x14ac:dyDescent="0.25">
      <c r="A122" s="487"/>
      <c r="B122" s="490"/>
      <c r="C122" s="493"/>
      <c r="D122" s="390">
        <v>8</v>
      </c>
      <c r="E122" s="399">
        <v>120</v>
      </c>
      <c r="F122" s="474" t="s">
        <v>1051</v>
      </c>
      <c r="G122" s="282" t="s">
        <v>1266</v>
      </c>
      <c r="H122" s="283" t="s">
        <v>1307</v>
      </c>
      <c r="I122" s="282" t="s">
        <v>1292</v>
      </c>
      <c r="J122" s="283" t="s">
        <v>1282</v>
      </c>
      <c r="K122" s="284" t="s">
        <v>1283</v>
      </c>
      <c r="L122" s="484" t="str">
        <f t="shared" si="23"/>
        <v>PSDUS0202:NSB:M102:PUM:ASG:SM001</v>
      </c>
      <c r="M122" s="285"/>
      <c r="N122" s="402" t="str">
        <f t="shared" si="28"/>
        <v>IO.Slot7.DigitalInput8</v>
      </c>
      <c r="O122" s="286" t="str">
        <f t="shared" si="29"/>
        <v>F.</v>
      </c>
      <c r="P122" s="406" t="str">
        <f t="shared" si="30"/>
        <v>F.IO.Slot7.DigitalInput8</v>
      </c>
      <c r="Q122" s="286"/>
      <c r="R122" s="413" t="str">
        <f t="shared" si="15"/>
        <v>NSB.M102.PUM.ASG.SM001</v>
      </c>
      <c r="S122" s="419" t="str">
        <f t="shared" si="16"/>
        <v>PSDUS0202:NSB:M102:PUM:ASG:SM001:NAME</v>
      </c>
      <c r="T122" s="286"/>
      <c r="U122" s="287"/>
      <c r="V122" s="287"/>
      <c r="W122" s="287"/>
      <c r="X122" s="287"/>
      <c r="Y122" s="298"/>
      <c r="Z122" s="288"/>
      <c r="AA122" s="289">
        <f t="shared" si="19"/>
        <v>32</v>
      </c>
      <c r="AB122" s="290"/>
      <c r="AC122" s="291"/>
      <c r="AD122" s="292"/>
      <c r="AE122" s="293"/>
      <c r="AG122" s="295" t="s">
        <v>1308</v>
      </c>
    </row>
    <row r="123" spans="1:33" s="294" customFormat="1" x14ac:dyDescent="0.25">
      <c r="A123" s="487"/>
      <c r="B123" s="490"/>
      <c r="C123" s="493"/>
      <c r="D123" s="390">
        <v>9</v>
      </c>
      <c r="E123" s="399">
        <v>121</v>
      </c>
      <c r="F123" s="474" t="s">
        <v>1052</v>
      </c>
      <c r="G123" s="306" t="s">
        <v>1266</v>
      </c>
      <c r="H123" s="283" t="s">
        <v>1331</v>
      </c>
      <c r="I123" s="282" t="s">
        <v>1292</v>
      </c>
      <c r="J123" s="283" t="s">
        <v>1282</v>
      </c>
      <c r="K123" s="284" t="s">
        <v>1283</v>
      </c>
      <c r="L123" s="484" t="str">
        <f t="shared" si="23"/>
        <v>PSDUS0202:NSB:M103:PUM:ASG:SM001</v>
      </c>
      <c r="M123" s="285"/>
      <c r="N123" s="402" t="str">
        <f t="shared" si="28"/>
        <v>IO.Slot7.DigitalInput9</v>
      </c>
      <c r="O123" s="286" t="str">
        <f t="shared" si="29"/>
        <v>F.</v>
      </c>
      <c r="P123" s="406" t="str">
        <f t="shared" si="30"/>
        <v>F.IO.Slot7.DigitalInput9</v>
      </c>
      <c r="Q123" s="286"/>
      <c r="R123" s="413" t="str">
        <f t="shared" si="15"/>
        <v>NSB.M103.PUM.ASG.SM001</v>
      </c>
      <c r="S123" s="419" t="str">
        <f t="shared" si="16"/>
        <v>PSDUS0202:NSB:M103:PUM:ASG:SM001:NAME</v>
      </c>
      <c r="T123" s="286"/>
      <c r="U123" s="287"/>
      <c r="V123" s="287"/>
      <c r="W123" s="287"/>
      <c r="X123" s="287"/>
      <c r="Y123" s="298"/>
      <c r="Z123" s="288"/>
      <c r="AA123" s="289">
        <f t="shared" si="19"/>
        <v>32</v>
      </c>
      <c r="AB123" s="290"/>
      <c r="AC123" s="291"/>
      <c r="AD123" s="292"/>
      <c r="AE123" s="293"/>
      <c r="AG123" s="295" t="s">
        <v>1333</v>
      </c>
    </row>
    <row r="124" spans="1:33" s="294" customFormat="1" x14ac:dyDescent="0.25">
      <c r="A124" s="487"/>
      <c r="B124" s="490"/>
      <c r="C124" s="493"/>
      <c r="D124" s="390">
        <v>10</v>
      </c>
      <c r="E124" s="399">
        <v>122</v>
      </c>
      <c r="F124" s="474" t="s">
        <v>1053</v>
      </c>
      <c r="G124" s="283"/>
      <c r="H124" s="283"/>
      <c r="I124" s="282"/>
      <c r="J124" s="283"/>
      <c r="K124" s="284"/>
      <c r="L124" s="484" t="str">
        <f t="shared" si="23"/>
        <v/>
      </c>
      <c r="M124" s="285"/>
      <c r="N124" s="402" t="str">
        <f t="shared" si="28"/>
        <v>IO.Slot7.DigitalInput10</v>
      </c>
      <c r="O124" s="286" t="str">
        <f t="shared" si="29"/>
        <v>F.</v>
      </c>
      <c r="P124" s="406" t="str">
        <f t="shared" si="30"/>
        <v>F.IO.Slot7.DigitalInput10</v>
      </c>
      <c r="Q124" s="286"/>
      <c r="R124" s="413" t="str">
        <f t="shared" si="15"/>
        <v/>
      </c>
      <c r="S124" s="419" t="str">
        <f t="shared" si="16"/>
        <v>:NAME</v>
      </c>
      <c r="T124" s="286"/>
      <c r="U124" s="287"/>
      <c r="V124" s="287"/>
      <c r="W124" s="287"/>
      <c r="X124" s="287"/>
      <c r="Y124" s="298"/>
      <c r="Z124" s="288"/>
      <c r="AA124" s="289">
        <f t="shared" si="19"/>
        <v>0</v>
      </c>
      <c r="AB124" s="290"/>
      <c r="AC124" s="291"/>
      <c r="AD124" s="292"/>
      <c r="AE124" s="293"/>
      <c r="AG124" s="295"/>
    </row>
    <row r="125" spans="1:33" s="294" customFormat="1" x14ac:dyDescent="0.25">
      <c r="A125" s="487"/>
      <c r="B125" s="490"/>
      <c r="C125" s="493"/>
      <c r="D125" s="390">
        <v>11</v>
      </c>
      <c r="E125" s="399">
        <v>123</v>
      </c>
      <c r="F125" s="474" t="s">
        <v>1054</v>
      </c>
      <c r="G125" s="283"/>
      <c r="H125" s="282"/>
      <c r="I125" s="282"/>
      <c r="J125" s="283"/>
      <c r="K125" s="284"/>
      <c r="L125" s="484" t="str">
        <f t="shared" si="23"/>
        <v/>
      </c>
      <c r="M125" s="285"/>
      <c r="N125" s="402" t="str">
        <f t="shared" si="28"/>
        <v>IO.Slot7.DigitalInput11</v>
      </c>
      <c r="O125" s="286" t="str">
        <f t="shared" si="29"/>
        <v>F.</v>
      </c>
      <c r="P125" s="406" t="str">
        <f t="shared" si="30"/>
        <v>F.IO.Slot7.DigitalInput11</v>
      </c>
      <c r="Q125" s="286"/>
      <c r="R125" s="413" t="str">
        <f t="shared" si="15"/>
        <v/>
      </c>
      <c r="S125" s="419" t="str">
        <f t="shared" si="16"/>
        <v>:NAME</v>
      </c>
      <c r="T125" s="286"/>
      <c r="U125" s="287"/>
      <c r="V125" s="287"/>
      <c r="W125" s="287"/>
      <c r="X125" s="287"/>
      <c r="Y125" s="298"/>
      <c r="Z125" s="288"/>
      <c r="AA125" s="289">
        <f t="shared" si="19"/>
        <v>0</v>
      </c>
      <c r="AB125" s="290"/>
      <c r="AC125" s="291"/>
      <c r="AD125" s="292"/>
      <c r="AE125" s="293"/>
      <c r="AG125" s="295"/>
    </row>
    <row r="126" spans="1:33" s="294" customFormat="1" x14ac:dyDescent="0.25">
      <c r="A126" s="487"/>
      <c r="B126" s="490"/>
      <c r="C126" s="493"/>
      <c r="D126" s="390">
        <v>12</v>
      </c>
      <c r="E126" s="399">
        <v>124</v>
      </c>
      <c r="F126" s="474" t="s">
        <v>1055</v>
      </c>
      <c r="G126" s="282" t="s">
        <v>1266</v>
      </c>
      <c r="H126" s="282" t="s">
        <v>1409</v>
      </c>
      <c r="I126" s="282" t="s">
        <v>1408</v>
      </c>
      <c r="J126" s="283" t="s">
        <v>1303</v>
      </c>
      <c r="K126" s="284" t="s">
        <v>1297</v>
      </c>
      <c r="L126" s="484" t="str">
        <f t="shared" si="23"/>
        <v>PSDUS0202:NSB:X113:ABF:AUF:BM001</v>
      </c>
      <c r="M126" s="285"/>
      <c r="N126" s="402" t="str">
        <f t="shared" si="28"/>
        <v>IO.Slot7.DigitalInput12</v>
      </c>
      <c r="O126" s="286" t="str">
        <f t="shared" si="29"/>
        <v>F.</v>
      </c>
      <c r="P126" s="406" t="str">
        <f t="shared" si="30"/>
        <v>F.IO.Slot7.DigitalInput12</v>
      </c>
      <c r="Q126" s="286"/>
      <c r="R126" s="413" t="str">
        <f t="shared" si="15"/>
        <v>NSB.X113.ABF.AUF.BM001</v>
      </c>
      <c r="S126" s="419" t="str">
        <f t="shared" si="16"/>
        <v>PSDUS0202:NSB:X113:ABF:AUF:BM001:NAME</v>
      </c>
      <c r="T126" s="286"/>
      <c r="U126" s="287"/>
      <c r="V126" s="287"/>
      <c r="W126" s="287"/>
      <c r="X126" s="287"/>
      <c r="Y126" s="298"/>
      <c r="Z126" s="288"/>
      <c r="AA126" s="289">
        <f t="shared" si="19"/>
        <v>32</v>
      </c>
      <c r="AB126" s="290"/>
      <c r="AC126" s="291"/>
      <c r="AD126" s="292"/>
      <c r="AE126" s="293"/>
      <c r="AG126" s="295" t="s">
        <v>1417</v>
      </c>
    </row>
    <row r="127" spans="1:33" s="294" customFormat="1" x14ac:dyDescent="0.25">
      <c r="A127" s="487"/>
      <c r="B127" s="490"/>
      <c r="C127" s="493"/>
      <c r="D127" s="390">
        <v>13</v>
      </c>
      <c r="E127" s="399">
        <v>125</v>
      </c>
      <c r="F127" s="474" t="s">
        <v>1056</v>
      </c>
      <c r="G127" s="282" t="s">
        <v>1266</v>
      </c>
      <c r="H127" s="282" t="s">
        <v>1409</v>
      </c>
      <c r="I127" s="282" t="s">
        <v>1408</v>
      </c>
      <c r="J127" s="283" t="s">
        <v>1304</v>
      </c>
      <c r="K127" s="284" t="s">
        <v>1297</v>
      </c>
      <c r="L127" s="484" t="str">
        <f t="shared" si="23"/>
        <v>PSDUS0202:NSB:X113:ABF:ZU_:BM001</v>
      </c>
      <c r="M127" s="285"/>
      <c r="N127" s="402" t="str">
        <f t="shared" si="28"/>
        <v>IO.Slot7.DigitalInput13</v>
      </c>
      <c r="O127" s="286" t="str">
        <f t="shared" si="29"/>
        <v>F.</v>
      </c>
      <c r="P127" s="406" t="str">
        <f t="shared" si="30"/>
        <v>F.IO.Slot7.DigitalInput13</v>
      </c>
      <c r="Q127" s="286"/>
      <c r="R127" s="413" t="str">
        <f t="shared" si="15"/>
        <v>NSB.X113.ABF.ZU_.BM001</v>
      </c>
      <c r="S127" s="419" t="str">
        <f t="shared" si="16"/>
        <v>PSDUS0202:NSB:X113:ABF:ZU_:BM001:NAME</v>
      </c>
      <c r="T127" s="286"/>
      <c r="U127" s="287"/>
      <c r="V127" s="287"/>
      <c r="W127" s="287"/>
      <c r="X127" s="287"/>
      <c r="Y127" s="298"/>
      <c r="Z127" s="288"/>
      <c r="AA127" s="289">
        <f t="shared" si="19"/>
        <v>32</v>
      </c>
      <c r="AB127" s="290"/>
      <c r="AC127" s="291"/>
      <c r="AD127" s="292"/>
      <c r="AE127" s="293"/>
      <c r="AG127" s="295" t="s">
        <v>1417</v>
      </c>
    </row>
    <row r="128" spans="1:33" s="294" customFormat="1" x14ac:dyDescent="0.25">
      <c r="A128" s="487"/>
      <c r="B128" s="490"/>
      <c r="C128" s="493"/>
      <c r="D128" s="390">
        <v>14</v>
      </c>
      <c r="E128" s="399">
        <v>126</v>
      </c>
      <c r="F128" s="474" t="s">
        <v>1057</v>
      </c>
      <c r="G128" s="304" t="s">
        <v>1266</v>
      </c>
      <c r="H128" s="282" t="s">
        <v>1373</v>
      </c>
      <c r="I128" s="282" t="s">
        <v>1302</v>
      </c>
      <c r="J128" s="283" t="s">
        <v>1303</v>
      </c>
      <c r="K128" s="284" t="s">
        <v>1297</v>
      </c>
      <c r="L128" s="484" t="str">
        <f t="shared" si="23"/>
        <v>PSDUS0202:NSB:X133:AKL:AUF:BM001</v>
      </c>
      <c r="M128" s="285"/>
      <c r="N128" s="402" t="str">
        <f t="shared" si="28"/>
        <v>IO.Slot7.DigitalInput14</v>
      </c>
      <c r="O128" s="286" t="str">
        <f t="shared" si="29"/>
        <v>F.</v>
      </c>
      <c r="P128" s="406" t="str">
        <f t="shared" si="30"/>
        <v>F.IO.Slot7.DigitalInput14</v>
      </c>
      <c r="Q128" s="286"/>
      <c r="R128" s="413" t="str">
        <f t="shared" si="15"/>
        <v>NSB.X133.AKL.AUF.BM001</v>
      </c>
      <c r="S128" s="419" t="str">
        <f t="shared" si="16"/>
        <v>PSDUS0202:NSB:X133:AKL:AUF:BM001:NAME</v>
      </c>
      <c r="T128" s="286"/>
      <c r="U128" s="287"/>
      <c r="V128" s="287"/>
      <c r="W128" s="287"/>
      <c r="X128" s="287"/>
      <c r="Y128" s="298"/>
      <c r="Z128" s="288"/>
      <c r="AA128" s="289">
        <f t="shared" si="19"/>
        <v>32</v>
      </c>
      <c r="AB128" s="290"/>
      <c r="AC128" s="291"/>
      <c r="AD128" s="292"/>
      <c r="AE128" s="293"/>
      <c r="AG128" s="295" t="s">
        <v>1374</v>
      </c>
    </row>
    <row r="129" spans="1:33" s="294" customFormat="1" ht="15.75" thickBot="1" x14ac:dyDescent="0.3">
      <c r="A129" s="488"/>
      <c r="B129" s="491"/>
      <c r="C129" s="494"/>
      <c r="D129" s="390">
        <v>15</v>
      </c>
      <c r="E129" s="399">
        <v>127</v>
      </c>
      <c r="F129" s="474" t="s">
        <v>1058</v>
      </c>
      <c r="G129" s="304" t="s">
        <v>1266</v>
      </c>
      <c r="H129" s="282" t="s">
        <v>1373</v>
      </c>
      <c r="I129" s="282" t="s">
        <v>1302</v>
      </c>
      <c r="J129" s="283" t="s">
        <v>1304</v>
      </c>
      <c r="K129" s="284" t="s">
        <v>1297</v>
      </c>
      <c r="L129" s="484" t="str">
        <f t="shared" si="23"/>
        <v>PSDUS0202:NSB:X133:AKL:ZU_:BM001</v>
      </c>
      <c r="M129" s="285"/>
      <c r="N129" s="402" t="str">
        <f t="shared" si="28"/>
        <v>IO.Slot7.DigitalInput15</v>
      </c>
      <c r="O129" s="286" t="str">
        <f t="shared" si="29"/>
        <v>F.</v>
      </c>
      <c r="P129" s="406" t="str">
        <f t="shared" si="30"/>
        <v>F.IO.Slot7.DigitalInput15</v>
      </c>
      <c r="Q129" s="286"/>
      <c r="R129" s="413" t="str">
        <f t="shared" si="15"/>
        <v>NSB.X133.AKL.ZU_.BM001</v>
      </c>
      <c r="S129" s="419" t="str">
        <f t="shared" si="16"/>
        <v>PSDUS0202:NSB:X133:AKL:ZU_:BM001:NAME</v>
      </c>
      <c r="T129" s="286"/>
      <c r="U129" s="287"/>
      <c r="V129" s="287"/>
      <c r="W129" s="287"/>
      <c r="X129" s="287"/>
      <c r="Y129" s="298"/>
      <c r="Z129" s="288"/>
      <c r="AA129" s="289">
        <f t="shared" si="19"/>
        <v>32</v>
      </c>
      <c r="AB129" s="290"/>
      <c r="AC129" s="291"/>
      <c r="AD129" s="292"/>
      <c r="AE129" s="293"/>
      <c r="AG129" s="295" t="s">
        <v>1374</v>
      </c>
    </row>
    <row r="130" spans="1:33" s="279" customFormat="1" ht="14.45" customHeight="1" x14ac:dyDescent="0.25">
      <c r="A130" s="486" t="s">
        <v>1</v>
      </c>
      <c r="B130" s="489" t="str">
        <f>LOOKUP(A130,Module,IO)</f>
        <v>DigitalInput</v>
      </c>
      <c r="C130" s="492" t="s">
        <v>16</v>
      </c>
      <c r="D130" s="389" t="s">
        <v>160</v>
      </c>
      <c r="E130" s="398">
        <v>128</v>
      </c>
      <c r="F130" s="476" t="s">
        <v>1059</v>
      </c>
      <c r="G130" s="267" t="s">
        <v>1266</v>
      </c>
      <c r="H130" s="268" t="s">
        <v>1375</v>
      </c>
      <c r="I130" s="267" t="s">
        <v>1302</v>
      </c>
      <c r="J130" s="268" t="s">
        <v>1303</v>
      </c>
      <c r="K130" s="269" t="s">
        <v>1297</v>
      </c>
      <c r="L130" s="483" t="str">
        <f t="shared" si="23"/>
        <v>PSDUS0202:NSB:X134:AKL:AUF:BM001</v>
      </c>
      <c r="M130" s="270"/>
      <c r="N130" s="401" t="str">
        <f t="shared" ref="N130:N145" si="31">IF(F130&lt;&gt;"",IF($H$1&lt;&gt;"","IO"&amp;".","IO.")&amp;$C$130&amp;"."&amp;$B$130&amp;D130,"")</f>
        <v>IO.Slot8.DigitalInput0</v>
      </c>
      <c r="O130" s="271" t="str">
        <f t="shared" ref="O130:O145" si="32">LOOKUP($A$130,Module,Type)</f>
        <v>F.</v>
      </c>
      <c r="P130" s="405" t="str">
        <f>O130&amp;N130</f>
        <v>F.IO.Slot8.DigitalInput0</v>
      </c>
      <c r="Q130" s="271"/>
      <c r="R130" s="412" t="str">
        <f t="shared" ref="R130:R193" si="33">IF(G130&lt;&gt;"",G130&amp;"."&amp;H130&amp;"."&amp;I130&amp;"."&amp;J130&amp;IF(K130&lt;&gt;"","."&amp;K130,""),"")</f>
        <v>NSB.X134.AKL.AUF.BM001</v>
      </c>
      <c r="S130" s="418" t="str">
        <f t="shared" ref="S130:S193" si="34">L130&amp;":NAME"</f>
        <v>PSDUS0202:NSB:X134:AKL:AUF:BM001:NAME</v>
      </c>
      <c r="T130" s="271"/>
      <c r="U130" s="272"/>
      <c r="V130" s="272"/>
      <c r="W130" s="272"/>
      <c r="X130" s="272"/>
      <c r="Y130" s="297"/>
      <c r="Z130" s="273"/>
      <c r="AA130" s="274">
        <f t="shared" si="19"/>
        <v>32</v>
      </c>
      <c r="AB130" s="275"/>
      <c r="AC130" s="276"/>
      <c r="AD130" s="277"/>
      <c r="AE130" s="278"/>
      <c r="AG130" s="280" t="s">
        <v>1376</v>
      </c>
    </row>
    <row r="131" spans="1:33" s="294" customFormat="1" x14ac:dyDescent="0.25">
      <c r="A131" s="487"/>
      <c r="B131" s="490"/>
      <c r="C131" s="493"/>
      <c r="D131" s="390">
        <v>1</v>
      </c>
      <c r="E131" s="399">
        <v>129</v>
      </c>
      <c r="F131" s="474" t="s">
        <v>1060</v>
      </c>
      <c r="G131" s="282" t="s">
        <v>1266</v>
      </c>
      <c r="H131" s="282" t="s">
        <v>1375</v>
      </c>
      <c r="I131" s="282" t="s">
        <v>1302</v>
      </c>
      <c r="J131" s="283" t="s">
        <v>1304</v>
      </c>
      <c r="K131" s="284" t="s">
        <v>1297</v>
      </c>
      <c r="L131" s="484" t="str">
        <f t="shared" si="23"/>
        <v>PSDUS0202:NSB:X134:AKL:ZU_:BM001</v>
      </c>
      <c r="M131" s="285"/>
      <c r="N131" s="402" t="str">
        <f t="shared" si="31"/>
        <v>IO.Slot8.DigitalInput1</v>
      </c>
      <c r="O131" s="286" t="str">
        <f t="shared" si="32"/>
        <v>F.</v>
      </c>
      <c r="P131" s="406" t="str">
        <f t="shared" ref="P131:P145" si="35">O131&amp;N131</f>
        <v>F.IO.Slot8.DigitalInput1</v>
      </c>
      <c r="Q131" s="286"/>
      <c r="R131" s="413" t="str">
        <f t="shared" si="33"/>
        <v>NSB.X134.AKL.ZU_.BM001</v>
      </c>
      <c r="S131" s="419" t="str">
        <f t="shared" si="34"/>
        <v>PSDUS0202:NSB:X134:AKL:ZU_:BM001:NAME</v>
      </c>
      <c r="T131" s="286"/>
      <c r="U131" s="287"/>
      <c r="V131" s="287"/>
      <c r="W131" s="287"/>
      <c r="X131" s="287"/>
      <c r="Y131" s="298"/>
      <c r="Z131" s="288"/>
      <c r="AA131" s="289">
        <f t="shared" ref="AA131:AA194" si="36">LEN(L131)</f>
        <v>32</v>
      </c>
      <c r="AB131" s="290"/>
      <c r="AC131" s="291"/>
      <c r="AD131" s="292"/>
      <c r="AE131" s="293"/>
      <c r="AG131" s="295" t="s">
        <v>1376</v>
      </c>
    </row>
    <row r="132" spans="1:33" s="294" customFormat="1" x14ac:dyDescent="0.25">
      <c r="A132" s="487"/>
      <c r="B132" s="490"/>
      <c r="C132" s="493"/>
      <c r="D132" s="390">
        <v>2</v>
      </c>
      <c r="E132" s="399">
        <v>130</v>
      </c>
      <c r="F132" s="474" t="s">
        <v>1061</v>
      </c>
      <c r="G132" s="282" t="s">
        <v>1266</v>
      </c>
      <c r="H132" s="282" t="s">
        <v>1404</v>
      </c>
      <c r="I132" s="282" t="s">
        <v>1302</v>
      </c>
      <c r="J132" s="283" t="s">
        <v>1303</v>
      </c>
      <c r="K132" s="284" t="s">
        <v>1297</v>
      </c>
      <c r="L132" s="484" t="str">
        <f t="shared" si="23"/>
        <v>PSDUS0202:NSB:X135:AKL:AUF:BM001</v>
      </c>
      <c r="M132" s="285"/>
      <c r="N132" s="402" t="str">
        <f t="shared" si="31"/>
        <v>IO.Slot8.DigitalInput2</v>
      </c>
      <c r="O132" s="286" t="str">
        <f t="shared" si="32"/>
        <v>F.</v>
      </c>
      <c r="P132" s="406" t="str">
        <f t="shared" si="35"/>
        <v>F.IO.Slot8.DigitalInput2</v>
      </c>
      <c r="Q132" s="286"/>
      <c r="R132" s="413" t="str">
        <f t="shared" si="33"/>
        <v>NSB.X135.AKL.AUF.BM001</v>
      </c>
      <c r="S132" s="419" t="str">
        <f t="shared" si="34"/>
        <v>PSDUS0202:NSB:X135:AKL:AUF:BM001:NAME</v>
      </c>
      <c r="T132" s="286"/>
      <c r="U132" s="287"/>
      <c r="V132" s="287"/>
      <c r="W132" s="287"/>
      <c r="X132" s="287"/>
      <c r="Y132" s="298"/>
      <c r="Z132" s="288"/>
      <c r="AA132" s="289">
        <f t="shared" si="36"/>
        <v>32</v>
      </c>
      <c r="AB132" s="290"/>
      <c r="AC132" s="291"/>
      <c r="AD132" s="292"/>
      <c r="AE132" s="293"/>
      <c r="AG132" s="295" t="s">
        <v>1405</v>
      </c>
    </row>
    <row r="133" spans="1:33" s="294" customFormat="1" x14ac:dyDescent="0.25">
      <c r="A133" s="487"/>
      <c r="B133" s="490"/>
      <c r="C133" s="493"/>
      <c r="D133" s="390">
        <v>3</v>
      </c>
      <c r="E133" s="399">
        <v>131</v>
      </c>
      <c r="F133" s="474" t="s">
        <v>1062</v>
      </c>
      <c r="G133" s="282" t="s">
        <v>1266</v>
      </c>
      <c r="H133" s="282" t="s">
        <v>1404</v>
      </c>
      <c r="I133" s="282" t="s">
        <v>1302</v>
      </c>
      <c r="J133" s="283" t="s">
        <v>1304</v>
      </c>
      <c r="K133" s="284" t="s">
        <v>1297</v>
      </c>
      <c r="L133" s="484" t="str">
        <f t="shared" si="23"/>
        <v>PSDUS0202:NSB:X135:AKL:ZU_:BM001</v>
      </c>
      <c r="M133" s="285"/>
      <c r="N133" s="402" t="str">
        <f t="shared" si="31"/>
        <v>IO.Slot8.DigitalInput3</v>
      </c>
      <c r="O133" s="286" t="str">
        <f t="shared" si="32"/>
        <v>F.</v>
      </c>
      <c r="P133" s="406" t="str">
        <f t="shared" si="35"/>
        <v>F.IO.Slot8.DigitalInput3</v>
      </c>
      <c r="Q133" s="286"/>
      <c r="R133" s="413" t="str">
        <f t="shared" si="33"/>
        <v>NSB.X135.AKL.ZU_.BM001</v>
      </c>
      <c r="S133" s="419" t="str">
        <f t="shared" si="34"/>
        <v>PSDUS0202:NSB:X135:AKL:ZU_:BM001:NAME</v>
      </c>
      <c r="T133" s="286"/>
      <c r="U133" s="287"/>
      <c r="V133" s="287"/>
      <c r="W133" s="287"/>
      <c r="X133" s="287"/>
      <c r="Y133" s="298"/>
      <c r="Z133" s="288"/>
      <c r="AA133" s="289">
        <f t="shared" si="36"/>
        <v>32</v>
      </c>
      <c r="AB133" s="290"/>
      <c r="AC133" s="291"/>
      <c r="AD133" s="292"/>
      <c r="AE133" s="293"/>
      <c r="AG133" s="295" t="s">
        <v>1405</v>
      </c>
    </row>
    <row r="134" spans="1:33" s="294" customFormat="1" x14ac:dyDescent="0.25">
      <c r="A134" s="487"/>
      <c r="B134" s="490"/>
      <c r="C134" s="493"/>
      <c r="D134" s="390">
        <v>4</v>
      </c>
      <c r="E134" s="399">
        <v>132</v>
      </c>
      <c r="F134" s="474" t="s">
        <v>1063</v>
      </c>
      <c r="G134" s="282"/>
      <c r="H134" s="282"/>
      <c r="I134" s="282"/>
      <c r="J134" s="283"/>
      <c r="K134" s="284"/>
      <c r="L134" s="484" t="str">
        <f t="shared" si="23"/>
        <v/>
      </c>
      <c r="M134" s="285"/>
      <c r="N134" s="402" t="str">
        <f t="shared" si="31"/>
        <v>IO.Slot8.DigitalInput4</v>
      </c>
      <c r="O134" s="286" t="str">
        <f t="shared" si="32"/>
        <v>F.</v>
      </c>
      <c r="P134" s="406" t="str">
        <f t="shared" si="35"/>
        <v>F.IO.Slot8.DigitalInput4</v>
      </c>
      <c r="Q134" s="286"/>
      <c r="R134" s="413" t="str">
        <f t="shared" si="33"/>
        <v/>
      </c>
      <c r="S134" s="419" t="str">
        <f t="shared" si="34"/>
        <v>:NAME</v>
      </c>
      <c r="T134" s="286"/>
      <c r="U134" s="287"/>
      <c r="V134" s="287"/>
      <c r="W134" s="287"/>
      <c r="X134" s="287"/>
      <c r="Y134" s="298"/>
      <c r="Z134" s="288"/>
      <c r="AA134" s="289">
        <f t="shared" si="36"/>
        <v>0</v>
      </c>
      <c r="AB134" s="290"/>
      <c r="AC134" s="291"/>
      <c r="AD134" s="292"/>
      <c r="AE134" s="293"/>
      <c r="AG134" s="295"/>
    </row>
    <row r="135" spans="1:33" s="294" customFormat="1" x14ac:dyDescent="0.25">
      <c r="A135" s="487"/>
      <c r="B135" s="490"/>
      <c r="C135" s="493"/>
      <c r="D135" s="390">
        <v>5</v>
      </c>
      <c r="E135" s="399">
        <v>133</v>
      </c>
      <c r="F135" s="474" t="s">
        <v>1063</v>
      </c>
      <c r="G135" s="282"/>
      <c r="H135" s="282"/>
      <c r="I135" s="282"/>
      <c r="J135" s="283"/>
      <c r="K135" s="284"/>
      <c r="L135" s="484" t="str">
        <f t="shared" si="23"/>
        <v/>
      </c>
      <c r="M135" s="285"/>
      <c r="N135" s="402" t="str">
        <f t="shared" si="31"/>
        <v>IO.Slot8.DigitalInput5</v>
      </c>
      <c r="O135" s="286" t="str">
        <f t="shared" si="32"/>
        <v>F.</v>
      </c>
      <c r="P135" s="406" t="str">
        <f t="shared" si="35"/>
        <v>F.IO.Slot8.DigitalInput5</v>
      </c>
      <c r="Q135" s="286"/>
      <c r="R135" s="413" t="str">
        <f t="shared" si="33"/>
        <v/>
      </c>
      <c r="S135" s="419" t="str">
        <f t="shared" si="34"/>
        <v>:NAME</v>
      </c>
      <c r="T135" s="286"/>
      <c r="U135" s="287"/>
      <c r="V135" s="287"/>
      <c r="W135" s="287"/>
      <c r="X135" s="287"/>
      <c r="Y135" s="298"/>
      <c r="Z135" s="288"/>
      <c r="AA135" s="289">
        <f t="shared" si="36"/>
        <v>0</v>
      </c>
      <c r="AB135" s="290"/>
      <c r="AC135" s="291"/>
      <c r="AD135" s="292"/>
      <c r="AE135" s="293"/>
      <c r="AG135" s="295"/>
    </row>
    <row r="136" spans="1:33" s="294" customFormat="1" x14ac:dyDescent="0.25">
      <c r="A136" s="487"/>
      <c r="B136" s="490"/>
      <c r="C136" s="493"/>
      <c r="D136" s="390">
        <v>6</v>
      </c>
      <c r="E136" s="399">
        <v>134</v>
      </c>
      <c r="F136" s="474" t="s">
        <v>1064</v>
      </c>
      <c r="G136" s="282" t="s">
        <v>1266</v>
      </c>
      <c r="H136" s="304" t="s">
        <v>1305</v>
      </c>
      <c r="I136" s="282" t="s">
        <v>1302</v>
      </c>
      <c r="J136" s="283" t="s">
        <v>1303</v>
      </c>
      <c r="K136" s="284" t="s">
        <v>1297</v>
      </c>
      <c r="L136" s="484" t="str">
        <f t="shared" si="23"/>
        <v>PSDUS0202:NSB:X119:AKL:AUF:BM001</v>
      </c>
      <c r="M136" s="285"/>
      <c r="N136" s="402" t="str">
        <f t="shared" si="31"/>
        <v>IO.Slot8.DigitalInput6</v>
      </c>
      <c r="O136" s="286" t="str">
        <f t="shared" si="32"/>
        <v>F.</v>
      </c>
      <c r="P136" s="406" t="str">
        <f t="shared" si="35"/>
        <v>F.IO.Slot8.DigitalInput6</v>
      </c>
      <c r="Q136" s="286"/>
      <c r="R136" s="413" t="str">
        <f t="shared" si="33"/>
        <v>NSB.X119.AKL.AUF.BM001</v>
      </c>
      <c r="S136" s="419" t="str">
        <f t="shared" si="34"/>
        <v>PSDUS0202:NSB:X119:AKL:AUF:BM001:NAME</v>
      </c>
      <c r="T136" s="286"/>
      <c r="U136" s="287"/>
      <c r="V136" s="287"/>
      <c r="W136" s="287"/>
      <c r="X136" s="287"/>
      <c r="Y136" s="298"/>
      <c r="Z136" s="288"/>
      <c r="AA136" s="289">
        <f t="shared" si="36"/>
        <v>32</v>
      </c>
      <c r="AB136" s="290"/>
      <c r="AC136" s="291"/>
      <c r="AD136" s="292"/>
      <c r="AE136" s="293"/>
      <c r="AG136" s="295" t="s">
        <v>1300</v>
      </c>
    </row>
    <row r="137" spans="1:33" s="294" customFormat="1" x14ac:dyDescent="0.25">
      <c r="A137" s="487"/>
      <c r="B137" s="490"/>
      <c r="C137" s="493"/>
      <c r="D137" s="390">
        <v>7</v>
      </c>
      <c r="E137" s="399">
        <v>135</v>
      </c>
      <c r="F137" s="474" t="s">
        <v>1065</v>
      </c>
      <c r="G137" s="282" t="s">
        <v>1266</v>
      </c>
      <c r="H137" s="304" t="s">
        <v>1305</v>
      </c>
      <c r="I137" s="282" t="s">
        <v>1302</v>
      </c>
      <c r="J137" s="283" t="s">
        <v>1304</v>
      </c>
      <c r="K137" s="284" t="s">
        <v>1297</v>
      </c>
      <c r="L137" s="484" t="str">
        <f t="shared" si="23"/>
        <v>PSDUS0202:NSB:X119:AKL:ZU_:BM001</v>
      </c>
      <c r="M137" s="285"/>
      <c r="N137" s="402" t="str">
        <f t="shared" si="31"/>
        <v>IO.Slot8.DigitalInput7</v>
      </c>
      <c r="O137" s="286" t="str">
        <f t="shared" si="32"/>
        <v>F.</v>
      </c>
      <c r="P137" s="406" t="str">
        <f t="shared" si="35"/>
        <v>F.IO.Slot8.DigitalInput7</v>
      </c>
      <c r="Q137" s="286"/>
      <c r="R137" s="413" t="str">
        <f t="shared" si="33"/>
        <v>NSB.X119.AKL.ZU_.BM001</v>
      </c>
      <c r="S137" s="419" t="str">
        <f t="shared" si="34"/>
        <v>PSDUS0202:NSB:X119:AKL:ZU_:BM001:NAME</v>
      </c>
      <c r="T137" s="286"/>
      <c r="U137" s="287"/>
      <c r="V137" s="287"/>
      <c r="W137" s="287"/>
      <c r="X137" s="287"/>
      <c r="Y137" s="298"/>
      <c r="Z137" s="288"/>
      <c r="AA137" s="289">
        <f t="shared" si="36"/>
        <v>32</v>
      </c>
      <c r="AB137" s="290"/>
      <c r="AC137" s="291"/>
      <c r="AD137" s="292"/>
      <c r="AE137" s="293"/>
      <c r="AG137" s="295" t="s">
        <v>1300</v>
      </c>
    </row>
    <row r="138" spans="1:33" s="294" customFormat="1" x14ac:dyDescent="0.25">
      <c r="A138" s="487"/>
      <c r="B138" s="490"/>
      <c r="C138" s="493"/>
      <c r="D138" s="390">
        <v>8</v>
      </c>
      <c r="E138" s="399">
        <v>136</v>
      </c>
      <c r="F138" s="474" t="s">
        <v>1066</v>
      </c>
      <c r="G138" s="282" t="s">
        <v>1266</v>
      </c>
      <c r="H138" s="304" t="s">
        <v>1306</v>
      </c>
      <c r="I138" s="282" t="s">
        <v>1302</v>
      </c>
      <c r="J138" s="283" t="s">
        <v>1303</v>
      </c>
      <c r="K138" s="284" t="s">
        <v>1297</v>
      </c>
      <c r="L138" s="484" t="str">
        <f t="shared" si="23"/>
        <v>PSDUS0202:NSB:X120:AKL:AUF:BM001</v>
      </c>
      <c r="M138" s="285"/>
      <c r="N138" s="402" t="str">
        <f t="shared" si="31"/>
        <v>IO.Slot8.DigitalInput8</v>
      </c>
      <c r="O138" s="286" t="str">
        <f t="shared" si="32"/>
        <v>F.</v>
      </c>
      <c r="P138" s="406" t="str">
        <f t="shared" si="35"/>
        <v>F.IO.Slot8.DigitalInput8</v>
      </c>
      <c r="Q138" s="286"/>
      <c r="R138" s="413" t="str">
        <f t="shared" si="33"/>
        <v>NSB.X120.AKL.AUF.BM001</v>
      </c>
      <c r="S138" s="419" t="str">
        <f t="shared" si="34"/>
        <v>PSDUS0202:NSB:X120:AKL:AUF:BM001:NAME</v>
      </c>
      <c r="T138" s="286"/>
      <c r="U138" s="287"/>
      <c r="V138" s="287"/>
      <c r="W138" s="287"/>
      <c r="X138" s="287"/>
      <c r="Y138" s="298"/>
      <c r="Z138" s="288"/>
      <c r="AA138" s="289">
        <f t="shared" si="36"/>
        <v>32</v>
      </c>
      <c r="AB138" s="290"/>
      <c r="AC138" s="291"/>
      <c r="AD138" s="292"/>
      <c r="AE138" s="293"/>
      <c r="AG138" s="295" t="s">
        <v>1301</v>
      </c>
    </row>
    <row r="139" spans="1:33" s="294" customFormat="1" x14ac:dyDescent="0.25">
      <c r="A139" s="487"/>
      <c r="B139" s="490"/>
      <c r="C139" s="493"/>
      <c r="D139" s="390">
        <v>9</v>
      </c>
      <c r="E139" s="399">
        <v>137</v>
      </c>
      <c r="F139" s="474" t="s">
        <v>1067</v>
      </c>
      <c r="G139" s="282" t="s">
        <v>1266</v>
      </c>
      <c r="H139" s="282" t="s">
        <v>1306</v>
      </c>
      <c r="I139" s="282" t="s">
        <v>1302</v>
      </c>
      <c r="J139" s="283" t="s">
        <v>1304</v>
      </c>
      <c r="K139" s="284" t="s">
        <v>1297</v>
      </c>
      <c r="L139" s="484" t="str">
        <f t="shared" si="23"/>
        <v>PSDUS0202:NSB:X120:AKL:ZU_:BM001</v>
      </c>
      <c r="M139" s="285"/>
      <c r="N139" s="402" t="str">
        <f t="shared" si="31"/>
        <v>IO.Slot8.DigitalInput9</v>
      </c>
      <c r="O139" s="286" t="str">
        <f t="shared" si="32"/>
        <v>F.</v>
      </c>
      <c r="P139" s="407" t="str">
        <f t="shared" si="35"/>
        <v>F.IO.Slot8.DigitalInput9</v>
      </c>
      <c r="Q139" s="286"/>
      <c r="R139" s="414" t="str">
        <f t="shared" si="33"/>
        <v>NSB.X120.AKL.ZU_.BM001</v>
      </c>
      <c r="S139" s="419" t="str">
        <f t="shared" si="34"/>
        <v>PSDUS0202:NSB:X120:AKL:ZU_:BM001:NAME</v>
      </c>
      <c r="T139" s="286"/>
      <c r="U139" s="287"/>
      <c r="V139" s="287"/>
      <c r="W139" s="287"/>
      <c r="X139" s="287"/>
      <c r="Y139" s="298"/>
      <c r="Z139" s="288"/>
      <c r="AA139" s="289">
        <f t="shared" si="36"/>
        <v>32</v>
      </c>
      <c r="AB139" s="290"/>
      <c r="AC139" s="291"/>
      <c r="AD139" s="292"/>
      <c r="AE139" s="293"/>
      <c r="AG139" s="295" t="s">
        <v>1301</v>
      </c>
    </row>
    <row r="140" spans="1:33" s="294" customFormat="1" x14ac:dyDescent="0.25">
      <c r="A140" s="487"/>
      <c r="B140" s="490"/>
      <c r="C140" s="493"/>
      <c r="D140" s="390">
        <v>10</v>
      </c>
      <c r="E140" s="399">
        <v>138</v>
      </c>
      <c r="F140" s="474" t="s">
        <v>1068</v>
      </c>
      <c r="G140" s="282" t="s">
        <v>1266</v>
      </c>
      <c r="H140" s="282" t="s">
        <v>1311</v>
      </c>
      <c r="I140" s="282" t="s">
        <v>1302</v>
      </c>
      <c r="J140" s="283" t="s">
        <v>1303</v>
      </c>
      <c r="K140" s="284" t="s">
        <v>1297</v>
      </c>
      <c r="L140" s="484" t="str">
        <f t="shared" si="23"/>
        <v>PSDUS0202:NSB:X122:AKL:AUF:BM001</v>
      </c>
      <c r="M140" s="285"/>
      <c r="N140" s="402" t="str">
        <f t="shared" si="31"/>
        <v>IO.Slot8.DigitalInput10</v>
      </c>
      <c r="O140" s="286" t="str">
        <f t="shared" si="32"/>
        <v>F.</v>
      </c>
      <c r="P140" s="406" t="str">
        <f t="shared" si="35"/>
        <v>F.IO.Slot8.DigitalInput10</v>
      </c>
      <c r="Q140" s="286"/>
      <c r="R140" s="413" t="str">
        <f t="shared" si="33"/>
        <v>NSB.X122.AKL.AUF.BM001</v>
      </c>
      <c r="S140" s="419" t="str">
        <f t="shared" si="34"/>
        <v>PSDUS0202:NSB:X122:AKL:AUF:BM001:NAME</v>
      </c>
      <c r="T140" s="286"/>
      <c r="U140" s="287"/>
      <c r="V140" s="287"/>
      <c r="W140" s="287"/>
      <c r="X140" s="287"/>
      <c r="Y140" s="298"/>
      <c r="Z140" s="288"/>
      <c r="AA140" s="289">
        <f t="shared" si="36"/>
        <v>32</v>
      </c>
      <c r="AB140" s="290"/>
      <c r="AC140" s="291"/>
      <c r="AD140" s="292"/>
      <c r="AE140" s="293"/>
      <c r="AG140" s="295" t="s">
        <v>1309</v>
      </c>
    </row>
    <row r="141" spans="1:33" s="294" customFormat="1" x14ac:dyDescent="0.25">
      <c r="A141" s="487"/>
      <c r="B141" s="490"/>
      <c r="C141" s="493"/>
      <c r="D141" s="390">
        <v>11</v>
      </c>
      <c r="E141" s="399">
        <v>139</v>
      </c>
      <c r="F141" s="474" t="s">
        <v>1069</v>
      </c>
      <c r="G141" s="282" t="s">
        <v>1266</v>
      </c>
      <c r="H141" s="282" t="s">
        <v>1311</v>
      </c>
      <c r="I141" s="282" t="s">
        <v>1302</v>
      </c>
      <c r="J141" s="283" t="s">
        <v>1304</v>
      </c>
      <c r="K141" s="284" t="s">
        <v>1297</v>
      </c>
      <c r="L141" s="484" t="str">
        <f t="shared" si="23"/>
        <v>PSDUS0202:NSB:X122:AKL:ZU_:BM001</v>
      </c>
      <c r="M141" s="285"/>
      <c r="N141" s="402" t="str">
        <f t="shared" si="31"/>
        <v>IO.Slot8.DigitalInput11</v>
      </c>
      <c r="O141" s="286" t="str">
        <f t="shared" si="32"/>
        <v>F.</v>
      </c>
      <c r="P141" s="406" t="str">
        <f t="shared" si="35"/>
        <v>F.IO.Slot8.DigitalInput11</v>
      </c>
      <c r="Q141" s="286"/>
      <c r="R141" s="413" t="str">
        <f t="shared" si="33"/>
        <v>NSB.X122.AKL.ZU_.BM001</v>
      </c>
      <c r="S141" s="419" t="str">
        <f t="shared" si="34"/>
        <v>PSDUS0202:NSB:X122:AKL:ZU_:BM001:NAME</v>
      </c>
      <c r="T141" s="286"/>
      <c r="U141" s="287"/>
      <c r="V141" s="287"/>
      <c r="W141" s="287"/>
      <c r="X141" s="298"/>
      <c r="Y141" s="298"/>
      <c r="Z141" s="288"/>
      <c r="AA141" s="289">
        <f t="shared" si="36"/>
        <v>32</v>
      </c>
      <c r="AB141" s="290"/>
      <c r="AC141" s="291"/>
      <c r="AD141" s="292"/>
      <c r="AE141" s="293"/>
      <c r="AG141" s="295" t="s">
        <v>1309</v>
      </c>
    </row>
    <row r="142" spans="1:33" s="294" customFormat="1" x14ac:dyDescent="0.25">
      <c r="A142" s="487"/>
      <c r="B142" s="490"/>
      <c r="C142" s="493"/>
      <c r="D142" s="390">
        <v>12</v>
      </c>
      <c r="E142" s="399">
        <v>140</v>
      </c>
      <c r="F142" s="474" t="s">
        <v>1070</v>
      </c>
      <c r="G142" s="282" t="s">
        <v>1266</v>
      </c>
      <c r="H142" s="282" t="s">
        <v>1312</v>
      </c>
      <c r="I142" s="282" t="s">
        <v>1302</v>
      </c>
      <c r="J142" s="283" t="s">
        <v>1303</v>
      </c>
      <c r="K142" s="284" t="s">
        <v>1297</v>
      </c>
      <c r="L142" s="484" t="str">
        <f t="shared" si="23"/>
        <v>PSDUS0202:NSB:X121:AKL:AUF:BM001</v>
      </c>
      <c r="M142" s="285"/>
      <c r="N142" s="402" t="str">
        <f t="shared" si="31"/>
        <v>IO.Slot8.DigitalInput12</v>
      </c>
      <c r="O142" s="286" t="str">
        <f t="shared" si="32"/>
        <v>F.</v>
      </c>
      <c r="P142" s="406" t="str">
        <f t="shared" si="35"/>
        <v>F.IO.Slot8.DigitalInput12</v>
      </c>
      <c r="Q142" s="286"/>
      <c r="R142" s="413" t="str">
        <f t="shared" si="33"/>
        <v>NSB.X121.AKL.AUF.BM001</v>
      </c>
      <c r="S142" s="419" t="str">
        <f t="shared" si="34"/>
        <v>PSDUS0202:NSB:X121:AKL:AUF:BM001:NAME</v>
      </c>
      <c r="T142" s="286"/>
      <c r="U142" s="287"/>
      <c r="V142" s="287"/>
      <c r="W142" s="287"/>
      <c r="X142" s="298"/>
      <c r="Y142" s="298"/>
      <c r="Z142" s="288"/>
      <c r="AA142" s="289">
        <f t="shared" si="36"/>
        <v>32</v>
      </c>
      <c r="AB142" s="290"/>
      <c r="AC142" s="291"/>
      <c r="AD142" s="292"/>
      <c r="AE142" s="293"/>
      <c r="AG142" s="295" t="s">
        <v>1310</v>
      </c>
    </row>
    <row r="143" spans="1:33" s="294" customFormat="1" x14ac:dyDescent="0.25">
      <c r="A143" s="487"/>
      <c r="B143" s="490"/>
      <c r="C143" s="493"/>
      <c r="D143" s="390">
        <v>13</v>
      </c>
      <c r="E143" s="399">
        <v>141</v>
      </c>
      <c r="F143" s="474" t="s">
        <v>1071</v>
      </c>
      <c r="G143" s="282" t="s">
        <v>1266</v>
      </c>
      <c r="H143" s="282" t="s">
        <v>1312</v>
      </c>
      <c r="I143" s="282" t="s">
        <v>1302</v>
      </c>
      <c r="J143" s="283" t="s">
        <v>1304</v>
      </c>
      <c r="K143" s="284" t="s">
        <v>1297</v>
      </c>
      <c r="L143" s="484" t="str">
        <f t="shared" si="23"/>
        <v>PSDUS0202:NSB:X121:AKL:ZU_:BM001</v>
      </c>
      <c r="M143" s="285"/>
      <c r="N143" s="402" t="str">
        <f t="shared" si="31"/>
        <v>IO.Slot8.DigitalInput13</v>
      </c>
      <c r="O143" s="286" t="str">
        <f t="shared" si="32"/>
        <v>F.</v>
      </c>
      <c r="P143" s="406" t="str">
        <f t="shared" si="35"/>
        <v>F.IO.Slot8.DigitalInput13</v>
      </c>
      <c r="Q143" s="286"/>
      <c r="R143" s="413" t="str">
        <f t="shared" si="33"/>
        <v>NSB.X121.AKL.ZU_.BM001</v>
      </c>
      <c r="S143" s="419" t="str">
        <f t="shared" si="34"/>
        <v>PSDUS0202:NSB:X121:AKL:ZU_:BM001:NAME</v>
      </c>
      <c r="T143" s="286"/>
      <c r="U143" s="287"/>
      <c r="V143" s="287"/>
      <c r="W143" s="287"/>
      <c r="X143" s="298"/>
      <c r="Y143" s="298"/>
      <c r="Z143" s="288"/>
      <c r="AA143" s="289">
        <f t="shared" si="36"/>
        <v>32</v>
      </c>
      <c r="AB143" s="290"/>
      <c r="AC143" s="291"/>
      <c r="AD143" s="292"/>
      <c r="AE143" s="293"/>
      <c r="AG143" s="295" t="s">
        <v>1310</v>
      </c>
    </row>
    <row r="144" spans="1:33" s="294" customFormat="1" x14ac:dyDescent="0.25">
      <c r="A144" s="487"/>
      <c r="B144" s="490"/>
      <c r="C144" s="493"/>
      <c r="D144" s="390">
        <v>14</v>
      </c>
      <c r="E144" s="399">
        <v>142</v>
      </c>
      <c r="F144" s="474" t="s">
        <v>1072</v>
      </c>
      <c r="G144" s="282" t="s">
        <v>1266</v>
      </c>
      <c r="H144" s="282" t="s">
        <v>1411</v>
      </c>
      <c r="I144" s="282" t="s">
        <v>1302</v>
      </c>
      <c r="J144" s="283" t="s">
        <v>1303</v>
      </c>
      <c r="K144" s="284" t="s">
        <v>1297</v>
      </c>
      <c r="L144" s="484" t="str">
        <f t="shared" si="23"/>
        <v>PSDUS0202:NSB:X138:AKL:AUF:BM001</v>
      </c>
      <c r="M144" s="285"/>
      <c r="N144" s="402" t="str">
        <f t="shared" si="31"/>
        <v>IO.Slot8.DigitalInput14</v>
      </c>
      <c r="O144" s="286" t="str">
        <f t="shared" si="32"/>
        <v>F.</v>
      </c>
      <c r="P144" s="406" t="str">
        <f t="shared" si="35"/>
        <v>F.IO.Slot8.DigitalInput14</v>
      </c>
      <c r="Q144" s="286"/>
      <c r="R144" s="413" t="str">
        <f t="shared" si="33"/>
        <v>NSB.X138.AKL.AUF.BM001</v>
      </c>
      <c r="S144" s="419" t="str">
        <f t="shared" si="34"/>
        <v>PSDUS0202:NSB:X138:AKL:AUF:BM001:NAME</v>
      </c>
      <c r="T144" s="286"/>
      <c r="U144" s="287"/>
      <c r="V144" s="287"/>
      <c r="W144" s="287"/>
      <c r="X144" s="287"/>
      <c r="Y144" s="298"/>
      <c r="Z144" s="288"/>
      <c r="AA144" s="289">
        <f t="shared" si="36"/>
        <v>32</v>
      </c>
      <c r="AB144" s="290"/>
      <c r="AC144" s="291"/>
      <c r="AD144" s="292"/>
      <c r="AE144" s="293"/>
      <c r="AG144" s="295" t="s">
        <v>1410</v>
      </c>
    </row>
    <row r="145" spans="1:33" s="294" customFormat="1" ht="15.75" thickBot="1" x14ac:dyDescent="0.3">
      <c r="A145" s="488"/>
      <c r="B145" s="491"/>
      <c r="C145" s="494"/>
      <c r="D145" s="390">
        <v>15</v>
      </c>
      <c r="E145" s="399">
        <v>143</v>
      </c>
      <c r="F145" s="474" t="s">
        <v>1073</v>
      </c>
      <c r="G145" s="282" t="s">
        <v>1266</v>
      </c>
      <c r="H145" s="283" t="s">
        <v>1411</v>
      </c>
      <c r="I145" s="282" t="s">
        <v>1302</v>
      </c>
      <c r="J145" s="283" t="s">
        <v>1304</v>
      </c>
      <c r="K145" s="284" t="s">
        <v>1297</v>
      </c>
      <c r="L145" s="484" t="str">
        <f t="shared" si="23"/>
        <v>PSDUS0202:NSB:X138:AKL:ZU_:BM001</v>
      </c>
      <c r="M145" s="285"/>
      <c r="N145" s="402" t="str">
        <f t="shared" si="31"/>
        <v>IO.Slot8.DigitalInput15</v>
      </c>
      <c r="O145" s="286" t="str">
        <f t="shared" si="32"/>
        <v>F.</v>
      </c>
      <c r="P145" s="407" t="str">
        <f t="shared" si="35"/>
        <v>F.IO.Slot8.DigitalInput15</v>
      </c>
      <c r="Q145" s="286"/>
      <c r="R145" s="414" t="str">
        <f t="shared" si="33"/>
        <v>NSB.X138.AKL.ZU_.BM001</v>
      </c>
      <c r="S145" s="419" t="str">
        <f t="shared" si="34"/>
        <v>PSDUS0202:NSB:X138:AKL:ZU_:BM001:NAME</v>
      </c>
      <c r="T145" s="286"/>
      <c r="U145" s="287"/>
      <c r="V145" s="287"/>
      <c r="W145" s="287"/>
      <c r="X145" s="287"/>
      <c r="Y145" s="298"/>
      <c r="Z145" s="288"/>
      <c r="AA145" s="289">
        <f t="shared" si="36"/>
        <v>32</v>
      </c>
      <c r="AB145" s="290"/>
      <c r="AC145" s="291"/>
      <c r="AD145" s="292"/>
      <c r="AE145" s="293"/>
      <c r="AG145" s="295" t="s">
        <v>1410</v>
      </c>
    </row>
    <row r="146" spans="1:33" s="279" customFormat="1" ht="14.45" customHeight="1" x14ac:dyDescent="0.25">
      <c r="A146" s="486" t="s">
        <v>1</v>
      </c>
      <c r="B146" s="489" t="str">
        <f>LOOKUP(A146,Module,IO)</f>
        <v>DigitalInput</v>
      </c>
      <c r="C146" s="492" t="s">
        <v>17</v>
      </c>
      <c r="D146" s="389" t="s">
        <v>160</v>
      </c>
      <c r="E146" s="398">
        <v>144</v>
      </c>
      <c r="F146" s="476" t="s">
        <v>1063</v>
      </c>
      <c r="G146" s="267"/>
      <c r="H146" s="267"/>
      <c r="I146" s="267"/>
      <c r="J146" s="268"/>
      <c r="K146" s="269"/>
      <c r="L146" s="483" t="str">
        <f t="shared" si="23"/>
        <v/>
      </c>
      <c r="M146" s="270"/>
      <c r="N146" s="401" t="str">
        <f t="shared" ref="N146:N161" si="37">IF(F146&lt;&gt;"",IF($H$1&lt;&gt;"","IO"&amp;".","IO.")&amp;$C$146&amp;"."&amp;$B$146&amp;D146,"")</f>
        <v>IO.Slot9.DigitalInput0</v>
      </c>
      <c r="O146" s="271" t="str">
        <f t="shared" ref="O146:O161" si="38">LOOKUP($A$146,Module,Type)</f>
        <v>F.</v>
      </c>
      <c r="P146" s="405" t="str">
        <f>O146&amp;N146</f>
        <v>F.IO.Slot9.DigitalInput0</v>
      </c>
      <c r="Q146" s="271"/>
      <c r="R146" s="415" t="str">
        <f t="shared" si="33"/>
        <v/>
      </c>
      <c r="S146" s="418" t="str">
        <f t="shared" si="34"/>
        <v>:NAME</v>
      </c>
      <c r="T146" s="271"/>
      <c r="U146" s="272"/>
      <c r="V146" s="272"/>
      <c r="W146" s="272"/>
      <c r="X146" s="272"/>
      <c r="Y146" s="297"/>
      <c r="Z146" s="273"/>
      <c r="AA146" s="274">
        <f t="shared" si="36"/>
        <v>0</v>
      </c>
      <c r="AB146" s="275"/>
      <c r="AC146" s="276"/>
      <c r="AD146" s="277"/>
      <c r="AE146" s="278"/>
      <c r="AG146" s="280"/>
    </row>
    <row r="147" spans="1:33" s="294" customFormat="1" x14ac:dyDescent="0.25">
      <c r="A147" s="487"/>
      <c r="B147" s="490"/>
      <c r="C147" s="493"/>
      <c r="D147" s="390">
        <v>1</v>
      </c>
      <c r="E147" s="399">
        <v>145</v>
      </c>
      <c r="F147" s="474" t="s">
        <v>1063</v>
      </c>
      <c r="G147" s="282"/>
      <c r="H147" s="282"/>
      <c r="I147" s="282"/>
      <c r="J147" s="283"/>
      <c r="K147" s="284"/>
      <c r="L147" s="484" t="str">
        <f t="shared" ref="L147:L210" si="39">IF(G147&lt;&gt;"",$G$1&amp;":"&amp;G147&amp;":"&amp;H147&amp;":"&amp;I147&amp;":"&amp;(IF(K147&lt;&gt;"",J147&amp;":"&amp;K147,J147)),"")</f>
        <v/>
      </c>
      <c r="M147" s="285"/>
      <c r="N147" s="402" t="str">
        <f t="shared" si="37"/>
        <v>IO.Slot9.DigitalInput1</v>
      </c>
      <c r="O147" s="286" t="str">
        <f t="shared" si="38"/>
        <v>F.</v>
      </c>
      <c r="P147" s="406" t="str">
        <f t="shared" ref="P147:P161" si="40">O147&amp;N147</f>
        <v>F.IO.Slot9.DigitalInput1</v>
      </c>
      <c r="Q147" s="286"/>
      <c r="R147" s="413" t="str">
        <f t="shared" si="33"/>
        <v/>
      </c>
      <c r="S147" s="419" t="str">
        <f t="shared" si="34"/>
        <v>:NAME</v>
      </c>
      <c r="T147" s="286"/>
      <c r="U147" s="287"/>
      <c r="V147" s="287"/>
      <c r="W147" s="287"/>
      <c r="X147" s="287"/>
      <c r="Y147" s="298"/>
      <c r="Z147" s="288"/>
      <c r="AA147" s="289">
        <f t="shared" si="36"/>
        <v>0</v>
      </c>
      <c r="AB147" s="290"/>
      <c r="AC147" s="291"/>
      <c r="AD147" s="292"/>
      <c r="AE147" s="293"/>
      <c r="AG147" s="295"/>
    </row>
    <row r="148" spans="1:33" s="294" customFormat="1" x14ac:dyDescent="0.25">
      <c r="A148" s="487"/>
      <c r="B148" s="490"/>
      <c r="C148" s="493"/>
      <c r="D148" s="390">
        <v>2</v>
      </c>
      <c r="E148" s="399">
        <v>146</v>
      </c>
      <c r="F148" s="474" t="s">
        <v>1063</v>
      </c>
      <c r="G148" s="282"/>
      <c r="H148" s="282"/>
      <c r="I148" s="282"/>
      <c r="J148" s="283"/>
      <c r="K148" s="284"/>
      <c r="L148" s="484" t="str">
        <f t="shared" si="39"/>
        <v/>
      </c>
      <c r="M148" s="285"/>
      <c r="N148" s="402" t="str">
        <f t="shared" si="37"/>
        <v>IO.Slot9.DigitalInput2</v>
      </c>
      <c r="O148" s="286" t="str">
        <f t="shared" si="38"/>
        <v>F.</v>
      </c>
      <c r="P148" s="406" t="str">
        <f t="shared" si="40"/>
        <v>F.IO.Slot9.DigitalInput2</v>
      </c>
      <c r="Q148" s="286"/>
      <c r="R148" s="413" t="str">
        <f t="shared" si="33"/>
        <v/>
      </c>
      <c r="S148" s="419" t="str">
        <f t="shared" si="34"/>
        <v>:NAME</v>
      </c>
      <c r="T148" s="286"/>
      <c r="U148" s="287"/>
      <c r="V148" s="287"/>
      <c r="W148" s="287"/>
      <c r="X148" s="298"/>
      <c r="Y148" s="298"/>
      <c r="Z148" s="288"/>
      <c r="AA148" s="289">
        <f t="shared" si="36"/>
        <v>0</v>
      </c>
      <c r="AB148" s="290"/>
      <c r="AC148" s="291"/>
      <c r="AD148" s="292"/>
      <c r="AE148" s="293"/>
      <c r="AG148" s="295"/>
    </row>
    <row r="149" spans="1:33" s="294" customFormat="1" x14ac:dyDescent="0.25">
      <c r="A149" s="487"/>
      <c r="B149" s="490"/>
      <c r="C149" s="493"/>
      <c r="D149" s="390">
        <v>3</v>
      </c>
      <c r="E149" s="399">
        <v>147</v>
      </c>
      <c r="F149" s="474" t="s">
        <v>1063</v>
      </c>
      <c r="G149" s="282"/>
      <c r="H149" s="283"/>
      <c r="I149" s="282"/>
      <c r="J149" s="283"/>
      <c r="K149" s="284"/>
      <c r="L149" s="484" t="str">
        <f t="shared" si="39"/>
        <v/>
      </c>
      <c r="M149" s="285"/>
      <c r="N149" s="402" t="str">
        <f t="shared" si="37"/>
        <v>IO.Slot9.DigitalInput3</v>
      </c>
      <c r="O149" s="307" t="str">
        <f t="shared" si="38"/>
        <v>F.</v>
      </c>
      <c r="P149" s="407" t="str">
        <f t="shared" si="40"/>
        <v>F.IO.Slot9.DigitalInput3</v>
      </c>
      <c r="Q149" s="307"/>
      <c r="R149" s="413" t="str">
        <f t="shared" si="33"/>
        <v/>
      </c>
      <c r="S149" s="420" t="str">
        <f t="shared" si="34"/>
        <v>:NAME</v>
      </c>
      <c r="T149" s="286"/>
      <c r="U149" s="287"/>
      <c r="V149" s="287"/>
      <c r="W149" s="287"/>
      <c r="X149" s="287"/>
      <c r="Y149" s="298"/>
      <c r="Z149" s="288"/>
      <c r="AA149" s="289">
        <f t="shared" si="36"/>
        <v>0</v>
      </c>
      <c r="AB149" s="290"/>
      <c r="AC149" s="291"/>
      <c r="AD149" s="292"/>
      <c r="AE149" s="293"/>
      <c r="AG149" s="295"/>
    </row>
    <row r="150" spans="1:33" s="294" customFormat="1" x14ac:dyDescent="0.25">
      <c r="A150" s="487"/>
      <c r="B150" s="490"/>
      <c r="C150" s="493"/>
      <c r="D150" s="390">
        <v>4</v>
      </c>
      <c r="E150" s="399">
        <v>148</v>
      </c>
      <c r="F150" s="474" t="s">
        <v>1074</v>
      </c>
      <c r="G150" s="282" t="s">
        <v>1266</v>
      </c>
      <c r="H150" s="283" t="s">
        <v>1381</v>
      </c>
      <c r="I150" s="282" t="s">
        <v>1302</v>
      </c>
      <c r="J150" s="283" t="s">
        <v>1303</v>
      </c>
      <c r="K150" s="284" t="s">
        <v>1297</v>
      </c>
      <c r="L150" s="484" t="str">
        <f t="shared" si="39"/>
        <v>PSDUS0202:NSB:X102:AKL:AUF:BM001</v>
      </c>
      <c r="M150" s="285"/>
      <c r="N150" s="402" t="str">
        <f t="shared" si="37"/>
        <v>IO.Slot9.DigitalInput4</v>
      </c>
      <c r="O150" s="286" t="str">
        <f t="shared" si="38"/>
        <v>F.</v>
      </c>
      <c r="P150" s="406" t="str">
        <f t="shared" si="40"/>
        <v>F.IO.Slot9.DigitalInput4</v>
      </c>
      <c r="Q150" s="286"/>
      <c r="R150" s="413" t="str">
        <f t="shared" si="33"/>
        <v>NSB.X102.AKL.AUF.BM001</v>
      </c>
      <c r="S150" s="419" t="str">
        <f t="shared" si="34"/>
        <v>PSDUS0202:NSB:X102:AKL:AUF:BM001:NAME</v>
      </c>
      <c r="T150" s="286"/>
      <c r="U150" s="287"/>
      <c r="V150" s="287"/>
      <c r="W150" s="287"/>
      <c r="X150" s="287"/>
      <c r="Y150" s="298"/>
      <c r="Z150" s="288"/>
      <c r="AA150" s="289">
        <f t="shared" si="36"/>
        <v>32</v>
      </c>
      <c r="AB150" s="290"/>
      <c r="AC150" s="291"/>
      <c r="AD150" s="292"/>
      <c r="AE150" s="293"/>
      <c r="AG150" s="295" t="s">
        <v>1383</v>
      </c>
    </row>
    <row r="151" spans="1:33" s="294" customFormat="1" x14ac:dyDescent="0.25">
      <c r="A151" s="487"/>
      <c r="B151" s="490"/>
      <c r="C151" s="493"/>
      <c r="D151" s="390">
        <v>5</v>
      </c>
      <c r="E151" s="399">
        <v>149</v>
      </c>
      <c r="F151" s="474" t="s">
        <v>1075</v>
      </c>
      <c r="G151" s="282" t="s">
        <v>1266</v>
      </c>
      <c r="H151" s="283" t="s">
        <v>1381</v>
      </c>
      <c r="I151" s="282" t="s">
        <v>1302</v>
      </c>
      <c r="J151" s="283" t="s">
        <v>1304</v>
      </c>
      <c r="K151" s="284" t="s">
        <v>1297</v>
      </c>
      <c r="L151" s="484" t="str">
        <f t="shared" si="39"/>
        <v>PSDUS0202:NSB:X102:AKL:ZU_:BM001</v>
      </c>
      <c r="M151" s="285"/>
      <c r="N151" s="402" t="str">
        <f t="shared" si="37"/>
        <v>IO.Slot9.DigitalInput5</v>
      </c>
      <c r="O151" s="286" t="str">
        <f t="shared" si="38"/>
        <v>F.</v>
      </c>
      <c r="P151" s="406" t="str">
        <f t="shared" si="40"/>
        <v>F.IO.Slot9.DigitalInput5</v>
      </c>
      <c r="Q151" s="286"/>
      <c r="R151" s="413" t="str">
        <f t="shared" si="33"/>
        <v>NSB.X102.AKL.ZU_.BM001</v>
      </c>
      <c r="S151" s="419" t="str">
        <f t="shared" si="34"/>
        <v>PSDUS0202:NSB:X102:AKL:ZU_:BM001:NAME</v>
      </c>
      <c r="T151" s="286"/>
      <c r="U151" s="287"/>
      <c r="V151" s="287"/>
      <c r="W151" s="287"/>
      <c r="X151" s="287"/>
      <c r="Y151" s="298"/>
      <c r="Z151" s="288"/>
      <c r="AA151" s="289">
        <f t="shared" si="36"/>
        <v>32</v>
      </c>
      <c r="AB151" s="290"/>
      <c r="AC151" s="291"/>
      <c r="AD151" s="292"/>
      <c r="AE151" s="293"/>
      <c r="AG151" s="295" t="s">
        <v>1383</v>
      </c>
    </row>
    <row r="152" spans="1:33" s="294" customFormat="1" x14ac:dyDescent="0.25">
      <c r="A152" s="487"/>
      <c r="B152" s="490"/>
      <c r="C152" s="493"/>
      <c r="D152" s="390">
        <v>6</v>
      </c>
      <c r="E152" s="399">
        <v>150</v>
      </c>
      <c r="F152" s="474" t="s">
        <v>1076</v>
      </c>
      <c r="G152" s="282" t="s">
        <v>1266</v>
      </c>
      <c r="H152" s="283" t="s">
        <v>1385</v>
      </c>
      <c r="I152" s="282" t="s">
        <v>1302</v>
      </c>
      <c r="J152" s="283" t="s">
        <v>1303</v>
      </c>
      <c r="K152" s="284" t="s">
        <v>1297</v>
      </c>
      <c r="L152" s="484" t="str">
        <f t="shared" si="39"/>
        <v>PSDUS0202:NSB:X106:AKL:AUF:BM001</v>
      </c>
      <c r="M152" s="285"/>
      <c r="N152" s="402" t="str">
        <f t="shared" si="37"/>
        <v>IO.Slot9.DigitalInput6</v>
      </c>
      <c r="O152" s="286" t="str">
        <f t="shared" si="38"/>
        <v>F.</v>
      </c>
      <c r="P152" s="406" t="str">
        <f t="shared" si="40"/>
        <v>F.IO.Slot9.DigitalInput6</v>
      </c>
      <c r="Q152" s="286"/>
      <c r="R152" s="413" t="str">
        <f t="shared" si="33"/>
        <v>NSB.X106.AKL.AUF.BM001</v>
      </c>
      <c r="S152" s="419" t="str">
        <f t="shared" si="34"/>
        <v>PSDUS0202:NSB:X106:AKL:AUF:BM001:NAME</v>
      </c>
      <c r="T152" s="286"/>
      <c r="U152" s="287"/>
      <c r="V152" s="287"/>
      <c r="W152" s="287"/>
      <c r="X152" s="287"/>
      <c r="Y152" s="298"/>
      <c r="Z152" s="288"/>
      <c r="AA152" s="289">
        <f t="shared" si="36"/>
        <v>32</v>
      </c>
      <c r="AB152" s="290"/>
      <c r="AC152" s="291"/>
      <c r="AD152" s="292"/>
      <c r="AE152" s="293"/>
      <c r="AG152" s="295" t="s">
        <v>1387</v>
      </c>
    </row>
    <row r="153" spans="1:33" s="294" customFormat="1" x14ac:dyDescent="0.25">
      <c r="A153" s="487"/>
      <c r="B153" s="490"/>
      <c r="C153" s="493"/>
      <c r="D153" s="390">
        <v>7</v>
      </c>
      <c r="E153" s="399">
        <v>151</v>
      </c>
      <c r="F153" s="474" t="s">
        <v>1077</v>
      </c>
      <c r="G153" s="282" t="s">
        <v>1266</v>
      </c>
      <c r="H153" s="283" t="s">
        <v>1385</v>
      </c>
      <c r="I153" s="282" t="s">
        <v>1302</v>
      </c>
      <c r="J153" s="283" t="s">
        <v>1304</v>
      </c>
      <c r="K153" s="284" t="s">
        <v>1297</v>
      </c>
      <c r="L153" s="484" t="str">
        <f t="shared" si="39"/>
        <v>PSDUS0202:NSB:X106:AKL:ZU_:BM001</v>
      </c>
      <c r="M153" s="308"/>
      <c r="N153" s="402" t="str">
        <f t="shared" si="37"/>
        <v>IO.Slot9.DigitalInput7</v>
      </c>
      <c r="O153" s="286" t="str">
        <f t="shared" si="38"/>
        <v>F.</v>
      </c>
      <c r="P153" s="406" t="str">
        <f t="shared" si="40"/>
        <v>F.IO.Slot9.DigitalInput7</v>
      </c>
      <c r="Q153" s="309"/>
      <c r="R153" s="413" t="str">
        <f t="shared" si="33"/>
        <v>NSB.X106.AKL.ZU_.BM001</v>
      </c>
      <c r="S153" s="419" t="str">
        <f t="shared" si="34"/>
        <v>PSDUS0202:NSB:X106:AKL:ZU_:BM001:NAME</v>
      </c>
      <c r="T153" s="286"/>
      <c r="U153" s="287"/>
      <c r="V153" s="287"/>
      <c r="W153" s="287"/>
      <c r="X153" s="287"/>
      <c r="Y153" s="298"/>
      <c r="Z153" s="288"/>
      <c r="AA153" s="289">
        <f t="shared" si="36"/>
        <v>32</v>
      </c>
      <c r="AB153" s="290"/>
      <c r="AC153" s="291"/>
      <c r="AD153" s="292"/>
      <c r="AE153" s="293"/>
      <c r="AG153" s="295" t="s">
        <v>1387</v>
      </c>
    </row>
    <row r="154" spans="1:33" s="294" customFormat="1" x14ac:dyDescent="0.25">
      <c r="A154" s="487"/>
      <c r="B154" s="490"/>
      <c r="C154" s="493"/>
      <c r="D154" s="390">
        <v>8</v>
      </c>
      <c r="E154" s="399">
        <v>152</v>
      </c>
      <c r="F154" s="474" t="s">
        <v>1078</v>
      </c>
      <c r="G154" s="282" t="s">
        <v>1266</v>
      </c>
      <c r="H154" s="283" t="s">
        <v>1389</v>
      </c>
      <c r="I154" s="282" t="s">
        <v>1302</v>
      </c>
      <c r="J154" s="283" t="s">
        <v>1303</v>
      </c>
      <c r="K154" s="284" t="s">
        <v>1297</v>
      </c>
      <c r="L154" s="484" t="str">
        <f t="shared" si="39"/>
        <v>PSDUS0202:NSB:X104:AKL:AUF:BM001</v>
      </c>
      <c r="M154" s="308"/>
      <c r="N154" s="402" t="str">
        <f t="shared" si="37"/>
        <v>IO.Slot9.DigitalInput8</v>
      </c>
      <c r="O154" s="286" t="str">
        <f t="shared" si="38"/>
        <v>F.</v>
      </c>
      <c r="P154" s="406" t="str">
        <f t="shared" si="40"/>
        <v>F.IO.Slot9.DigitalInput8</v>
      </c>
      <c r="Q154" s="309"/>
      <c r="R154" s="413" t="str">
        <f t="shared" si="33"/>
        <v>NSB.X104.AKL.AUF.BM001</v>
      </c>
      <c r="S154" s="419" t="str">
        <f t="shared" si="34"/>
        <v>PSDUS0202:NSB:X104:AKL:AUF:BM001:NAME</v>
      </c>
      <c r="T154" s="286"/>
      <c r="U154" s="287"/>
      <c r="V154" s="287"/>
      <c r="W154" s="287"/>
      <c r="X154" s="287"/>
      <c r="Y154" s="298"/>
      <c r="Z154" s="288"/>
      <c r="AA154" s="289">
        <f t="shared" si="36"/>
        <v>32</v>
      </c>
      <c r="AB154" s="290"/>
      <c r="AC154" s="291"/>
      <c r="AD154" s="292"/>
      <c r="AE154" s="293"/>
      <c r="AG154" s="295" t="s">
        <v>1391</v>
      </c>
    </row>
    <row r="155" spans="1:33" s="294" customFormat="1" x14ac:dyDescent="0.25">
      <c r="A155" s="487"/>
      <c r="B155" s="490"/>
      <c r="C155" s="493"/>
      <c r="D155" s="390">
        <v>9</v>
      </c>
      <c r="E155" s="399">
        <v>153</v>
      </c>
      <c r="F155" s="474" t="s">
        <v>1079</v>
      </c>
      <c r="G155" s="282" t="s">
        <v>1266</v>
      </c>
      <c r="H155" s="283" t="s">
        <v>1389</v>
      </c>
      <c r="I155" s="282" t="s">
        <v>1302</v>
      </c>
      <c r="J155" s="283" t="s">
        <v>1304</v>
      </c>
      <c r="K155" s="284" t="s">
        <v>1297</v>
      </c>
      <c r="L155" s="484" t="str">
        <f t="shared" si="39"/>
        <v>PSDUS0202:NSB:X104:AKL:ZU_:BM001</v>
      </c>
      <c r="M155" s="285"/>
      <c r="N155" s="402" t="str">
        <f t="shared" si="37"/>
        <v>IO.Slot9.DigitalInput9</v>
      </c>
      <c r="O155" s="286" t="str">
        <f t="shared" si="38"/>
        <v>F.</v>
      </c>
      <c r="P155" s="406" t="str">
        <f t="shared" si="40"/>
        <v>F.IO.Slot9.DigitalInput9</v>
      </c>
      <c r="Q155" s="286"/>
      <c r="R155" s="413" t="str">
        <f t="shared" si="33"/>
        <v>NSB.X104.AKL.ZU_.BM001</v>
      </c>
      <c r="S155" s="419" t="str">
        <f t="shared" si="34"/>
        <v>PSDUS0202:NSB:X104:AKL:ZU_:BM001:NAME</v>
      </c>
      <c r="T155" s="286"/>
      <c r="U155" s="287"/>
      <c r="V155" s="287"/>
      <c r="W155" s="287"/>
      <c r="X155" s="287"/>
      <c r="Y155" s="298"/>
      <c r="Z155" s="288"/>
      <c r="AA155" s="289">
        <f t="shared" si="36"/>
        <v>32</v>
      </c>
      <c r="AB155" s="290"/>
      <c r="AC155" s="291"/>
      <c r="AD155" s="292"/>
      <c r="AE155" s="293"/>
      <c r="AG155" s="295" t="s">
        <v>1391</v>
      </c>
    </row>
    <row r="156" spans="1:33" s="294" customFormat="1" x14ac:dyDescent="0.25">
      <c r="A156" s="487"/>
      <c r="B156" s="490"/>
      <c r="C156" s="493"/>
      <c r="D156" s="390">
        <v>10</v>
      </c>
      <c r="E156" s="399">
        <v>154</v>
      </c>
      <c r="F156" s="474" t="s">
        <v>1080</v>
      </c>
      <c r="G156" s="282" t="s">
        <v>1266</v>
      </c>
      <c r="H156" s="283" t="s">
        <v>1412</v>
      </c>
      <c r="I156" s="282" t="s">
        <v>1302</v>
      </c>
      <c r="J156" s="283" t="s">
        <v>1303</v>
      </c>
      <c r="K156" s="284" t="s">
        <v>1297</v>
      </c>
      <c r="L156" s="484" t="str">
        <f t="shared" si="39"/>
        <v>PSDUS0202:NSB:X101:AKL:AUF:BM001</v>
      </c>
      <c r="M156" s="285"/>
      <c r="N156" s="402" t="str">
        <f t="shared" si="37"/>
        <v>IO.Slot9.DigitalInput10</v>
      </c>
      <c r="O156" s="286" t="str">
        <f t="shared" si="38"/>
        <v>F.</v>
      </c>
      <c r="P156" s="406" t="str">
        <f t="shared" si="40"/>
        <v>F.IO.Slot9.DigitalInput10</v>
      </c>
      <c r="Q156" s="286"/>
      <c r="R156" s="413" t="str">
        <f t="shared" si="33"/>
        <v>NSB.X101.AKL.AUF.BM001</v>
      </c>
      <c r="S156" s="419" t="str">
        <f t="shared" si="34"/>
        <v>PSDUS0202:NSB:X101:AKL:AUF:BM001:NAME</v>
      </c>
      <c r="T156" s="286"/>
      <c r="U156" s="287"/>
      <c r="V156" s="287"/>
      <c r="W156" s="287"/>
      <c r="X156" s="287"/>
      <c r="Y156" s="298"/>
      <c r="Z156" s="288"/>
      <c r="AA156" s="289">
        <f t="shared" si="36"/>
        <v>32</v>
      </c>
      <c r="AB156" s="290"/>
      <c r="AC156" s="291"/>
      <c r="AD156" s="292"/>
      <c r="AE156" s="293"/>
      <c r="AG156" s="295" t="s">
        <v>1414</v>
      </c>
    </row>
    <row r="157" spans="1:33" s="294" customFormat="1" x14ac:dyDescent="0.25">
      <c r="A157" s="487"/>
      <c r="B157" s="490"/>
      <c r="C157" s="493"/>
      <c r="D157" s="390">
        <v>11</v>
      </c>
      <c r="E157" s="399">
        <v>155</v>
      </c>
      <c r="F157" s="474" t="s">
        <v>1081</v>
      </c>
      <c r="G157" s="282" t="s">
        <v>1266</v>
      </c>
      <c r="H157" s="304" t="s">
        <v>1412</v>
      </c>
      <c r="I157" s="282" t="s">
        <v>1302</v>
      </c>
      <c r="J157" s="283" t="s">
        <v>1304</v>
      </c>
      <c r="K157" s="284" t="s">
        <v>1297</v>
      </c>
      <c r="L157" s="484" t="str">
        <f t="shared" si="39"/>
        <v>PSDUS0202:NSB:X101:AKL:ZU_:BM001</v>
      </c>
      <c r="M157" s="285"/>
      <c r="N157" s="402" t="str">
        <f t="shared" si="37"/>
        <v>IO.Slot9.DigitalInput11</v>
      </c>
      <c r="O157" s="286" t="str">
        <f t="shared" si="38"/>
        <v>F.</v>
      </c>
      <c r="P157" s="406" t="str">
        <f t="shared" si="40"/>
        <v>F.IO.Slot9.DigitalInput11</v>
      </c>
      <c r="Q157" s="286"/>
      <c r="R157" s="413" t="str">
        <f t="shared" si="33"/>
        <v>NSB.X101.AKL.ZU_.BM001</v>
      </c>
      <c r="S157" s="419" t="str">
        <f t="shared" si="34"/>
        <v>PSDUS0202:NSB:X101:AKL:ZU_:BM001:NAME</v>
      </c>
      <c r="T157" s="286"/>
      <c r="U157" s="287"/>
      <c r="V157" s="287"/>
      <c r="W157" s="287"/>
      <c r="X157" s="287"/>
      <c r="Y157" s="298"/>
      <c r="Z157" s="288"/>
      <c r="AA157" s="289">
        <f t="shared" si="36"/>
        <v>32</v>
      </c>
      <c r="AB157" s="290"/>
      <c r="AC157" s="291"/>
      <c r="AD157" s="292"/>
      <c r="AE157" s="293"/>
      <c r="AG157" s="295" t="s">
        <v>1414</v>
      </c>
    </row>
    <row r="158" spans="1:33" s="294" customFormat="1" x14ac:dyDescent="0.25">
      <c r="A158" s="487"/>
      <c r="B158" s="490"/>
      <c r="C158" s="493"/>
      <c r="D158" s="390">
        <v>12</v>
      </c>
      <c r="E158" s="399">
        <v>156</v>
      </c>
      <c r="F158" s="474" t="s">
        <v>1082</v>
      </c>
      <c r="G158" s="282" t="s">
        <v>1266</v>
      </c>
      <c r="H158" s="283" t="s">
        <v>1416</v>
      </c>
      <c r="I158" s="282" t="s">
        <v>1302</v>
      </c>
      <c r="J158" s="283" t="s">
        <v>1303</v>
      </c>
      <c r="K158" s="284" t="s">
        <v>1297</v>
      </c>
      <c r="L158" s="484" t="str">
        <f t="shared" si="39"/>
        <v>PSDUS0202:NSB:X105:AKL:AUF:BM001</v>
      </c>
      <c r="M158" s="285"/>
      <c r="N158" s="402" t="str">
        <f t="shared" si="37"/>
        <v>IO.Slot9.DigitalInput12</v>
      </c>
      <c r="O158" s="286" t="str">
        <f t="shared" si="38"/>
        <v>F.</v>
      </c>
      <c r="P158" s="406" t="str">
        <f t="shared" si="40"/>
        <v>F.IO.Slot9.DigitalInput12</v>
      </c>
      <c r="Q158" s="286"/>
      <c r="R158" s="413" t="str">
        <f t="shared" si="33"/>
        <v>NSB.X105.AKL.AUF.BM001</v>
      </c>
      <c r="S158" s="419" t="str">
        <f t="shared" si="34"/>
        <v>PSDUS0202:NSB:X105:AKL:AUF:BM001:NAME</v>
      </c>
      <c r="T158" s="286"/>
      <c r="U158" s="287"/>
      <c r="V158" s="287"/>
      <c r="W158" s="287"/>
      <c r="X158" s="287"/>
      <c r="Y158" s="298"/>
      <c r="Z158" s="288"/>
      <c r="AA158" s="289">
        <f t="shared" si="36"/>
        <v>32</v>
      </c>
      <c r="AB158" s="290"/>
      <c r="AC158" s="291"/>
      <c r="AD158" s="292"/>
      <c r="AE158" s="293"/>
      <c r="AG158" s="295" t="s">
        <v>1418</v>
      </c>
    </row>
    <row r="159" spans="1:33" s="294" customFormat="1" x14ac:dyDescent="0.25">
      <c r="A159" s="487"/>
      <c r="B159" s="490"/>
      <c r="C159" s="493"/>
      <c r="D159" s="390">
        <v>13</v>
      </c>
      <c r="E159" s="399">
        <v>157</v>
      </c>
      <c r="F159" s="474" t="s">
        <v>1083</v>
      </c>
      <c r="G159" s="282" t="s">
        <v>1266</v>
      </c>
      <c r="H159" s="283" t="s">
        <v>1416</v>
      </c>
      <c r="I159" s="282" t="s">
        <v>1302</v>
      </c>
      <c r="J159" s="283" t="s">
        <v>1304</v>
      </c>
      <c r="K159" s="284" t="s">
        <v>1297</v>
      </c>
      <c r="L159" s="484" t="str">
        <f t="shared" si="39"/>
        <v>PSDUS0202:NSB:X105:AKL:ZU_:BM001</v>
      </c>
      <c r="M159" s="285"/>
      <c r="N159" s="402" t="str">
        <f t="shared" si="37"/>
        <v>IO.Slot9.DigitalInput13</v>
      </c>
      <c r="O159" s="286" t="str">
        <f t="shared" si="38"/>
        <v>F.</v>
      </c>
      <c r="P159" s="406" t="str">
        <f t="shared" si="40"/>
        <v>F.IO.Slot9.DigitalInput13</v>
      </c>
      <c r="Q159" s="286"/>
      <c r="R159" s="413" t="str">
        <f t="shared" si="33"/>
        <v>NSB.X105.AKL.ZU_.BM001</v>
      </c>
      <c r="S159" s="419" t="str">
        <f t="shared" si="34"/>
        <v>PSDUS0202:NSB:X105:AKL:ZU_:BM001:NAME</v>
      </c>
      <c r="T159" s="286"/>
      <c r="U159" s="287"/>
      <c r="V159" s="287"/>
      <c r="W159" s="287"/>
      <c r="X159" s="287"/>
      <c r="Y159" s="298"/>
      <c r="Z159" s="288"/>
      <c r="AA159" s="289">
        <f t="shared" si="36"/>
        <v>32</v>
      </c>
      <c r="AB159" s="290"/>
      <c r="AC159" s="291"/>
      <c r="AD159" s="292"/>
      <c r="AE159" s="293"/>
      <c r="AG159" s="295" t="s">
        <v>1418</v>
      </c>
    </row>
    <row r="160" spans="1:33" s="294" customFormat="1" x14ac:dyDescent="0.25">
      <c r="A160" s="487"/>
      <c r="B160" s="490"/>
      <c r="C160" s="493"/>
      <c r="D160" s="390">
        <v>14</v>
      </c>
      <c r="E160" s="399">
        <v>158</v>
      </c>
      <c r="F160" s="474" t="s">
        <v>1084</v>
      </c>
      <c r="G160" s="282" t="s">
        <v>1266</v>
      </c>
      <c r="H160" s="283" t="s">
        <v>1421</v>
      </c>
      <c r="I160" s="282" t="s">
        <v>1302</v>
      </c>
      <c r="J160" s="283" t="s">
        <v>1303</v>
      </c>
      <c r="K160" s="284" t="s">
        <v>1297</v>
      </c>
      <c r="L160" s="484" t="str">
        <f t="shared" si="39"/>
        <v>PSDUS0202:NSB:X103:AKL:AUF:BM001</v>
      </c>
      <c r="M160" s="285"/>
      <c r="N160" s="402" t="str">
        <f t="shared" si="37"/>
        <v>IO.Slot9.DigitalInput14</v>
      </c>
      <c r="O160" s="286" t="str">
        <f t="shared" si="38"/>
        <v>F.</v>
      </c>
      <c r="P160" s="406" t="str">
        <f t="shared" si="40"/>
        <v>F.IO.Slot9.DigitalInput14</v>
      </c>
      <c r="Q160" s="286"/>
      <c r="R160" s="413" t="str">
        <f t="shared" si="33"/>
        <v>NSB.X103.AKL.AUF.BM001</v>
      </c>
      <c r="S160" s="419" t="str">
        <f t="shared" si="34"/>
        <v>PSDUS0202:NSB:X103:AKL:AUF:BM001:NAME</v>
      </c>
      <c r="T160" s="286"/>
      <c r="U160" s="287"/>
      <c r="V160" s="287"/>
      <c r="W160" s="287"/>
      <c r="X160" s="287"/>
      <c r="Y160" s="298"/>
      <c r="Z160" s="288"/>
      <c r="AA160" s="289">
        <f t="shared" si="36"/>
        <v>32</v>
      </c>
      <c r="AB160" s="290"/>
      <c r="AC160" s="291"/>
      <c r="AD160" s="292"/>
      <c r="AE160" s="293"/>
      <c r="AG160" s="295" t="s">
        <v>1423</v>
      </c>
    </row>
    <row r="161" spans="1:33" s="294" customFormat="1" ht="15.75" thickBot="1" x14ac:dyDescent="0.3">
      <c r="A161" s="488"/>
      <c r="B161" s="491"/>
      <c r="C161" s="494"/>
      <c r="D161" s="390">
        <v>15</v>
      </c>
      <c r="E161" s="399">
        <v>159</v>
      </c>
      <c r="F161" s="474" t="s">
        <v>1085</v>
      </c>
      <c r="G161" s="282" t="s">
        <v>1266</v>
      </c>
      <c r="H161" s="283" t="s">
        <v>1421</v>
      </c>
      <c r="I161" s="283" t="s">
        <v>1302</v>
      </c>
      <c r="J161" s="283" t="s">
        <v>1304</v>
      </c>
      <c r="K161" s="284" t="s">
        <v>1297</v>
      </c>
      <c r="L161" s="484" t="str">
        <f t="shared" si="39"/>
        <v>PSDUS0202:NSB:X103:AKL:ZU_:BM001</v>
      </c>
      <c r="M161" s="285"/>
      <c r="N161" s="402" t="str">
        <f t="shared" si="37"/>
        <v>IO.Slot9.DigitalInput15</v>
      </c>
      <c r="O161" s="286" t="str">
        <f t="shared" si="38"/>
        <v>F.</v>
      </c>
      <c r="P161" s="406" t="str">
        <f t="shared" si="40"/>
        <v>F.IO.Slot9.DigitalInput15</v>
      </c>
      <c r="Q161" s="286"/>
      <c r="R161" s="413" t="str">
        <f t="shared" si="33"/>
        <v>NSB.X103.AKL.ZU_.BM001</v>
      </c>
      <c r="S161" s="419" t="str">
        <f t="shared" si="34"/>
        <v>PSDUS0202:NSB:X103:AKL:ZU_:BM001:NAME</v>
      </c>
      <c r="T161" s="286"/>
      <c r="U161" s="287"/>
      <c r="V161" s="287"/>
      <c r="W161" s="287"/>
      <c r="X161" s="287"/>
      <c r="Y161" s="298"/>
      <c r="Z161" s="288"/>
      <c r="AA161" s="289">
        <f t="shared" si="36"/>
        <v>32</v>
      </c>
      <c r="AB161" s="290"/>
      <c r="AC161" s="291"/>
      <c r="AD161" s="292"/>
      <c r="AE161" s="293"/>
      <c r="AG161" s="295" t="s">
        <v>1423</v>
      </c>
    </row>
    <row r="162" spans="1:33" s="279" customFormat="1" ht="14.45" customHeight="1" x14ac:dyDescent="0.25">
      <c r="A162" s="486" t="s">
        <v>1</v>
      </c>
      <c r="B162" s="489" t="str">
        <f>LOOKUP(A162,Module,IO)</f>
        <v>DigitalInput</v>
      </c>
      <c r="C162" s="492" t="s">
        <v>18</v>
      </c>
      <c r="D162" s="389" t="s">
        <v>160</v>
      </c>
      <c r="E162" s="398">
        <v>160</v>
      </c>
      <c r="F162" s="476" t="s">
        <v>1086</v>
      </c>
      <c r="G162" s="267" t="s">
        <v>1266</v>
      </c>
      <c r="H162" s="303" t="s">
        <v>1382</v>
      </c>
      <c r="I162" s="267" t="s">
        <v>1302</v>
      </c>
      <c r="J162" s="268" t="s">
        <v>1303</v>
      </c>
      <c r="K162" s="269" t="s">
        <v>1297</v>
      </c>
      <c r="L162" s="483" t="str">
        <f t="shared" si="39"/>
        <v>PSDUS0202:NSB:X107:AKL:AUF:BM001</v>
      </c>
      <c r="M162" s="270"/>
      <c r="N162" s="401" t="str">
        <f t="shared" ref="N162:N177" si="41">IF(F162&lt;&gt;"",IF($H$1&lt;&gt;"","IO"&amp;".","IO.")&amp;$C$162&amp;"."&amp;$B$162&amp;D162,"")</f>
        <v>IO.Slot10.DigitalInput0</v>
      </c>
      <c r="O162" s="271" t="str">
        <f t="shared" ref="O162:O177" si="42">LOOKUP($A$162,Module,Type)</f>
        <v>F.</v>
      </c>
      <c r="P162" s="405" t="str">
        <f>O162&amp;N162</f>
        <v>F.IO.Slot10.DigitalInput0</v>
      </c>
      <c r="Q162" s="271"/>
      <c r="R162" s="412" t="str">
        <f t="shared" si="33"/>
        <v>NSB.X107.AKL.AUF.BM001</v>
      </c>
      <c r="S162" s="418" t="str">
        <f t="shared" si="34"/>
        <v>PSDUS0202:NSB:X107:AKL:AUF:BM001:NAME</v>
      </c>
      <c r="T162" s="271"/>
      <c r="U162" s="272"/>
      <c r="V162" s="272"/>
      <c r="W162" s="272"/>
      <c r="X162" s="272"/>
      <c r="Y162" s="297"/>
      <c r="Z162" s="273"/>
      <c r="AA162" s="274">
        <f t="shared" si="36"/>
        <v>32</v>
      </c>
      <c r="AB162" s="275"/>
      <c r="AC162" s="276"/>
      <c r="AD162" s="277"/>
      <c r="AE162" s="278"/>
      <c r="AG162" s="280" t="s">
        <v>1384</v>
      </c>
    </row>
    <row r="163" spans="1:33" s="294" customFormat="1" x14ac:dyDescent="0.25">
      <c r="A163" s="487"/>
      <c r="B163" s="490"/>
      <c r="C163" s="493"/>
      <c r="D163" s="390">
        <v>1</v>
      </c>
      <c r="E163" s="399">
        <v>161</v>
      </c>
      <c r="F163" s="474" t="s">
        <v>1087</v>
      </c>
      <c r="G163" s="282" t="s">
        <v>1266</v>
      </c>
      <c r="H163" s="304" t="s">
        <v>1382</v>
      </c>
      <c r="I163" s="282" t="s">
        <v>1302</v>
      </c>
      <c r="J163" s="283" t="s">
        <v>1304</v>
      </c>
      <c r="K163" s="284" t="s">
        <v>1297</v>
      </c>
      <c r="L163" s="484" t="str">
        <f t="shared" si="39"/>
        <v>PSDUS0202:NSB:X107:AKL:ZU_:BM001</v>
      </c>
      <c r="M163" s="285"/>
      <c r="N163" s="402" t="str">
        <f t="shared" si="41"/>
        <v>IO.Slot10.DigitalInput1</v>
      </c>
      <c r="O163" s="286" t="str">
        <f t="shared" si="42"/>
        <v>F.</v>
      </c>
      <c r="P163" s="406" t="str">
        <f t="shared" ref="P163:P177" si="43">O163&amp;N163</f>
        <v>F.IO.Slot10.DigitalInput1</v>
      </c>
      <c r="Q163" s="286"/>
      <c r="R163" s="413" t="str">
        <f t="shared" si="33"/>
        <v>NSB.X107.AKL.ZU_.BM001</v>
      </c>
      <c r="S163" s="419" t="str">
        <f t="shared" si="34"/>
        <v>PSDUS0202:NSB:X107:AKL:ZU_:BM001:NAME</v>
      </c>
      <c r="T163" s="286"/>
      <c r="U163" s="287"/>
      <c r="V163" s="287"/>
      <c r="W163" s="287"/>
      <c r="X163" s="287"/>
      <c r="Y163" s="298"/>
      <c r="Z163" s="288"/>
      <c r="AA163" s="289">
        <f t="shared" si="36"/>
        <v>32</v>
      </c>
      <c r="AB163" s="290"/>
      <c r="AC163" s="291"/>
      <c r="AD163" s="292"/>
      <c r="AE163" s="293"/>
      <c r="AG163" s="295" t="s">
        <v>1384</v>
      </c>
    </row>
    <row r="164" spans="1:33" s="294" customFormat="1" x14ac:dyDescent="0.25">
      <c r="A164" s="487"/>
      <c r="B164" s="490"/>
      <c r="C164" s="493"/>
      <c r="D164" s="390">
        <v>2</v>
      </c>
      <c r="E164" s="399">
        <v>162</v>
      </c>
      <c r="F164" s="474" t="s">
        <v>1088</v>
      </c>
      <c r="G164" s="282" t="s">
        <v>1266</v>
      </c>
      <c r="H164" s="283" t="s">
        <v>1386</v>
      </c>
      <c r="I164" s="282" t="s">
        <v>1302</v>
      </c>
      <c r="J164" s="283" t="s">
        <v>1303</v>
      </c>
      <c r="K164" s="284" t="s">
        <v>1297</v>
      </c>
      <c r="L164" s="484" t="str">
        <f t="shared" si="39"/>
        <v>PSDUS0202:NSB:X111:AKL:AUF:BM001</v>
      </c>
      <c r="M164" s="285"/>
      <c r="N164" s="402" t="str">
        <f t="shared" si="41"/>
        <v>IO.Slot10.DigitalInput2</v>
      </c>
      <c r="O164" s="286" t="str">
        <f t="shared" si="42"/>
        <v>F.</v>
      </c>
      <c r="P164" s="406" t="str">
        <f t="shared" si="43"/>
        <v>F.IO.Slot10.DigitalInput2</v>
      </c>
      <c r="Q164" s="286"/>
      <c r="R164" s="413" t="str">
        <f t="shared" si="33"/>
        <v>NSB.X111.AKL.AUF.BM001</v>
      </c>
      <c r="S164" s="419" t="str">
        <f t="shared" si="34"/>
        <v>PSDUS0202:NSB:X111:AKL:AUF:BM001:NAME</v>
      </c>
      <c r="T164" s="286"/>
      <c r="U164" s="287"/>
      <c r="V164" s="287"/>
      <c r="W164" s="287"/>
      <c r="X164" s="287"/>
      <c r="Y164" s="298"/>
      <c r="Z164" s="288"/>
      <c r="AA164" s="289">
        <f t="shared" si="36"/>
        <v>32</v>
      </c>
      <c r="AB164" s="290"/>
      <c r="AC164" s="291"/>
      <c r="AD164" s="292"/>
      <c r="AE164" s="293"/>
      <c r="AG164" s="295" t="s">
        <v>1388</v>
      </c>
    </row>
    <row r="165" spans="1:33" s="294" customFormat="1" x14ac:dyDescent="0.25">
      <c r="A165" s="487"/>
      <c r="B165" s="490"/>
      <c r="C165" s="493"/>
      <c r="D165" s="390">
        <v>3</v>
      </c>
      <c r="E165" s="399">
        <v>163</v>
      </c>
      <c r="F165" s="474" t="s">
        <v>1089</v>
      </c>
      <c r="G165" s="282" t="s">
        <v>1266</v>
      </c>
      <c r="H165" s="283" t="s">
        <v>1386</v>
      </c>
      <c r="I165" s="282" t="s">
        <v>1302</v>
      </c>
      <c r="J165" s="283" t="s">
        <v>1304</v>
      </c>
      <c r="K165" s="284" t="s">
        <v>1297</v>
      </c>
      <c r="L165" s="484" t="str">
        <f t="shared" si="39"/>
        <v>PSDUS0202:NSB:X111:AKL:ZU_:BM001</v>
      </c>
      <c r="M165" s="285"/>
      <c r="N165" s="402" t="str">
        <f t="shared" si="41"/>
        <v>IO.Slot10.DigitalInput3</v>
      </c>
      <c r="O165" s="286" t="str">
        <f t="shared" si="42"/>
        <v>F.</v>
      </c>
      <c r="P165" s="406" t="str">
        <f t="shared" si="43"/>
        <v>F.IO.Slot10.DigitalInput3</v>
      </c>
      <c r="Q165" s="286"/>
      <c r="R165" s="413" t="str">
        <f t="shared" si="33"/>
        <v>NSB.X111.AKL.ZU_.BM001</v>
      </c>
      <c r="S165" s="419" t="str">
        <f t="shared" si="34"/>
        <v>PSDUS0202:NSB:X111:AKL:ZU_:BM001:NAME</v>
      </c>
      <c r="T165" s="286"/>
      <c r="U165" s="287"/>
      <c r="V165" s="287"/>
      <c r="W165" s="287"/>
      <c r="X165" s="287"/>
      <c r="Y165" s="298"/>
      <c r="Z165" s="288"/>
      <c r="AA165" s="289">
        <f t="shared" si="36"/>
        <v>32</v>
      </c>
      <c r="AB165" s="290"/>
      <c r="AC165" s="291"/>
      <c r="AD165" s="292"/>
      <c r="AE165" s="293"/>
      <c r="AG165" s="295" t="s">
        <v>1388</v>
      </c>
    </row>
    <row r="166" spans="1:33" s="294" customFormat="1" x14ac:dyDescent="0.25">
      <c r="A166" s="487"/>
      <c r="B166" s="490"/>
      <c r="C166" s="493"/>
      <c r="D166" s="390">
        <v>4</v>
      </c>
      <c r="E166" s="399">
        <v>164</v>
      </c>
      <c r="F166" s="474" t="s">
        <v>1090</v>
      </c>
      <c r="G166" s="282" t="s">
        <v>1266</v>
      </c>
      <c r="H166" s="282" t="s">
        <v>1390</v>
      </c>
      <c r="I166" s="282" t="s">
        <v>1302</v>
      </c>
      <c r="J166" s="283" t="s">
        <v>1303</v>
      </c>
      <c r="K166" s="284" t="s">
        <v>1297</v>
      </c>
      <c r="L166" s="484" t="str">
        <f t="shared" si="39"/>
        <v>PSDUS0202:NSB:X110:AKL:AUF:BM001</v>
      </c>
      <c r="M166" s="285"/>
      <c r="N166" s="402" t="str">
        <f t="shared" si="41"/>
        <v>IO.Slot10.DigitalInput4</v>
      </c>
      <c r="O166" s="286" t="str">
        <f t="shared" si="42"/>
        <v>F.</v>
      </c>
      <c r="P166" s="406" t="str">
        <f t="shared" si="43"/>
        <v>F.IO.Slot10.DigitalInput4</v>
      </c>
      <c r="Q166" s="286"/>
      <c r="R166" s="413" t="str">
        <f t="shared" si="33"/>
        <v>NSB.X110.AKL.AUF.BM001</v>
      </c>
      <c r="S166" s="419" t="str">
        <f t="shared" si="34"/>
        <v>PSDUS0202:NSB:X110:AKL:AUF:BM001:NAME</v>
      </c>
      <c r="T166" s="286"/>
      <c r="U166" s="287"/>
      <c r="V166" s="287"/>
      <c r="W166" s="287"/>
      <c r="X166" s="287"/>
      <c r="Y166" s="298"/>
      <c r="Z166" s="288"/>
      <c r="AA166" s="289">
        <f t="shared" si="36"/>
        <v>32</v>
      </c>
      <c r="AB166" s="290"/>
      <c r="AC166" s="291"/>
      <c r="AD166" s="292"/>
      <c r="AE166" s="293"/>
      <c r="AG166" s="295" t="s">
        <v>1392</v>
      </c>
    </row>
    <row r="167" spans="1:33" s="294" customFormat="1" x14ac:dyDescent="0.25">
      <c r="A167" s="487"/>
      <c r="B167" s="490"/>
      <c r="C167" s="493"/>
      <c r="D167" s="390">
        <v>5</v>
      </c>
      <c r="E167" s="399">
        <v>165</v>
      </c>
      <c r="F167" s="474" t="s">
        <v>1091</v>
      </c>
      <c r="G167" s="282" t="s">
        <v>1266</v>
      </c>
      <c r="H167" s="283" t="s">
        <v>1390</v>
      </c>
      <c r="I167" s="282" t="s">
        <v>1302</v>
      </c>
      <c r="J167" s="283" t="s">
        <v>1304</v>
      </c>
      <c r="K167" s="284" t="s">
        <v>1297</v>
      </c>
      <c r="L167" s="484" t="str">
        <f t="shared" si="39"/>
        <v>PSDUS0202:NSB:X110:AKL:ZU_:BM001</v>
      </c>
      <c r="M167" s="285"/>
      <c r="N167" s="402" t="str">
        <f t="shared" si="41"/>
        <v>IO.Slot10.DigitalInput5</v>
      </c>
      <c r="O167" s="286" t="str">
        <f t="shared" si="42"/>
        <v>F.</v>
      </c>
      <c r="P167" s="406" t="str">
        <f t="shared" si="43"/>
        <v>F.IO.Slot10.DigitalInput5</v>
      </c>
      <c r="Q167" s="286"/>
      <c r="R167" s="413" t="str">
        <f t="shared" si="33"/>
        <v>NSB.X110.AKL.ZU_.BM001</v>
      </c>
      <c r="S167" s="419" t="str">
        <f t="shared" si="34"/>
        <v>PSDUS0202:NSB:X110:AKL:ZU_:BM001:NAME</v>
      </c>
      <c r="T167" s="286"/>
      <c r="U167" s="287"/>
      <c r="V167" s="287"/>
      <c r="W167" s="287"/>
      <c r="X167" s="287"/>
      <c r="Y167" s="298"/>
      <c r="Z167" s="288"/>
      <c r="AA167" s="289">
        <f t="shared" si="36"/>
        <v>32</v>
      </c>
      <c r="AB167" s="290"/>
      <c r="AC167" s="291"/>
      <c r="AD167" s="292"/>
      <c r="AE167" s="293"/>
      <c r="AG167" s="295" t="s">
        <v>1392</v>
      </c>
    </row>
    <row r="168" spans="1:33" s="294" customFormat="1" x14ac:dyDescent="0.25">
      <c r="A168" s="487"/>
      <c r="B168" s="490"/>
      <c r="C168" s="493"/>
      <c r="D168" s="390">
        <v>6</v>
      </c>
      <c r="E168" s="399">
        <v>166</v>
      </c>
      <c r="F168" s="474" t="s">
        <v>1092</v>
      </c>
      <c r="G168" s="282" t="s">
        <v>1266</v>
      </c>
      <c r="H168" s="283" t="s">
        <v>1413</v>
      </c>
      <c r="I168" s="282" t="s">
        <v>1302</v>
      </c>
      <c r="J168" s="283" t="s">
        <v>1303</v>
      </c>
      <c r="K168" s="284" t="s">
        <v>1297</v>
      </c>
      <c r="L168" s="484" t="str">
        <f t="shared" si="39"/>
        <v>PSDUS0202:NSB:X108:AKL:AUF:BM001</v>
      </c>
      <c r="M168" s="285"/>
      <c r="N168" s="402" t="str">
        <f t="shared" si="41"/>
        <v>IO.Slot10.DigitalInput6</v>
      </c>
      <c r="O168" s="286" t="str">
        <f t="shared" si="42"/>
        <v>F.</v>
      </c>
      <c r="P168" s="406" t="str">
        <f t="shared" si="43"/>
        <v>F.IO.Slot10.DigitalInput6</v>
      </c>
      <c r="Q168" s="286"/>
      <c r="R168" s="413" t="str">
        <f t="shared" si="33"/>
        <v>NSB.X108.AKL.AUF.BM001</v>
      </c>
      <c r="S168" s="419" t="str">
        <f t="shared" si="34"/>
        <v>PSDUS0202:NSB:X108:AKL:AUF:BM001:NAME</v>
      </c>
      <c r="T168" s="286"/>
      <c r="U168" s="287"/>
      <c r="V168" s="287"/>
      <c r="W168" s="287"/>
      <c r="X168" s="287"/>
      <c r="Y168" s="298"/>
      <c r="Z168" s="288"/>
      <c r="AA168" s="289">
        <f t="shared" si="36"/>
        <v>32</v>
      </c>
      <c r="AB168" s="290"/>
      <c r="AC168" s="291"/>
      <c r="AD168" s="292"/>
      <c r="AE168" s="293"/>
      <c r="AG168" s="295" t="s">
        <v>1415</v>
      </c>
    </row>
    <row r="169" spans="1:33" s="294" customFormat="1" x14ac:dyDescent="0.25">
      <c r="A169" s="487"/>
      <c r="B169" s="490"/>
      <c r="C169" s="493"/>
      <c r="D169" s="390">
        <v>7</v>
      </c>
      <c r="E169" s="399">
        <v>167</v>
      </c>
      <c r="F169" s="474" t="s">
        <v>1093</v>
      </c>
      <c r="G169" s="282" t="s">
        <v>1266</v>
      </c>
      <c r="H169" s="283" t="s">
        <v>1413</v>
      </c>
      <c r="I169" s="282" t="s">
        <v>1302</v>
      </c>
      <c r="J169" s="283" t="s">
        <v>1304</v>
      </c>
      <c r="K169" s="284" t="s">
        <v>1297</v>
      </c>
      <c r="L169" s="484" t="str">
        <f t="shared" si="39"/>
        <v>PSDUS0202:NSB:X108:AKL:ZU_:BM001</v>
      </c>
      <c r="M169" s="285"/>
      <c r="N169" s="402" t="str">
        <f t="shared" si="41"/>
        <v>IO.Slot10.DigitalInput7</v>
      </c>
      <c r="O169" s="286" t="str">
        <f t="shared" si="42"/>
        <v>F.</v>
      </c>
      <c r="P169" s="406" t="str">
        <f t="shared" si="43"/>
        <v>F.IO.Slot10.DigitalInput7</v>
      </c>
      <c r="Q169" s="286"/>
      <c r="R169" s="413" t="str">
        <f t="shared" si="33"/>
        <v>NSB.X108.AKL.ZU_.BM001</v>
      </c>
      <c r="S169" s="419" t="str">
        <f t="shared" si="34"/>
        <v>PSDUS0202:NSB:X108:AKL:ZU_:BM001:NAME</v>
      </c>
      <c r="T169" s="286"/>
      <c r="U169" s="287"/>
      <c r="V169" s="287"/>
      <c r="W169" s="287"/>
      <c r="X169" s="287"/>
      <c r="Y169" s="298"/>
      <c r="Z169" s="288"/>
      <c r="AA169" s="289">
        <f t="shared" si="36"/>
        <v>32</v>
      </c>
      <c r="AB169" s="290"/>
      <c r="AC169" s="291"/>
      <c r="AD169" s="292"/>
      <c r="AE169" s="293"/>
      <c r="AG169" s="295" t="s">
        <v>1415</v>
      </c>
    </row>
    <row r="170" spans="1:33" s="294" customFormat="1" x14ac:dyDescent="0.25">
      <c r="A170" s="487"/>
      <c r="B170" s="490"/>
      <c r="C170" s="493"/>
      <c r="D170" s="390">
        <v>8</v>
      </c>
      <c r="E170" s="399">
        <v>168</v>
      </c>
      <c r="F170" s="474" t="s">
        <v>1094</v>
      </c>
      <c r="G170" s="282" t="s">
        <v>1266</v>
      </c>
      <c r="H170" s="283" t="s">
        <v>1419</v>
      </c>
      <c r="I170" s="282" t="s">
        <v>1302</v>
      </c>
      <c r="J170" s="283" t="s">
        <v>1303</v>
      </c>
      <c r="K170" s="284" t="s">
        <v>1297</v>
      </c>
      <c r="L170" s="484" t="str">
        <f t="shared" si="39"/>
        <v>PSDUS0202:NSB:X112:AKL:AUF:BM001</v>
      </c>
      <c r="M170" s="285"/>
      <c r="N170" s="402" t="str">
        <f t="shared" si="41"/>
        <v>IO.Slot10.DigitalInput8</v>
      </c>
      <c r="O170" s="286" t="str">
        <f t="shared" si="42"/>
        <v>F.</v>
      </c>
      <c r="P170" s="406" t="str">
        <f t="shared" si="43"/>
        <v>F.IO.Slot10.DigitalInput8</v>
      </c>
      <c r="Q170" s="286"/>
      <c r="R170" s="413" t="str">
        <f t="shared" si="33"/>
        <v>NSB.X112.AKL.AUF.BM001</v>
      </c>
      <c r="S170" s="419" t="str">
        <f t="shared" si="34"/>
        <v>PSDUS0202:NSB:X112:AKL:AUF:BM001:NAME</v>
      </c>
      <c r="T170" s="286"/>
      <c r="U170" s="287"/>
      <c r="V170" s="287"/>
      <c r="W170" s="287"/>
      <c r="X170" s="287"/>
      <c r="Y170" s="298"/>
      <c r="Z170" s="288"/>
      <c r="AA170" s="289">
        <f t="shared" si="36"/>
        <v>32</v>
      </c>
      <c r="AB170" s="290"/>
      <c r="AC170" s="291"/>
      <c r="AD170" s="292"/>
      <c r="AE170" s="293"/>
      <c r="AG170" s="295" t="s">
        <v>1420</v>
      </c>
    </row>
    <row r="171" spans="1:33" s="294" customFormat="1" x14ac:dyDescent="0.25">
      <c r="A171" s="487"/>
      <c r="B171" s="490"/>
      <c r="C171" s="493"/>
      <c r="D171" s="390">
        <v>9</v>
      </c>
      <c r="E171" s="399">
        <v>169</v>
      </c>
      <c r="F171" s="474" t="s">
        <v>1095</v>
      </c>
      <c r="G171" s="282" t="s">
        <v>1266</v>
      </c>
      <c r="H171" s="283" t="s">
        <v>1419</v>
      </c>
      <c r="I171" s="283" t="s">
        <v>1302</v>
      </c>
      <c r="J171" s="283" t="s">
        <v>1304</v>
      </c>
      <c r="K171" s="284" t="s">
        <v>1297</v>
      </c>
      <c r="L171" s="484" t="str">
        <f t="shared" si="39"/>
        <v>PSDUS0202:NSB:X112:AKL:ZU_:BM001</v>
      </c>
      <c r="M171" s="285"/>
      <c r="N171" s="402" t="str">
        <f t="shared" si="41"/>
        <v>IO.Slot10.DigitalInput9</v>
      </c>
      <c r="O171" s="286" t="str">
        <f t="shared" si="42"/>
        <v>F.</v>
      </c>
      <c r="P171" s="406" t="str">
        <f t="shared" si="43"/>
        <v>F.IO.Slot10.DigitalInput9</v>
      </c>
      <c r="Q171" s="286"/>
      <c r="R171" s="413" t="str">
        <f t="shared" si="33"/>
        <v>NSB.X112.AKL.ZU_.BM001</v>
      </c>
      <c r="S171" s="419" t="str">
        <f t="shared" si="34"/>
        <v>PSDUS0202:NSB:X112:AKL:ZU_:BM001:NAME</v>
      </c>
      <c r="T171" s="286"/>
      <c r="U171" s="287"/>
      <c r="V171" s="287"/>
      <c r="W171" s="287"/>
      <c r="X171" s="287"/>
      <c r="Y171" s="298"/>
      <c r="Z171" s="288"/>
      <c r="AA171" s="289">
        <f t="shared" si="36"/>
        <v>32</v>
      </c>
      <c r="AB171" s="290"/>
      <c r="AC171" s="291"/>
      <c r="AD171" s="292"/>
      <c r="AE171" s="293"/>
      <c r="AG171" s="295" t="s">
        <v>1420</v>
      </c>
    </row>
    <row r="172" spans="1:33" s="294" customFormat="1" x14ac:dyDescent="0.25">
      <c r="A172" s="487"/>
      <c r="B172" s="490"/>
      <c r="C172" s="493"/>
      <c r="D172" s="390">
        <v>10</v>
      </c>
      <c r="E172" s="399">
        <v>170</v>
      </c>
      <c r="F172" s="474" t="s">
        <v>1096</v>
      </c>
      <c r="G172" s="282" t="s">
        <v>1266</v>
      </c>
      <c r="H172" s="283" t="s">
        <v>1422</v>
      </c>
      <c r="I172" s="283" t="s">
        <v>1302</v>
      </c>
      <c r="J172" s="283" t="s">
        <v>1303</v>
      </c>
      <c r="K172" s="284" t="s">
        <v>1297</v>
      </c>
      <c r="L172" s="484" t="str">
        <f t="shared" si="39"/>
        <v>PSDUS0202:NSB:X109:AKL:AUF:BM001</v>
      </c>
      <c r="M172" s="285"/>
      <c r="N172" s="402" t="str">
        <f t="shared" si="41"/>
        <v>IO.Slot10.DigitalInput10</v>
      </c>
      <c r="O172" s="286" t="str">
        <f t="shared" si="42"/>
        <v>F.</v>
      </c>
      <c r="P172" s="406" t="str">
        <f t="shared" si="43"/>
        <v>F.IO.Slot10.DigitalInput10</v>
      </c>
      <c r="Q172" s="286"/>
      <c r="R172" s="413" t="str">
        <f t="shared" si="33"/>
        <v>NSB.X109.AKL.AUF.BM001</v>
      </c>
      <c r="S172" s="419" t="str">
        <f t="shared" si="34"/>
        <v>PSDUS0202:NSB:X109:AKL:AUF:BM001:NAME</v>
      </c>
      <c r="T172" s="286"/>
      <c r="U172" s="287"/>
      <c r="V172" s="287"/>
      <c r="W172" s="287"/>
      <c r="X172" s="287"/>
      <c r="Y172" s="298"/>
      <c r="Z172" s="288"/>
      <c r="AA172" s="289">
        <f t="shared" si="36"/>
        <v>32</v>
      </c>
      <c r="AB172" s="290"/>
      <c r="AC172" s="291"/>
      <c r="AD172" s="292"/>
      <c r="AE172" s="293"/>
      <c r="AG172" s="295" t="s">
        <v>1420</v>
      </c>
    </row>
    <row r="173" spans="1:33" s="294" customFormat="1" x14ac:dyDescent="0.25">
      <c r="A173" s="487"/>
      <c r="B173" s="490"/>
      <c r="C173" s="493"/>
      <c r="D173" s="390">
        <v>11</v>
      </c>
      <c r="E173" s="399">
        <v>171</v>
      </c>
      <c r="F173" s="474" t="s">
        <v>1097</v>
      </c>
      <c r="G173" s="282" t="s">
        <v>1266</v>
      </c>
      <c r="H173" s="283" t="s">
        <v>1422</v>
      </c>
      <c r="I173" s="283" t="s">
        <v>1302</v>
      </c>
      <c r="J173" s="283" t="s">
        <v>1304</v>
      </c>
      <c r="K173" s="284" t="s">
        <v>1297</v>
      </c>
      <c r="L173" s="484" t="str">
        <f t="shared" si="39"/>
        <v>PSDUS0202:NSB:X109:AKL:ZU_:BM001</v>
      </c>
      <c r="M173" s="285"/>
      <c r="N173" s="402" t="str">
        <f t="shared" si="41"/>
        <v>IO.Slot10.DigitalInput11</v>
      </c>
      <c r="O173" s="286" t="str">
        <f t="shared" si="42"/>
        <v>F.</v>
      </c>
      <c r="P173" s="406" t="str">
        <f t="shared" si="43"/>
        <v>F.IO.Slot10.DigitalInput11</v>
      </c>
      <c r="Q173" s="286"/>
      <c r="R173" s="413" t="str">
        <f t="shared" si="33"/>
        <v>NSB.X109.AKL.ZU_.BM001</v>
      </c>
      <c r="S173" s="419" t="str">
        <f t="shared" si="34"/>
        <v>PSDUS0202:NSB:X109:AKL:ZU_:BM001:NAME</v>
      </c>
      <c r="T173" s="286"/>
      <c r="U173" s="287"/>
      <c r="V173" s="287"/>
      <c r="W173" s="287"/>
      <c r="X173" s="287"/>
      <c r="Y173" s="298"/>
      <c r="Z173" s="288"/>
      <c r="AA173" s="289">
        <f t="shared" si="36"/>
        <v>32</v>
      </c>
      <c r="AB173" s="290"/>
      <c r="AC173" s="291"/>
      <c r="AD173" s="292"/>
      <c r="AE173" s="293"/>
      <c r="AG173" s="295" t="s">
        <v>1420</v>
      </c>
    </row>
    <row r="174" spans="1:33" s="294" customFormat="1" x14ac:dyDescent="0.25">
      <c r="A174" s="487"/>
      <c r="B174" s="490"/>
      <c r="C174" s="493"/>
      <c r="D174" s="390">
        <v>12</v>
      </c>
      <c r="E174" s="399">
        <v>172</v>
      </c>
      <c r="F174" s="474" t="s">
        <v>1098</v>
      </c>
      <c r="G174" s="282" t="s">
        <v>1266</v>
      </c>
      <c r="H174" s="283" t="s">
        <v>1280</v>
      </c>
      <c r="I174" s="282" t="s">
        <v>1281</v>
      </c>
      <c r="J174" s="283" t="s">
        <v>1282</v>
      </c>
      <c r="K174" s="284" t="s">
        <v>1283</v>
      </c>
      <c r="L174" s="484" t="str">
        <f t="shared" si="39"/>
        <v>PSDUS0202:NSB:F101:STW:ASG:SM001</v>
      </c>
      <c r="M174" s="285"/>
      <c r="N174" s="402" t="str">
        <f t="shared" si="41"/>
        <v>IO.Slot10.DigitalInput12</v>
      </c>
      <c r="O174" s="286" t="str">
        <f t="shared" si="42"/>
        <v>F.</v>
      </c>
      <c r="P174" s="406" t="str">
        <f t="shared" si="43"/>
        <v>F.IO.Slot10.DigitalInput12</v>
      </c>
      <c r="Q174" s="286"/>
      <c r="R174" s="413" t="str">
        <f t="shared" si="33"/>
        <v>NSB.F101.STW.ASG.SM001</v>
      </c>
      <c r="S174" s="419" t="str">
        <f t="shared" si="34"/>
        <v>PSDUS0202:NSB:F101:STW:ASG:SM001:NAME</v>
      </c>
      <c r="T174" s="286"/>
      <c r="U174" s="287"/>
      <c r="V174" s="287"/>
      <c r="W174" s="287"/>
      <c r="X174" s="287"/>
      <c r="Y174" s="298"/>
      <c r="Z174" s="288"/>
      <c r="AA174" s="289">
        <f t="shared" si="36"/>
        <v>32</v>
      </c>
      <c r="AB174" s="290"/>
      <c r="AC174" s="291"/>
      <c r="AD174" s="292"/>
      <c r="AE174" s="293"/>
      <c r="AG174" s="295" t="s">
        <v>1285</v>
      </c>
    </row>
    <row r="175" spans="1:33" s="294" customFormat="1" x14ac:dyDescent="0.25">
      <c r="A175" s="487"/>
      <c r="B175" s="490"/>
      <c r="C175" s="493"/>
      <c r="D175" s="390">
        <v>13</v>
      </c>
      <c r="E175" s="399">
        <v>173</v>
      </c>
      <c r="F175" s="474" t="s">
        <v>1063</v>
      </c>
      <c r="G175" s="282"/>
      <c r="H175" s="283"/>
      <c r="I175" s="283"/>
      <c r="J175" s="283"/>
      <c r="K175" s="284"/>
      <c r="L175" s="484" t="str">
        <f t="shared" si="39"/>
        <v/>
      </c>
      <c r="M175" s="285"/>
      <c r="N175" s="402" t="str">
        <f t="shared" si="41"/>
        <v>IO.Slot10.DigitalInput13</v>
      </c>
      <c r="O175" s="286" t="str">
        <f t="shared" si="42"/>
        <v>F.</v>
      </c>
      <c r="P175" s="406" t="str">
        <f t="shared" si="43"/>
        <v>F.IO.Slot10.DigitalInput13</v>
      </c>
      <c r="Q175" s="286"/>
      <c r="R175" s="413" t="str">
        <f t="shared" si="33"/>
        <v/>
      </c>
      <c r="S175" s="419" t="str">
        <f t="shared" si="34"/>
        <v>:NAME</v>
      </c>
      <c r="T175" s="286"/>
      <c r="U175" s="287"/>
      <c r="V175" s="287"/>
      <c r="W175" s="287"/>
      <c r="X175" s="287"/>
      <c r="Y175" s="298"/>
      <c r="Z175" s="288"/>
      <c r="AA175" s="289">
        <f t="shared" si="36"/>
        <v>0</v>
      </c>
      <c r="AB175" s="290"/>
      <c r="AC175" s="291"/>
      <c r="AD175" s="292"/>
      <c r="AE175" s="293"/>
      <c r="AG175" s="295"/>
    </row>
    <row r="176" spans="1:33" s="294" customFormat="1" x14ac:dyDescent="0.25">
      <c r="A176" s="487"/>
      <c r="B176" s="490"/>
      <c r="C176" s="493"/>
      <c r="D176" s="390">
        <v>14</v>
      </c>
      <c r="E176" s="399">
        <v>174</v>
      </c>
      <c r="F176" s="474" t="s">
        <v>1063</v>
      </c>
      <c r="G176" s="282"/>
      <c r="H176" s="283"/>
      <c r="I176" s="283"/>
      <c r="J176" s="283"/>
      <c r="K176" s="284"/>
      <c r="L176" s="484" t="str">
        <f t="shared" si="39"/>
        <v/>
      </c>
      <c r="M176" s="285"/>
      <c r="N176" s="402" t="str">
        <f t="shared" si="41"/>
        <v>IO.Slot10.DigitalInput14</v>
      </c>
      <c r="O176" s="286" t="str">
        <f t="shared" si="42"/>
        <v>F.</v>
      </c>
      <c r="P176" s="406" t="str">
        <f t="shared" si="43"/>
        <v>F.IO.Slot10.DigitalInput14</v>
      </c>
      <c r="Q176" s="286"/>
      <c r="R176" s="413" t="str">
        <f t="shared" si="33"/>
        <v/>
      </c>
      <c r="S176" s="419" t="str">
        <f t="shared" si="34"/>
        <v>:NAME</v>
      </c>
      <c r="T176" s="286"/>
      <c r="U176" s="287"/>
      <c r="V176" s="287"/>
      <c r="W176" s="287"/>
      <c r="X176" s="287"/>
      <c r="Y176" s="298"/>
      <c r="Z176" s="288"/>
      <c r="AA176" s="289">
        <f t="shared" si="36"/>
        <v>0</v>
      </c>
      <c r="AB176" s="290"/>
      <c r="AC176" s="291"/>
      <c r="AD176" s="292"/>
      <c r="AE176" s="293"/>
      <c r="AG176" s="295"/>
    </row>
    <row r="177" spans="1:33" s="294" customFormat="1" ht="15.75" thickBot="1" x14ac:dyDescent="0.3">
      <c r="A177" s="488"/>
      <c r="B177" s="491"/>
      <c r="C177" s="494"/>
      <c r="D177" s="390">
        <v>15</v>
      </c>
      <c r="E177" s="399">
        <v>175</v>
      </c>
      <c r="F177" s="474" t="s">
        <v>1063</v>
      </c>
      <c r="G177" s="282"/>
      <c r="H177" s="283"/>
      <c r="I177" s="283"/>
      <c r="J177" s="283"/>
      <c r="K177" s="284"/>
      <c r="L177" s="484" t="str">
        <f t="shared" si="39"/>
        <v/>
      </c>
      <c r="M177" s="285"/>
      <c r="N177" s="402" t="str">
        <f t="shared" si="41"/>
        <v>IO.Slot10.DigitalInput15</v>
      </c>
      <c r="O177" s="286" t="str">
        <f t="shared" si="42"/>
        <v>F.</v>
      </c>
      <c r="P177" s="406" t="str">
        <f t="shared" si="43"/>
        <v>F.IO.Slot10.DigitalInput15</v>
      </c>
      <c r="Q177" s="286"/>
      <c r="R177" s="413" t="str">
        <f t="shared" si="33"/>
        <v/>
      </c>
      <c r="S177" s="419" t="str">
        <f t="shared" si="34"/>
        <v>:NAME</v>
      </c>
      <c r="T177" s="286"/>
      <c r="U177" s="287"/>
      <c r="V177" s="287"/>
      <c r="W177" s="287"/>
      <c r="X177" s="287"/>
      <c r="Y177" s="298"/>
      <c r="Z177" s="288"/>
      <c r="AA177" s="289">
        <f t="shared" si="36"/>
        <v>0</v>
      </c>
      <c r="AB177" s="290"/>
      <c r="AC177" s="291"/>
      <c r="AD177" s="292"/>
      <c r="AE177" s="293"/>
      <c r="AG177" s="295"/>
    </row>
    <row r="178" spans="1:33" s="279" customFormat="1" ht="14.45" customHeight="1" x14ac:dyDescent="0.25">
      <c r="A178" s="486" t="s">
        <v>1</v>
      </c>
      <c r="B178" s="489" t="str">
        <f>LOOKUP(A178,Module,IO)</f>
        <v>DigitalInput</v>
      </c>
      <c r="C178" s="492" t="s">
        <v>19</v>
      </c>
      <c r="D178" s="389" t="s">
        <v>160</v>
      </c>
      <c r="E178" s="398">
        <v>176</v>
      </c>
      <c r="F178" s="476" t="s">
        <v>1099</v>
      </c>
      <c r="G178" s="267"/>
      <c r="H178" s="267"/>
      <c r="I178" s="267"/>
      <c r="J178" s="268"/>
      <c r="K178" s="269"/>
      <c r="L178" s="483" t="str">
        <f t="shared" si="39"/>
        <v/>
      </c>
      <c r="M178" s="270"/>
      <c r="N178" s="401" t="str">
        <f t="shared" ref="N178:N193" si="44">IF(F178&lt;&gt;"",IF($H$1&lt;&gt;"","IO"&amp;".","IO.")&amp;$C$178&amp;"."&amp;$B$178&amp;D178,"")</f>
        <v>IO.Slot11.DigitalInput0</v>
      </c>
      <c r="O178" s="271" t="str">
        <f t="shared" ref="O178:O193" si="45">LOOKUP($A$178,Module,Type)</f>
        <v>F.</v>
      </c>
      <c r="P178" s="405" t="str">
        <f>O178&amp;N178</f>
        <v>F.IO.Slot11.DigitalInput0</v>
      </c>
      <c r="Q178" s="271"/>
      <c r="R178" s="412" t="str">
        <f t="shared" si="33"/>
        <v/>
      </c>
      <c r="S178" s="418" t="str">
        <f t="shared" si="34"/>
        <v>:NAME</v>
      </c>
      <c r="T178" s="271"/>
      <c r="U178" s="272"/>
      <c r="V178" s="272"/>
      <c r="W178" s="272"/>
      <c r="X178" s="272"/>
      <c r="Y178" s="297"/>
      <c r="Z178" s="273"/>
      <c r="AA178" s="274">
        <f t="shared" si="36"/>
        <v>0</v>
      </c>
      <c r="AB178" s="275"/>
      <c r="AC178" s="276"/>
      <c r="AD178" s="277"/>
      <c r="AE178" s="278"/>
      <c r="AG178" s="280"/>
    </row>
    <row r="179" spans="1:33" s="294" customFormat="1" x14ac:dyDescent="0.25">
      <c r="A179" s="487"/>
      <c r="B179" s="490"/>
      <c r="C179" s="493"/>
      <c r="D179" s="390">
        <v>1</v>
      </c>
      <c r="E179" s="399">
        <v>177</v>
      </c>
      <c r="F179" s="474" t="s">
        <v>1100</v>
      </c>
      <c r="G179" s="282"/>
      <c r="H179" s="283"/>
      <c r="I179" s="282"/>
      <c r="J179" s="283"/>
      <c r="K179" s="284"/>
      <c r="L179" s="484" t="str">
        <f t="shared" si="39"/>
        <v/>
      </c>
      <c r="M179" s="285"/>
      <c r="N179" s="402" t="str">
        <f t="shared" si="44"/>
        <v>IO.Slot11.DigitalInput1</v>
      </c>
      <c r="O179" s="286" t="str">
        <f t="shared" si="45"/>
        <v>F.</v>
      </c>
      <c r="P179" s="406" t="str">
        <f t="shared" ref="P179:P193" si="46">O179&amp;N179</f>
        <v>F.IO.Slot11.DigitalInput1</v>
      </c>
      <c r="Q179" s="286"/>
      <c r="R179" s="413" t="str">
        <f t="shared" si="33"/>
        <v/>
      </c>
      <c r="S179" s="419" t="str">
        <f t="shared" si="34"/>
        <v>:NAME</v>
      </c>
      <c r="T179" s="286"/>
      <c r="U179" s="287"/>
      <c r="V179" s="287"/>
      <c r="W179" s="287"/>
      <c r="X179" s="287"/>
      <c r="Y179" s="298"/>
      <c r="Z179" s="288"/>
      <c r="AA179" s="289">
        <f t="shared" si="36"/>
        <v>0</v>
      </c>
      <c r="AB179" s="290"/>
      <c r="AC179" s="291"/>
      <c r="AD179" s="292"/>
      <c r="AE179" s="293"/>
      <c r="AG179" s="295"/>
    </row>
    <row r="180" spans="1:33" s="294" customFormat="1" x14ac:dyDescent="0.25">
      <c r="A180" s="487"/>
      <c r="B180" s="490"/>
      <c r="C180" s="493"/>
      <c r="D180" s="390">
        <v>2</v>
      </c>
      <c r="E180" s="399">
        <v>178</v>
      </c>
      <c r="F180" s="474" t="s">
        <v>1101</v>
      </c>
      <c r="G180" s="282"/>
      <c r="H180" s="283"/>
      <c r="I180" s="282"/>
      <c r="J180" s="283"/>
      <c r="K180" s="284"/>
      <c r="L180" s="484" t="str">
        <f t="shared" si="39"/>
        <v/>
      </c>
      <c r="M180" s="285"/>
      <c r="N180" s="402" t="str">
        <f t="shared" si="44"/>
        <v>IO.Slot11.DigitalInput2</v>
      </c>
      <c r="O180" s="286" t="str">
        <f t="shared" si="45"/>
        <v>F.</v>
      </c>
      <c r="P180" s="406" t="str">
        <f t="shared" si="46"/>
        <v>F.IO.Slot11.DigitalInput2</v>
      </c>
      <c r="Q180" s="286"/>
      <c r="R180" s="413" t="str">
        <f t="shared" si="33"/>
        <v/>
      </c>
      <c r="S180" s="419" t="str">
        <f t="shared" si="34"/>
        <v>:NAME</v>
      </c>
      <c r="T180" s="286"/>
      <c r="U180" s="287"/>
      <c r="V180" s="287"/>
      <c r="W180" s="287"/>
      <c r="X180" s="287"/>
      <c r="Y180" s="298"/>
      <c r="Z180" s="288"/>
      <c r="AA180" s="289">
        <f t="shared" si="36"/>
        <v>0</v>
      </c>
      <c r="AB180" s="290"/>
      <c r="AC180" s="291"/>
      <c r="AD180" s="292"/>
      <c r="AE180" s="293"/>
      <c r="AG180" s="295"/>
    </row>
    <row r="181" spans="1:33" s="294" customFormat="1" x14ac:dyDescent="0.25">
      <c r="A181" s="487"/>
      <c r="B181" s="490"/>
      <c r="C181" s="493"/>
      <c r="D181" s="390">
        <v>3</v>
      </c>
      <c r="E181" s="399">
        <v>179</v>
      </c>
      <c r="F181" s="474" t="s">
        <v>1102</v>
      </c>
      <c r="G181" s="282"/>
      <c r="H181" s="282"/>
      <c r="I181" s="282"/>
      <c r="J181" s="283"/>
      <c r="K181" s="284"/>
      <c r="L181" s="484" t="str">
        <f t="shared" si="39"/>
        <v/>
      </c>
      <c r="M181" s="285"/>
      <c r="N181" s="402" t="str">
        <f t="shared" si="44"/>
        <v>IO.Slot11.DigitalInput3</v>
      </c>
      <c r="O181" s="286" t="str">
        <f t="shared" si="45"/>
        <v>F.</v>
      </c>
      <c r="P181" s="406" t="str">
        <f t="shared" si="46"/>
        <v>F.IO.Slot11.DigitalInput3</v>
      </c>
      <c r="Q181" s="286"/>
      <c r="R181" s="413" t="str">
        <f t="shared" si="33"/>
        <v/>
      </c>
      <c r="S181" s="419" t="str">
        <f t="shared" si="34"/>
        <v>:NAME</v>
      </c>
      <c r="T181" s="286"/>
      <c r="U181" s="287"/>
      <c r="V181" s="287"/>
      <c r="W181" s="287"/>
      <c r="X181" s="287"/>
      <c r="Y181" s="298"/>
      <c r="Z181" s="288"/>
      <c r="AA181" s="289">
        <f t="shared" si="36"/>
        <v>0</v>
      </c>
      <c r="AB181" s="290"/>
      <c r="AC181" s="291"/>
      <c r="AD181" s="292"/>
      <c r="AE181" s="293"/>
      <c r="AG181" s="295"/>
    </row>
    <row r="182" spans="1:33" s="294" customFormat="1" x14ac:dyDescent="0.25">
      <c r="A182" s="487"/>
      <c r="B182" s="490"/>
      <c r="C182" s="493"/>
      <c r="D182" s="390">
        <v>4</v>
      </c>
      <c r="E182" s="399">
        <v>180</v>
      </c>
      <c r="F182" s="474" t="s">
        <v>1103</v>
      </c>
      <c r="G182" s="282"/>
      <c r="H182" s="283"/>
      <c r="I182" s="282"/>
      <c r="J182" s="283"/>
      <c r="K182" s="284"/>
      <c r="L182" s="484" t="str">
        <f t="shared" si="39"/>
        <v/>
      </c>
      <c r="M182" s="285"/>
      <c r="N182" s="402" t="str">
        <f t="shared" si="44"/>
        <v>IO.Slot11.DigitalInput4</v>
      </c>
      <c r="O182" s="286" t="str">
        <f t="shared" si="45"/>
        <v>F.</v>
      </c>
      <c r="P182" s="406" t="str">
        <f t="shared" si="46"/>
        <v>F.IO.Slot11.DigitalInput4</v>
      </c>
      <c r="Q182" s="286"/>
      <c r="R182" s="413" t="str">
        <f t="shared" si="33"/>
        <v/>
      </c>
      <c r="S182" s="419" t="str">
        <f t="shared" si="34"/>
        <v>:NAME</v>
      </c>
      <c r="T182" s="286"/>
      <c r="U182" s="287"/>
      <c r="V182" s="287"/>
      <c r="W182" s="287"/>
      <c r="X182" s="287"/>
      <c r="Y182" s="298"/>
      <c r="Z182" s="288"/>
      <c r="AA182" s="289">
        <f t="shared" si="36"/>
        <v>0</v>
      </c>
      <c r="AB182" s="290"/>
      <c r="AC182" s="291"/>
      <c r="AD182" s="292"/>
      <c r="AE182" s="293"/>
      <c r="AG182" s="295"/>
    </row>
    <row r="183" spans="1:33" s="294" customFormat="1" x14ac:dyDescent="0.25">
      <c r="A183" s="487"/>
      <c r="B183" s="490"/>
      <c r="C183" s="493"/>
      <c r="D183" s="390">
        <v>5</v>
      </c>
      <c r="E183" s="399">
        <v>181</v>
      </c>
      <c r="F183" s="474" t="s">
        <v>1104</v>
      </c>
      <c r="G183" s="282"/>
      <c r="H183" s="282"/>
      <c r="I183" s="282"/>
      <c r="J183" s="283"/>
      <c r="K183" s="284"/>
      <c r="L183" s="484" t="str">
        <f t="shared" si="39"/>
        <v/>
      </c>
      <c r="M183" s="285"/>
      <c r="N183" s="402" t="str">
        <f t="shared" si="44"/>
        <v>IO.Slot11.DigitalInput5</v>
      </c>
      <c r="O183" s="286" t="str">
        <f t="shared" si="45"/>
        <v>F.</v>
      </c>
      <c r="P183" s="406" t="str">
        <f t="shared" si="46"/>
        <v>F.IO.Slot11.DigitalInput5</v>
      </c>
      <c r="Q183" s="286"/>
      <c r="R183" s="413" t="str">
        <f t="shared" si="33"/>
        <v/>
      </c>
      <c r="S183" s="419" t="str">
        <f t="shared" si="34"/>
        <v>:NAME</v>
      </c>
      <c r="T183" s="286"/>
      <c r="U183" s="287"/>
      <c r="V183" s="287"/>
      <c r="W183" s="287"/>
      <c r="X183" s="287"/>
      <c r="Y183" s="298"/>
      <c r="Z183" s="288"/>
      <c r="AA183" s="289">
        <f t="shared" si="36"/>
        <v>0</v>
      </c>
      <c r="AB183" s="290"/>
      <c r="AC183" s="291"/>
      <c r="AD183" s="292"/>
      <c r="AE183" s="293"/>
      <c r="AG183" s="295"/>
    </row>
    <row r="184" spans="1:33" s="294" customFormat="1" x14ac:dyDescent="0.25">
      <c r="A184" s="487"/>
      <c r="B184" s="490"/>
      <c r="C184" s="493"/>
      <c r="D184" s="390">
        <v>6</v>
      </c>
      <c r="E184" s="399">
        <v>182</v>
      </c>
      <c r="F184" s="474" t="s">
        <v>1063</v>
      </c>
      <c r="G184" s="282"/>
      <c r="H184" s="283"/>
      <c r="I184" s="283"/>
      <c r="J184" s="283"/>
      <c r="K184" s="284"/>
      <c r="L184" s="484" t="str">
        <f t="shared" si="39"/>
        <v/>
      </c>
      <c r="M184" s="285"/>
      <c r="N184" s="402" t="str">
        <f t="shared" si="44"/>
        <v>IO.Slot11.DigitalInput6</v>
      </c>
      <c r="O184" s="286" t="str">
        <f t="shared" si="45"/>
        <v>F.</v>
      </c>
      <c r="P184" s="406" t="str">
        <f t="shared" si="46"/>
        <v>F.IO.Slot11.DigitalInput6</v>
      </c>
      <c r="Q184" s="286"/>
      <c r="R184" s="413" t="str">
        <f t="shared" si="33"/>
        <v/>
      </c>
      <c r="S184" s="419" t="str">
        <f t="shared" si="34"/>
        <v>:NAME</v>
      </c>
      <c r="T184" s="286"/>
      <c r="U184" s="287"/>
      <c r="V184" s="287"/>
      <c r="W184" s="287"/>
      <c r="X184" s="287"/>
      <c r="Y184" s="298"/>
      <c r="Z184" s="288"/>
      <c r="AA184" s="289">
        <f t="shared" si="36"/>
        <v>0</v>
      </c>
      <c r="AB184" s="290"/>
      <c r="AC184" s="291"/>
      <c r="AD184" s="292"/>
      <c r="AE184" s="293"/>
      <c r="AG184" s="295"/>
    </row>
    <row r="185" spans="1:33" s="294" customFormat="1" x14ac:dyDescent="0.25">
      <c r="A185" s="487"/>
      <c r="B185" s="490"/>
      <c r="C185" s="493"/>
      <c r="D185" s="390">
        <v>7</v>
      </c>
      <c r="E185" s="399">
        <v>183</v>
      </c>
      <c r="F185" s="474" t="s">
        <v>1063</v>
      </c>
      <c r="G185" s="282"/>
      <c r="H185" s="282"/>
      <c r="I185" s="304"/>
      <c r="J185" s="283"/>
      <c r="K185" s="284"/>
      <c r="L185" s="484" t="str">
        <f t="shared" si="39"/>
        <v/>
      </c>
      <c r="M185" s="285"/>
      <c r="N185" s="402" t="str">
        <f t="shared" si="44"/>
        <v>IO.Slot11.DigitalInput7</v>
      </c>
      <c r="O185" s="286" t="str">
        <f t="shared" si="45"/>
        <v>F.</v>
      </c>
      <c r="P185" s="406" t="str">
        <f t="shared" si="46"/>
        <v>F.IO.Slot11.DigitalInput7</v>
      </c>
      <c r="Q185" s="286"/>
      <c r="R185" s="413" t="str">
        <f t="shared" si="33"/>
        <v/>
      </c>
      <c r="S185" s="419" t="str">
        <f t="shared" si="34"/>
        <v>:NAME</v>
      </c>
      <c r="T185" s="286"/>
      <c r="U185" s="287"/>
      <c r="V185" s="287"/>
      <c r="W185" s="287"/>
      <c r="X185" s="287"/>
      <c r="Y185" s="298"/>
      <c r="Z185" s="288"/>
      <c r="AA185" s="289">
        <f t="shared" si="36"/>
        <v>0</v>
      </c>
      <c r="AB185" s="290"/>
      <c r="AC185" s="291"/>
      <c r="AD185" s="292"/>
      <c r="AE185" s="293"/>
      <c r="AG185" s="295"/>
    </row>
    <row r="186" spans="1:33" s="294" customFormat="1" x14ac:dyDescent="0.25">
      <c r="A186" s="487"/>
      <c r="B186" s="490"/>
      <c r="C186" s="493"/>
      <c r="D186" s="390">
        <v>8</v>
      </c>
      <c r="E186" s="399">
        <v>184</v>
      </c>
      <c r="F186" s="474" t="s">
        <v>1063</v>
      </c>
      <c r="G186" s="282"/>
      <c r="H186" s="283"/>
      <c r="I186" s="283"/>
      <c r="J186" s="283"/>
      <c r="K186" s="284"/>
      <c r="L186" s="484" t="str">
        <f t="shared" si="39"/>
        <v/>
      </c>
      <c r="M186" s="285"/>
      <c r="N186" s="402" t="str">
        <f t="shared" si="44"/>
        <v>IO.Slot11.DigitalInput8</v>
      </c>
      <c r="O186" s="286" t="str">
        <f t="shared" si="45"/>
        <v>F.</v>
      </c>
      <c r="P186" s="406" t="str">
        <f t="shared" si="46"/>
        <v>F.IO.Slot11.DigitalInput8</v>
      </c>
      <c r="Q186" s="286"/>
      <c r="R186" s="413" t="str">
        <f t="shared" si="33"/>
        <v/>
      </c>
      <c r="S186" s="419" t="str">
        <f t="shared" si="34"/>
        <v>:NAME</v>
      </c>
      <c r="T186" s="286"/>
      <c r="U186" s="287"/>
      <c r="V186" s="287"/>
      <c r="W186" s="287"/>
      <c r="X186" s="287"/>
      <c r="Y186" s="298"/>
      <c r="Z186" s="288"/>
      <c r="AA186" s="289">
        <f t="shared" si="36"/>
        <v>0</v>
      </c>
      <c r="AB186" s="290"/>
      <c r="AC186" s="291"/>
      <c r="AD186" s="292"/>
      <c r="AE186" s="293"/>
      <c r="AG186" s="295"/>
    </row>
    <row r="187" spans="1:33" s="294" customFormat="1" x14ac:dyDescent="0.25">
      <c r="A187" s="487"/>
      <c r="B187" s="490"/>
      <c r="C187" s="493"/>
      <c r="D187" s="390">
        <v>9</v>
      </c>
      <c r="E187" s="399">
        <v>185</v>
      </c>
      <c r="F187" s="474" t="s">
        <v>1063</v>
      </c>
      <c r="G187" s="282"/>
      <c r="H187" s="282"/>
      <c r="I187" s="283"/>
      <c r="J187" s="283"/>
      <c r="K187" s="284"/>
      <c r="L187" s="484" t="str">
        <f t="shared" si="39"/>
        <v/>
      </c>
      <c r="M187" s="285"/>
      <c r="N187" s="402" t="str">
        <f t="shared" si="44"/>
        <v>IO.Slot11.DigitalInput9</v>
      </c>
      <c r="O187" s="286" t="str">
        <f t="shared" si="45"/>
        <v>F.</v>
      </c>
      <c r="P187" s="406" t="str">
        <f t="shared" si="46"/>
        <v>F.IO.Slot11.DigitalInput9</v>
      </c>
      <c r="Q187" s="286"/>
      <c r="R187" s="413" t="str">
        <f t="shared" si="33"/>
        <v/>
      </c>
      <c r="S187" s="419" t="str">
        <f t="shared" si="34"/>
        <v>:NAME</v>
      </c>
      <c r="T187" s="286"/>
      <c r="U187" s="287"/>
      <c r="V187" s="287"/>
      <c r="W187" s="287"/>
      <c r="X187" s="287"/>
      <c r="Y187" s="298"/>
      <c r="Z187" s="288"/>
      <c r="AA187" s="289">
        <f t="shared" si="36"/>
        <v>0</v>
      </c>
      <c r="AB187" s="290"/>
      <c r="AC187" s="291"/>
      <c r="AD187" s="292"/>
      <c r="AE187" s="293"/>
      <c r="AG187" s="295"/>
    </row>
    <row r="188" spans="1:33" s="294" customFormat="1" x14ac:dyDescent="0.25">
      <c r="A188" s="487"/>
      <c r="B188" s="490"/>
      <c r="C188" s="493"/>
      <c r="D188" s="390">
        <v>10</v>
      </c>
      <c r="E188" s="399">
        <v>186</v>
      </c>
      <c r="F188" s="474" t="s">
        <v>1063</v>
      </c>
      <c r="G188" s="282"/>
      <c r="H188" s="282"/>
      <c r="I188" s="283"/>
      <c r="J188" s="283"/>
      <c r="K188" s="284"/>
      <c r="L188" s="484" t="str">
        <f t="shared" si="39"/>
        <v/>
      </c>
      <c r="M188" s="285"/>
      <c r="N188" s="402" t="str">
        <f t="shared" si="44"/>
        <v>IO.Slot11.DigitalInput10</v>
      </c>
      <c r="O188" s="286" t="str">
        <f t="shared" si="45"/>
        <v>F.</v>
      </c>
      <c r="P188" s="406" t="str">
        <f t="shared" si="46"/>
        <v>F.IO.Slot11.DigitalInput10</v>
      </c>
      <c r="Q188" s="286"/>
      <c r="R188" s="413" t="str">
        <f t="shared" si="33"/>
        <v/>
      </c>
      <c r="S188" s="419" t="str">
        <f t="shared" si="34"/>
        <v>:NAME</v>
      </c>
      <c r="T188" s="286"/>
      <c r="U188" s="287"/>
      <c r="V188" s="287"/>
      <c r="W188" s="287"/>
      <c r="X188" s="287"/>
      <c r="Y188" s="298"/>
      <c r="Z188" s="288"/>
      <c r="AA188" s="289">
        <f t="shared" si="36"/>
        <v>0</v>
      </c>
      <c r="AB188" s="290"/>
      <c r="AC188" s="291"/>
      <c r="AD188" s="292"/>
      <c r="AE188" s="293"/>
      <c r="AG188" s="295"/>
    </row>
    <row r="189" spans="1:33" s="294" customFormat="1" x14ac:dyDescent="0.25">
      <c r="A189" s="487"/>
      <c r="B189" s="490"/>
      <c r="C189" s="493"/>
      <c r="D189" s="390">
        <v>11</v>
      </c>
      <c r="E189" s="399">
        <v>187</v>
      </c>
      <c r="F189" s="474" t="s">
        <v>1063</v>
      </c>
      <c r="G189" s="282"/>
      <c r="H189" s="283"/>
      <c r="I189" s="282"/>
      <c r="J189" s="283"/>
      <c r="K189" s="284"/>
      <c r="L189" s="484" t="str">
        <f t="shared" si="39"/>
        <v/>
      </c>
      <c r="M189" s="285"/>
      <c r="N189" s="402" t="str">
        <f t="shared" si="44"/>
        <v>IO.Slot11.DigitalInput11</v>
      </c>
      <c r="O189" s="286" t="str">
        <f t="shared" si="45"/>
        <v>F.</v>
      </c>
      <c r="P189" s="406" t="str">
        <f t="shared" si="46"/>
        <v>F.IO.Slot11.DigitalInput11</v>
      </c>
      <c r="Q189" s="286"/>
      <c r="R189" s="413" t="str">
        <f t="shared" si="33"/>
        <v/>
      </c>
      <c r="S189" s="419" t="str">
        <f t="shared" si="34"/>
        <v>:NAME</v>
      </c>
      <c r="T189" s="286"/>
      <c r="U189" s="287"/>
      <c r="V189" s="287"/>
      <c r="W189" s="287"/>
      <c r="X189" s="287"/>
      <c r="Y189" s="298"/>
      <c r="Z189" s="288"/>
      <c r="AA189" s="289">
        <f t="shared" si="36"/>
        <v>0</v>
      </c>
      <c r="AB189" s="290"/>
      <c r="AC189" s="291"/>
      <c r="AD189" s="292"/>
      <c r="AE189" s="293"/>
      <c r="AG189" s="295"/>
    </row>
    <row r="190" spans="1:33" s="294" customFormat="1" x14ac:dyDescent="0.25">
      <c r="A190" s="487"/>
      <c r="B190" s="490"/>
      <c r="C190" s="493"/>
      <c r="D190" s="390">
        <v>12</v>
      </c>
      <c r="E190" s="399">
        <v>188</v>
      </c>
      <c r="F190" s="474" t="s">
        <v>1105</v>
      </c>
      <c r="G190" s="282" t="s">
        <v>1266</v>
      </c>
      <c r="H190" s="282" t="s">
        <v>1393</v>
      </c>
      <c r="I190" s="282" t="s">
        <v>1397</v>
      </c>
      <c r="J190" s="283" t="s">
        <v>1398</v>
      </c>
      <c r="K190" s="284" t="s">
        <v>1264</v>
      </c>
      <c r="L190" s="484" t="str">
        <f t="shared" si="39"/>
        <v>PSDUS0202:NSB:Z101:WAZ:IMP:ME001</v>
      </c>
      <c r="M190" s="285"/>
      <c r="N190" s="402" t="str">
        <f t="shared" si="44"/>
        <v>IO.Slot11.DigitalInput12</v>
      </c>
      <c r="O190" s="286" t="str">
        <f t="shared" si="45"/>
        <v>F.</v>
      </c>
      <c r="P190" s="406" t="str">
        <f t="shared" si="46"/>
        <v>F.IO.Slot11.DigitalInput12</v>
      </c>
      <c r="Q190" s="286"/>
      <c r="R190" s="413" t="str">
        <f t="shared" si="33"/>
        <v>NSB.Z101.WAZ.IMP.ME001</v>
      </c>
      <c r="S190" s="419" t="str">
        <f t="shared" si="34"/>
        <v>PSDUS0202:NSB:Z101:WAZ:IMP:ME001:NAME</v>
      </c>
      <c r="T190" s="286"/>
      <c r="U190" s="287"/>
      <c r="V190" s="287"/>
      <c r="W190" s="287"/>
      <c r="X190" s="287"/>
      <c r="Y190" s="298"/>
      <c r="Z190" s="288"/>
      <c r="AA190" s="289">
        <f t="shared" si="36"/>
        <v>32</v>
      </c>
      <c r="AB190" s="290"/>
      <c r="AC190" s="291"/>
      <c r="AD190" s="292"/>
      <c r="AE190" s="293"/>
      <c r="AG190" s="295" t="s">
        <v>1394</v>
      </c>
    </row>
    <row r="191" spans="1:33" s="294" customFormat="1" x14ac:dyDescent="0.25">
      <c r="A191" s="487"/>
      <c r="B191" s="490"/>
      <c r="C191" s="493"/>
      <c r="D191" s="390">
        <v>13</v>
      </c>
      <c r="E191" s="399">
        <v>189</v>
      </c>
      <c r="F191" s="474" t="s">
        <v>1106</v>
      </c>
      <c r="G191" s="282" t="s">
        <v>1266</v>
      </c>
      <c r="H191" s="283" t="s">
        <v>1395</v>
      </c>
      <c r="I191" s="283" t="s">
        <v>1397</v>
      </c>
      <c r="J191" s="283" t="s">
        <v>1398</v>
      </c>
      <c r="K191" s="284" t="s">
        <v>1264</v>
      </c>
      <c r="L191" s="484" t="str">
        <f t="shared" si="39"/>
        <v>PSDUS0202:NSB:Z102:WAZ:IMP:ME001</v>
      </c>
      <c r="M191" s="285"/>
      <c r="N191" s="402" t="str">
        <f t="shared" si="44"/>
        <v>IO.Slot11.DigitalInput13</v>
      </c>
      <c r="O191" s="286" t="str">
        <f t="shared" si="45"/>
        <v>F.</v>
      </c>
      <c r="P191" s="406" t="str">
        <f t="shared" si="46"/>
        <v>F.IO.Slot11.DigitalInput13</v>
      </c>
      <c r="Q191" s="286"/>
      <c r="R191" s="413" t="str">
        <f t="shared" si="33"/>
        <v>NSB.Z102.WAZ.IMP.ME001</v>
      </c>
      <c r="S191" s="419" t="str">
        <f t="shared" si="34"/>
        <v>PSDUS0202:NSB:Z102:WAZ:IMP:ME001:NAME</v>
      </c>
      <c r="T191" s="286"/>
      <c r="U191" s="287"/>
      <c r="V191" s="287"/>
      <c r="W191" s="287"/>
      <c r="X191" s="287"/>
      <c r="Y191" s="298"/>
      <c r="Z191" s="288"/>
      <c r="AA191" s="289">
        <f t="shared" si="36"/>
        <v>32</v>
      </c>
      <c r="AB191" s="290"/>
      <c r="AC191" s="291"/>
      <c r="AD191" s="292"/>
      <c r="AE191" s="293"/>
      <c r="AG191" s="295" t="s">
        <v>1396</v>
      </c>
    </row>
    <row r="192" spans="1:33" s="294" customFormat="1" x14ac:dyDescent="0.25">
      <c r="A192" s="487"/>
      <c r="B192" s="490"/>
      <c r="C192" s="493"/>
      <c r="D192" s="390">
        <v>14</v>
      </c>
      <c r="E192" s="399">
        <v>190</v>
      </c>
      <c r="F192" s="474" t="s">
        <v>1107</v>
      </c>
      <c r="G192" s="282" t="s">
        <v>1266</v>
      </c>
      <c r="H192" s="283" t="s">
        <v>1424</v>
      </c>
      <c r="I192" s="304" t="s">
        <v>1426</v>
      </c>
      <c r="J192" s="283" t="s">
        <v>1398</v>
      </c>
      <c r="K192" s="284" t="s">
        <v>1264</v>
      </c>
      <c r="L192" s="484" t="str">
        <f t="shared" si="39"/>
        <v>PSDUS0202:NSB:Z104:ZAE:IMP:ME001</v>
      </c>
      <c r="M192" s="285"/>
      <c r="N192" s="402" t="str">
        <f t="shared" si="44"/>
        <v>IO.Slot11.DigitalInput14</v>
      </c>
      <c r="O192" s="286" t="str">
        <f t="shared" si="45"/>
        <v>F.</v>
      </c>
      <c r="P192" s="406" t="str">
        <f t="shared" si="46"/>
        <v>F.IO.Slot11.DigitalInput14</v>
      </c>
      <c r="Q192" s="286"/>
      <c r="R192" s="413" t="str">
        <f t="shared" si="33"/>
        <v>NSB.Z104.ZAE.IMP.ME001</v>
      </c>
      <c r="S192" s="419" t="str">
        <f t="shared" si="34"/>
        <v>PSDUS0202:NSB:Z104:ZAE:IMP:ME001:NAME</v>
      </c>
      <c r="T192" s="286"/>
      <c r="U192" s="287"/>
      <c r="V192" s="287"/>
      <c r="W192" s="287"/>
      <c r="X192" s="287"/>
      <c r="Y192" s="298"/>
      <c r="Z192" s="288"/>
      <c r="AA192" s="289">
        <f t="shared" si="36"/>
        <v>32</v>
      </c>
      <c r="AB192" s="290"/>
      <c r="AC192" s="291"/>
      <c r="AD192" s="292"/>
      <c r="AE192" s="293"/>
      <c r="AG192" s="295" t="s">
        <v>1425</v>
      </c>
    </row>
    <row r="193" spans="1:33" s="294" customFormat="1" ht="15.75" thickBot="1" x14ac:dyDescent="0.3">
      <c r="A193" s="488"/>
      <c r="B193" s="491"/>
      <c r="C193" s="494"/>
      <c r="D193" s="390">
        <v>15</v>
      </c>
      <c r="E193" s="399">
        <v>191</v>
      </c>
      <c r="F193" s="474" t="s">
        <v>1063</v>
      </c>
      <c r="G193" s="282"/>
      <c r="H193" s="283"/>
      <c r="I193" s="283"/>
      <c r="J193" s="283"/>
      <c r="K193" s="284"/>
      <c r="L193" s="484" t="str">
        <f t="shared" si="39"/>
        <v/>
      </c>
      <c r="M193" s="285"/>
      <c r="N193" s="402" t="str">
        <f t="shared" si="44"/>
        <v>IO.Slot11.DigitalInput15</v>
      </c>
      <c r="O193" s="286" t="str">
        <f t="shared" si="45"/>
        <v>F.</v>
      </c>
      <c r="P193" s="406" t="str">
        <f t="shared" si="46"/>
        <v>F.IO.Slot11.DigitalInput15</v>
      </c>
      <c r="Q193" s="286"/>
      <c r="R193" s="413" t="str">
        <f t="shared" si="33"/>
        <v/>
      </c>
      <c r="S193" s="419" t="str">
        <f t="shared" si="34"/>
        <v>:NAME</v>
      </c>
      <c r="T193" s="286"/>
      <c r="U193" s="287"/>
      <c r="V193" s="287"/>
      <c r="W193" s="287"/>
      <c r="X193" s="287"/>
      <c r="Y193" s="298"/>
      <c r="Z193" s="288"/>
      <c r="AA193" s="289">
        <f t="shared" si="36"/>
        <v>0</v>
      </c>
      <c r="AB193" s="290"/>
      <c r="AC193" s="291"/>
      <c r="AD193" s="292"/>
      <c r="AE193" s="293"/>
      <c r="AG193" s="295"/>
    </row>
    <row r="194" spans="1:33" s="279" customFormat="1" ht="14.45" customHeight="1" x14ac:dyDescent="0.25">
      <c r="A194" s="486" t="s">
        <v>1</v>
      </c>
      <c r="B194" s="489" t="str">
        <f>LOOKUP(A194,Module,IO)</f>
        <v>DigitalInput</v>
      </c>
      <c r="C194" s="492" t="s">
        <v>20</v>
      </c>
      <c r="D194" s="389" t="s">
        <v>160</v>
      </c>
      <c r="E194" s="398">
        <v>192</v>
      </c>
      <c r="F194" s="476" t="s">
        <v>1108</v>
      </c>
      <c r="G194" s="267" t="s">
        <v>1267</v>
      </c>
      <c r="H194" s="267" t="s">
        <v>600</v>
      </c>
      <c r="I194" s="268" t="s">
        <v>1263</v>
      </c>
      <c r="J194" s="268" t="s">
        <v>1265</v>
      </c>
      <c r="K194" s="269" t="s">
        <v>1264</v>
      </c>
      <c r="L194" s="483" t="str">
        <f t="shared" si="39"/>
        <v>PSDUS0202:BSB:B204:DRK:XXX:ME001</v>
      </c>
      <c r="M194" s="270"/>
      <c r="N194" s="401" t="str">
        <f t="shared" ref="N194:N209" si="47">IF(F194&lt;&gt;"",IF($H$1&lt;&gt;"","IO"&amp;".","IO.")&amp;$C$194&amp;"."&amp;$B$194&amp;D194,"")</f>
        <v>IO.Slot12.DigitalInput0</v>
      </c>
      <c r="O194" s="271" t="str">
        <f t="shared" ref="O194:O209" si="48">LOOKUP($A$194,Module,Type)</f>
        <v>F.</v>
      </c>
      <c r="P194" s="405" t="str">
        <f>O194&amp;N194</f>
        <v>F.IO.Slot12.DigitalInput0</v>
      </c>
      <c r="Q194" s="271"/>
      <c r="R194" s="412" t="str">
        <f t="shared" ref="R194:R257" si="49">IF(G194&lt;&gt;"",G194&amp;"."&amp;H194&amp;"."&amp;I194&amp;"."&amp;J194&amp;IF(K194&lt;&gt;"","."&amp;K194,""),"")</f>
        <v>BSB.B204.DRK.XXX.ME001</v>
      </c>
      <c r="S194" s="418" t="str">
        <f t="shared" ref="S194:S257" si="50">L194&amp;":NAME"</f>
        <v>PSDUS0202:BSB:B204:DRK:XXX:ME001:NAME</v>
      </c>
      <c r="T194" s="271"/>
      <c r="U194" s="272"/>
      <c r="V194" s="272"/>
      <c r="W194" s="272"/>
      <c r="X194" s="272"/>
      <c r="Y194" s="297"/>
      <c r="Z194" s="273"/>
      <c r="AA194" s="274">
        <f t="shared" si="36"/>
        <v>32</v>
      </c>
      <c r="AB194" s="275"/>
      <c r="AC194" s="276"/>
      <c r="AD194" s="277"/>
      <c r="AE194" s="278"/>
      <c r="AG194" s="280" t="s">
        <v>1287</v>
      </c>
    </row>
    <row r="195" spans="1:33" s="294" customFormat="1" x14ac:dyDescent="0.25">
      <c r="A195" s="487"/>
      <c r="B195" s="490"/>
      <c r="C195" s="493"/>
      <c r="D195" s="390">
        <v>1</v>
      </c>
      <c r="E195" s="399">
        <v>193</v>
      </c>
      <c r="F195" s="474" t="s">
        <v>1109</v>
      </c>
      <c r="G195" s="282" t="s">
        <v>1267</v>
      </c>
      <c r="H195" s="282" t="s">
        <v>601</v>
      </c>
      <c r="I195" s="306" t="s">
        <v>1263</v>
      </c>
      <c r="J195" s="283" t="s">
        <v>1265</v>
      </c>
      <c r="K195" s="284" t="s">
        <v>1264</v>
      </c>
      <c r="L195" s="484" t="str">
        <f t="shared" si="39"/>
        <v>PSDUS0202:BSB:B205:DRK:XXX:ME001</v>
      </c>
      <c r="M195" s="310"/>
      <c r="N195" s="402" t="str">
        <f t="shared" si="47"/>
        <v>IO.Slot12.DigitalInput1</v>
      </c>
      <c r="O195" s="286" t="str">
        <f t="shared" si="48"/>
        <v>F.</v>
      </c>
      <c r="P195" s="406" t="str">
        <f t="shared" ref="P195:P209" si="51">O195&amp;N195</f>
        <v>F.IO.Slot12.DigitalInput1</v>
      </c>
      <c r="Q195" s="302"/>
      <c r="R195" s="413" t="str">
        <f t="shared" si="49"/>
        <v>BSB.B205.DRK.XXX.ME001</v>
      </c>
      <c r="S195" s="419" t="str">
        <f t="shared" si="50"/>
        <v>PSDUS0202:BSB:B205:DRK:XXX:ME001:NAME</v>
      </c>
      <c r="T195" s="286"/>
      <c r="U195" s="287"/>
      <c r="V195" s="287"/>
      <c r="W195" s="287"/>
      <c r="X195" s="287"/>
      <c r="Y195" s="298"/>
      <c r="Z195" s="288"/>
      <c r="AA195" s="289">
        <f t="shared" ref="AA195:AA258" si="52">LEN(L195)</f>
        <v>32</v>
      </c>
      <c r="AB195" s="290"/>
      <c r="AC195" s="291"/>
      <c r="AD195" s="292"/>
      <c r="AE195" s="293"/>
      <c r="AG195" s="295" t="s">
        <v>1288</v>
      </c>
    </row>
    <row r="196" spans="1:33" s="294" customFormat="1" x14ac:dyDescent="0.25">
      <c r="A196" s="487"/>
      <c r="B196" s="490"/>
      <c r="C196" s="493"/>
      <c r="D196" s="390">
        <v>2</v>
      </c>
      <c r="E196" s="399">
        <v>194</v>
      </c>
      <c r="F196" s="474" t="s">
        <v>1110</v>
      </c>
      <c r="G196" s="282" t="s">
        <v>1267</v>
      </c>
      <c r="H196" s="283" t="s">
        <v>1271</v>
      </c>
      <c r="I196" s="282" t="s">
        <v>1269</v>
      </c>
      <c r="J196" s="283" t="s">
        <v>1265</v>
      </c>
      <c r="K196" s="300" t="s">
        <v>1264</v>
      </c>
      <c r="L196" s="484" t="str">
        <f t="shared" si="39"/>
        <v>PSDUS0202:BSB:Z203:DUF:XXX:ME001</v>
      </c>
      <c r="M196" s="310"/>
      <c r="N196" s="402" t="str">
        <f t="shared" si="47"/>
        <v>IO.Slot12.DigitalInput2</v>
      </c>
      <c r="O196" s="286" t="str">
        <f t="shared" si="48"/>
        <v>F.</v>
      </c>
      <c r="P196" s="408" t="str">
        <f t="shared" si="51"/>
        <v>F.IO.Slot12.DigitalInput2</v>
      </c>
      <c r="Q196" s="302"/>
      <c r="R196" s="413" t="str">
        <f t="shared" si="49"/>
        <v>BSB.Z203.DUF.XXX.ME001</v>
      </c>
      <c r="S196" s="419" t="str">
        <f t="shared" si="50"/>
        <v>PSDUS0202:BSB:Z203:DUF:XXX:ME001:NAME</v>
      </c>
      <c r="T196" s="286"/>
      <c r="U196" s="287"/>
      <c r="V196" s="287"/>
      <c r="W196" s="287"/>
      <c r="X196" s="287"/>
      <c r="Y196" s="298"/>
      <c r="Z196" s="288"/>
      <c r="AA196" s="289">
        <f t="shared" si="52"/>
        <v>32</v>
      </c>
      <c r="AB196" s="290"/>
      <c r="AC196" s="291"/>
      <c r="AD196" s="292"/>
      <c r="AE196" s="293"/>
      <c r="AG196" s="295" t="s">
        <v>1272</v>
      </c>
    </row>
    <row r="197" spans="1:33" s="294" customFormat="1" x14ac:dyDescent="0.25">
      <c r="A197" s="487"/>
      <c r="B197" s="490"/>
      <c r="C197" s="493"/>
      <c r="D197" s="390">
        <v>3</v>
      </c>
      <c r="E197" s="399">
        <v>195</v>
      </c>
      <c r="F197" s="474" t="s">
        <v>1111</v>
      </c>
      <c r="G197" s="282" t="s">
        <v>1267</v>
      </c>
      <c r="H197" s="283" t="s">
        <v>602</v>
      </c>
      <c r="I197" s="282" t="s">
        <v>1263</v>
      </c>
      <c r="J197" s="283" t="s">
        <v>1276</v>
      </c>
      <c r="K197" s="284" t="s">
        <v>1264</v>
      </c>
      <c r="L197" s="484" t="str">
        <f t="shared" si="39"/>
        <v>PSDUS0202:BSB:B201:DRK:FUE:ME001</v>
      </c>
      <c r="M197" s="310"/>
      <c r="N197" s="402" t="str">
        <f t="shared" si="47"/>
        <v>IO.Slot12.DigitalInput3</v>
      </c>
      <c r="O197" s="286" t="str">
        <f t="shared" si="48"/>
        <v>F.</v>
      </c>
      <c r="P197" s="406" t="str">
        <f t="shared" si="51"/>
        <v>F.IO.Slot12.DigitalInput3</v>
      </c>
      <c r="Q197" s="302"/>
      <c r="R197" s="413" t="str">
        <f t="shared" si="49"/>
        <v>BSB.B201.DRK.FUE.ME001</v>
      </c>
      <c r="S197" s="419" t="str">
        <f t="shared" si="50"/>
        <v>PSDUS0202:BSB:B201:DRK:FUE:ME001:NAME</v>
      </c>
      <c r="T197" s="286"/>
      <c r="U197" s="287"/>
      <c r="V197" s="287"/>
      <c r="W197" s="287"/>
      <c r="X197" s="287"/>
      <c r="Y197" s="298"/>
      <c r="Z197" s="288"/>
      <c r="AA197" s="289">
        <f t="shared" si="52"/>
        <v>32</v>
      </c>
      <c r="AB197" s="290"/>
      <c r="AC197" s="291"/>
      <c r="AD197" s="292"/>
      <c r="AE197" s="293"/>
      <c r="AG197" s="295" t="s">
        <v>1278</v>
      </c>
    </row>
    <row r="198" spans="1:33" s="294" customFormat="1" x14ac:dyDescent="0.25">
      <c r="A198" s="487"/>
      <c r="B198" s="490"/>
      <c r="C198" s="493"/>
      <c r="D198" s="390">
        <v>4</v>
      </c>
      <c r="E198" s="399">
        <v>196</v>
      </c>
      <c r="F198" s="474" t="s">
        <v>1063</v>
      </c>
      <c r="G198" s="282"/>
      <c r="H198" s="283"/>
      <c r="I198" s="282"/>
      <c r="J198" s="283"/>
      <c r="K198" s="284"/>
      <c r="L198" s="484" t="str">
        <f t="shared" si="39"/>
        <v/>
      </c>
      <c r="M198" s="310"/>
      <c r="N198" s="402" t="str">
        <f t="shared" si="47"/>
        <v>IO.Slot12.DigitalInput4</v>
      </c>
      <c r="O198" s="286" t="str">
        <f t="shared" si="48"/>
        <v>F.</v>
      </c>
      <c r="P198" s="406" t="str">
        <f t="shared" si="51"/>
        <v>F.IO.Slot12.DigitalInput4</v>
      </c>
      <c r="Q198" s="302"/>
      <c r="R198" s="413" t="str">
        <f t="shared" si="49"/>
        <v/>
      </c>
      <c r="S198" s="419" t="str">
        <f t="shared" si="50"/>
        <v>:NAME</v>
      </c>
      <c r="T198" s="286"/>
      <c r="U198" s="287"/>
      <c r="V198" s="287"/>
      <c r="W198" s="287"/>
      <c r="X198" s="287"/>
      <c r="Y198" s="298"/>
      <c r="Z198" s="288"/>
      <c r="AA198" s="289">
        <f t="shared" si="52"/>
        <v>0</v>
      </c>
      <c r="AB198" s="290"/>
      <c r="AC198" s="291"/>
      <c r="AD198" s="292"/>
      <c r="AE198" s="293"/>
      <c r="AG198" s="295"/>
    </row>
    <row r="199" spans="1:33" s="294" customFormat="1" x14ac:dyDescent="0.25">
      <c r="A199" s="487"/>
      <c r="B199" s="490"/>
      <c r="C199" s="493"/>
      <c r="D199" s="390">
        <v>5</v>
      </c>
      <c r="E199" s="399">
        <v>197</v>
      </c>
      <c r="F199" s="474" t="s">
        <v>1112</v>
      </c>
      <c r="G199" s="282" t="s">
        <v>1267</v>
      </c>
      <c r="H199" s="282" t="s">
        <v>604</v>
      </c>
      <c r="I199" s="304" t="s">
        <v>1279</v>
      </c>
      <c r="J199" s="283" t="s">
        <v>1265</v>
      </c>
      <c r="K199" s="284" t="s">
        <v>1264</v>
      </c>
      <c r="L199" s="484" t="str">
        <f t="shared" si="39"/>
        <v>PSDUS0202:BSB:B203:TMP:XXX:ME001</v>
      </c>
      <c r="M199" s="310"/>
      <c r="N199" s="402" t="str">
        <f t="shared" si="47"/>
        <v>IO.Slot12.DigitalInput5</v>
      </c>
      <c r="O199" s="286" t="str">
        <f t="shared" si="48"/>
        <v>F.</v>
      </c>
      <c r="P199" s="406" t="str">
        <f t="shared" si="51"/>
        <v>F.IO.Slot12.DigitalInput5</v>
      </c>
      <c r="Q199" s="302"/>
      <c r="R199" s="413" t="str">
        <f t="shared" si="49"/>
        <v>BSB.B203.TMP.XXX.ME001</v>
      </c>
      <c r="S199" s="419" t="str">
        <f t="shared" si="50"/>
        <v>PSDUS0202:BSB:B203:TMP:XXX:ME001:NAME</v>
      </c>
      <c r="T199" s="286"/>
      <c r="U199" s="287"/>
      <c r="V199" s="287"/>
      <c r="W199" s="287"/>
      <c r="X199" s="287"/>
      <c r="Y199" s="298"/>
      <c r="Z199" s="288"/>
      <c r="AA199" s="289">
        <f t="shared" si="52"/>
        <v>32</v>
      </c>
      <c r="AB199" s="290"/>
      <c r="AC199" s="291"/>
      <c r="AD199" s="292"/>
      <c r="AE199" s="293"/>
      <c r="AG199" s="295" t="s">
        <v>1290</v>
      </c>
    </row>
    <row r="200" spans="1:33" s="294" customFormat="1" x14ac:dyDescent="0.25">
      <c r="A200" s="487"/>
      <c r="B200" s="490"/>
      <c r="C200" s="493"/>
      <c r="D200" s="390">
        <v>6</v>
      </c>
      <c r="E200" s="399">
        <v>198</v>
      </c>
      <c r="F200" s="474" t="s">
        <v>1113</v>
      </c>
      <c r="G200" s="282" t="s">
        <v>1267</v>
      </c>
      <c r="H200" s="282" t="s">
        <v>603</v>
      </c>
      <c r="I200" s="282" t="s">
        <v>1279</v>
      </c>
      <c r="J200" s="283" t="s">
        <v>1265</v>
      </c>
      <c r="K200" s="284" t="s">
        <v>1264</v>
      </c>
      <c r="L200" s="484" t="str">
        <f t="shared" si="39"/>
        <v>PSDUS0202:BSB:B202:TMP:XXX:ME001</v>
      </c>
      <c r="M200" s="310"/>
      <c r="N200" s="402" t="str">
        <f t="shared" si="47"/>
        <v>IO.Slot12.DigitalInput6</v>
      </c>
      <c r="O200" s="286" t="str">
        <f t="shared" si="48"/>
        <v>F.</v>
      </c>
      <c r="P200" s="406" t="str">
        <f t="shared" si="51"/>
        <v>F.IO.Slot12.DigitalInput6</v>
      </c>
      <c r="Q200" s="302"/>
      <c r="R200" s="413" t="str">
        <f t="shared" si="49"/>
        <v>BSB.B202.TMP.XXX.ME001</v>
      </c>
      <c r="S200" s="419" t="str">
        <f t="shared" si="50"/>
        <v>PSDUS0202:BSB:B202:TMP:XXX:ME001:NAME</v>
      </c>
      <c r="T200" s="286"/>
      <c r="U200" s="287"/>
      <c r="V200" s="287"/>
      <c r="W200" s="287"/>
      <c r="X200" s="287"/>
      <c r="Y200" s="287"/>
      <c r="Z200" s="288"/>
      <c r="AA200" s="289">
        <f t="shared" si="52"/>
        <v>32</v>
      </c>
      <c r="AB200" s="290"/>
      <c r="AC200" s="291"/>
      <c r="AD200" s="292"/>
      <c r="AE200" s="293"/>
      <c r="AG200" s="295" t="s">
        <v>1289</v>
      </c>
    </row>
    <row r="201" spans="1:33" s="294" customFormat="1" x14ac:dyDescent="0.25">
      <c r="A201" s="487"/>
      <c r="B201" s="490"/>
      <c r="C201" s="493"/>
      <c r="D201" s="390">
        <v>7</v>
      </c>
      <c r="E201" s="399">
        <v>199</v>
      </c>
      <c r="F201" s="474" t="s">
        <v>1063</v>
      </c>
      <c r="G201" s="282"/>
      <c r="H201" s="283"/>
      <c r="I201" s="282"/>
      <c r="J201" s="283"/>
      <c r="K201" s="284"/>
      <c r="L201" s="484" t="str">
        <f t="shared" si="39"/>
        <v/>
      </c>
      <c r="M201" s="310"/>
      <c r="N201" s="402" t="str">
        <f t="shared" si="47"/>
        <v>IO.Slot12.DigitalInput7</v>
      </c>
      <c r="O201" s="286" t="str">
        <f t="shared" si="48"/>
        <v>F.</v>
      </c>
      <c r="P201" s="406" t="str">
        <f t="shared" si="51"/>
        <v>F.IO.Slot12.DigitalInput7</v>
      </c>
      <c r="Q201" s="302"/>
      <c r="R201" s="413" t="str">
        <f t="shared" si="49"/>
        <v/>
      </c>
      <c r="S201" s="419" t="str">
        <f t="shared" si="50"/>
        <v>:NAME</v>
      </c>
      <c r="T201" s="286"/>
      <c r="U201" s="287"/>
      <c r="V201" s="287"/>
      <c r="W201" s="287"/>
      <c r="X201" s="287"/>
      <c r="Y201" s="298"/>
      <c r="Z201" s="288"/>
      <c r="AA201" s="289">
        <f t="shared" si="52"/>
        <v>0</v>
      </c>
      <c r="AB201" s="290"/>
      <c r="AC201" s="291"/>
      <c r="AD201" s="292"/>
      <c r="AE201" s="293"/>
      <c r="AG201" s="295"/>
    </row>
    <row r="202" spans="1:33" s="294" customFormat="1" x14ac:dyDescent="0.25">
      <c r="A202" s="487"/>
      <c r="B202" s="490"/>
      <c r="C202" s="493"/>
      <c r="D202" s="390">
        <v>8</v>
      </c>
      <c r="E202" s="399">
        <v>200</v>
      </c>
      <c r="F202" s="474"/>
      <c r="G202" s="282"/>
      <c r="H202" s="282"/>
      <c r="I202" s="282"/>
      <c r="J202" s="283"/>
      <c r="K202" s="284"/>
      <c r="L202" s="484" t="str">
        <f t="shared" si="39"/>
        <v/>
      </c>
      <c r="M202" s="285"/>
      <c r="N202" s="402" t="str">
        <f t="shared" si="47"/>
        <v/>
      </c>
      <c r="O202" s="286" t="str">
        <f t="shared" si="48"/>
        <v>F.</v>
      </c>
      <c r="P202" s="406" t="str">
        <f t="shared" si="51"/>
        <v>F.</v>
      </c>
      <c r="Q202" s="286"/>
      <c r="R202" s="413" t="str">
        <f t="shared" si="49"/>
        <v/>
      </c>
      <c r="S202" s="419" t="str">
        <f t="shared" si="50"/>
        <v>:NAME</v>
      </c>
      <c r="T202" s="286"/>
      <c r="U202" s="287"/>
      <c r="V202" s="287"/>
      <c r="W202" s="287"/>
      <c r="X202" s="287"/>
      <c r="Y202" s="298"/>
      <c r="Z202" s="288"/>
      <c r="AA202" s="289">
        <f t="shared" si="52"/>
        <v>0</v>
      </c>
      <c r="AB202" s="290"/>
      <c r="AC202" s="291"/>
      <c r="AD202" s="292"/>
      <c r="AE202" s="293"/>
      <c r="AG202" s="295"/>
    </row>
    <row r="203" spans="1:33" s="294" customFormat="1" x14ac:dyDescent="0.25">
      <c r="A203" s="487"/>
      <c r="B203" s="490"/>
      <c r="C203" s="493"/>
      <c r="D203" s="390">
        <v>9</v>
      </c>
      <c r="E203" s="399">
        <v>201</v>
      </c>
      <c r="F203" s="474"/>
      <c r="G203" s="282"/>
      <c r="H203" s="282"/>
      <c r="I203" s="282"/>
      <c r="J203" s="283"/>
      <c r="K203" s="284"/>
      <c r="L203" s="484" t="str">
        <f t="shared" si="39"/>
        <v/>
      </c>
      <c r="M203" s="285"/>
      <c r="N203" s="402" t="str">
        <f t="shared" si="47"/>
        <v/>
      </c>
      <c r="O203" s="286" t="str">
        <f t="shared" si="48"/>
        <v>F.</v>
      </c>
      <c r="P203" s="406" t="str">
        <f t="shared" si="51"/>
        <v>F.</v>
      </c>
      <c r="Q203" s="286"/>
      <c r="R203" s="413" t="str">
        <f t="shared" si="49"/>
        <v/>
      </c>
      <c r="S203" s="419" t="str">
        <f t="shared" si="50"/>
        <v>:NAME</v>
      </c>
      <c r="T203" s="286"/>
      <c r="U203" s="287"/>
      <c r="V203" s="287"/>
      <c r="W203" s="287"/>
      <c r="X203" s="287"/>
      <c r="Y203" s="298"/>
      <c r="Z203" s="288"/>
      <c r="AA203" s="289">
        <f t="shared" si="52"/>
        <v>0</v>
      </c>
      <c r="AB203" s="290"/>
      <c r="AC203" s="291"/>
      <c r="AD203" s="292"/>
      <c r="AE203" s="293"/>
      <c r="AG203" s="295"/>
    </row>
    <row r="204" spans="1:33" s="294" customFormat="1" x14ac:dyDescent="0.25">
      <c r="A204" s="487"/>
      <c r="B204" s="490"/>
      <c r="C204" s="493"/>
      <c r="D204" s="390">
        <v>10</v>
      </c>
      <c r="E204" s="399">
        <v>202</v>
      </c>
      <c r="F204" s="474"/>
      <c r="G204" s="311"/>
      <c r="H204" s="311"/>
      <c r="I204" s="311"/>
      <c r="J204" s="283"/>
      <c r="K204" s="284"/>
      <c r="L204" s="484" t="str">
        <f t="shared" si="39"/>
        <v/>
      </c>
      <c r="M204" s="285"/>
      <c r="N204" s="402" t="str">
        <f t="shared" si="47"/>
        <v/>
      </c>
      <c r="O204" s="307" t="str">
        <f t="shared" si="48"/>
        <v>F.</v>
      </c>
      <c r="P204" s="407" t="str">
        <f t="shared" si="51"/>
        <v>F.</v>
      </c>
      <c r="Q204" s="307"/>
      <c r="R204" s="414" t="str">
        <f t="shared" si="49"/>
        <v/>
      </c>
      <c r="S204" s="420" t="str">
        <f t="shared" si="50"/>
        <v>:NAME</v>
      </c>
      <c r="T204" s="286"/>
      <c r="U204" s="287"/>
      <c r="V204" s="287"/>
      <c r="W204" s="287"/>
      <c r="X204" s="287"/>
      <c r="Y204" s="298"/>
      <c r="Z204" s="288"/>
      <c r="AA204" s="289">
        <f t="shared" si="52"/>
        <v>0</v>
      </c>
      <c r="AB204" s="290"/>
      <c r="AC204" s="291"/>
      <c r="AD204" s="292"/>
      <c r="AE204" s="293"/>
      <c r="AG204" s="295"/>
    </row>
    <row r="205" spans="1:33" s="294" customFormat="1" x14ac:dyDescent="0.25">
      <c r="A205" s="487"/>
      <c r="B205" s="490"/>
      <c r="C205" s="493"/>
      <c r="D205" s="390">
        <v>11</v>
      </c>
      <c r="E205" s="399">
        <v>203</v>
      </c>
      <c r="F205" s="474"/>
      <c r="G205" s="282"/>
      <c r="H205" s="282"/>
      <c r="I205" s="283"/>
      <c r="J205" s="283"/>
      <c r="K205" s="284"/>
      <c r="L205" s="484" t="str">
        <f t="shared" si="39"/>
        <v/>
      </c>
      <c r="M205" s="285"/>
      <c r="N205" s="402" t="str">
        <f t="shared" si="47"/>
        <v/>
      </c>
      <c r="O205" s="286" t="str">
        <f t="shared" si="48"/>
        <v>F.</v>
      </c>
      <c r="P205" s="406" t="str">
        <f t="shared" si="51"/>
        <v>F.</v>
      </c>
      <c r="Q205" s="286"/>
      <c r="R205" s="413" t="str">
        <f t="shared" si="49"/>
        <v/>
      </c>
      <c r="S205" s="419" t="str">
        <f t="shared" si="50"/>
        <v>:NAME</v>
      </c>
      <c r="T205" s="286"/>
      <c r="U205" s="287"/>
      <c r="V205" s="287"/>
      <c r="W205" s="287"/>
      <c r="X205" s="287"/>
      <c r="Y205" s="298"/>
      <c r="Z205" s="288"/>
      <c r="AA205" s="289">
        <f t="shared" si="52"/>
        <v>0</v>
      </c>
      <c r="AB205" s="290"/>
      <c r="AC205" s="291"/>
      <c r="AD205" s="292"/>
      <c r="AE205" s="293"/>
      <c r="AG205" s="295"/>
    </row>
    <row r="206" spans="1:33" s="294" customFormat="1" x14ac:dyDescent="0.25">
      <c r="A206" s="487"/>
      <c r="B206" s="490"/>
      <c r="C206" s="493"/>
      <c r="D206" s="390">
        <v>12</v>
      </c>
      <c r="E206" s="399">
        <v>204</v>
      </c>
      <c r="F206" s="474"/>
      <c r="G206" s="282"/>
      <c r="H206" s="282"/>
      <c r="I206" s="283"/>
      <c r="J206" s="283"/>
      <c r="K206" s="284"/>
      <c r="L206" s="484" t="str">
        <f t="shared" si="39"/>
        <v/>
      </c>
      <c r="M206" s="285"/>
      <c r="N206" s="402" t="str">
        <f t="shared" si="47"/>
        <v/>
      </c>
      <c r="O206" s="286" t="str">
        <f t="shared" si="48"/>
        <v>F.</v>
      </c>
      <c r="P206" s="406" t="str">
        <f t="shared" si="51"/>
        <v>F.</v>
      </c>
      <c r="Q206" s="286"/>
      <c r="R206" s="413" t="str">
        <f t="shared" si="49"/>
        <v/>
      </c>
      <c r="S206" s="419" t="str">
        <f t="shared" si="50"/>
        <v>:NAME</v>
      </c>
      <c r="T206" s="286"/>
      <c r="U206" s="287"/>
      <c r="V206" s="287"/>
      <c r="W206" s="287"/>
      <c r="X206" s="287"/>
      <c r="Y206" s="298"/>
      <c r="Z206" s="288"/>
      <c r="AA206" s="289">
        <f t="shared" si="52"/>
        <v>0</v>
      </c>
      <c r="AB206" s="290"/>
      <c r="AC206" s="291"/>
      <c r="AD206" s="292"/>
      <c r="AE206" s="293"/>
      <c r="AG206" s="295"/>
    </row>
    <row r="207" spans="1:33" s="294" customFormat="1" x14ac:dyDescent="0.25">
      <c r="A207" s="487"/>
      <c r="B207" s="490"/>
      <c r="C207" s="493"/>
      <c r="D207" s="390">
        <v>13</v>
      </c>
      <c r="E207" s="399">
        <v>205</v>
      </c>
      <c r="F207" s="474"/>
      <c r="G207" s="282"/>
      <c r="H207" s="283"/>
      <c r="I207" s="283"/>
      <c r="J207" s="283"/>
      <c r="K207" s="284"/>
      <c r="L207" s="484" t="str">
        <f t="shared" si="39"/>
        <v/>
      </c>
      <c r="M207" s="285"/>
      <c r="N207" s="402" t="str">
        <f t="shared" si="47"/>
        <v/>
      </c>
      <c r="O207" s="286" t="str">
        <f t="shared" si="48"/>
        <v>F.</v>
      </c>
      <c r="P207" s="406" t="str">
        <f t="shared" si="51"/>
        <v>F.</v>
      </c>
      <c r="Q207" s="286"/>
      <c r="R207" s="413" t="str">
        <f t="shared" si="49"/>
        <v/>
      </c>
      <c r="S207" s="419" t="str">
        <f t="shared" si="50"/>
        <v>:NAME</v>
      </c>
      <c r="T207" s="286"/>
      <c r="U207" s="287"/>
      <c r="V207" s="287"/>
      <c r="W207" s="287"/>
      <c r="X207" s="287"/>
      <c r="Y207" s="287"/>
      <c r="Z207" s="288"/>
      <c r="AA207" s="289">
        <f t="shared" si="52"/>
        <v>0</v>
      </c>
      <c r="AB207" s="290"/>
      <c r="AC207" s="291"/>
      <c r="AD207" s="292"/>
      <c r="AE207" s="293"/>
      <c r="AG207" s="295"/>
    </row>
    <row r="208" spans="1:33" s="294" customFormat="1" x14ac:dyDescent="0.25">
      <c r="A208" s="487"/>
      <c r="B208" s="490"/>
      <c r="C208" s="493"/>
      <c r="D208" s="390">
        <v>14</v>
      </c>
      <c r="E208" s="399">
        <v>206</v>
      </c>
      <c r="F208" s="474"/>
      <c r="G208" s="282"/>
      <c r="H208" s="283"/>
      <c r="I208" s="283"/>
      <c r="J208" s="283"/>
      <c r="K208" s="284"/>
      <c r="L208" s="484" t="str">
        <f t="shared" si="39"/>
        <v/>
      </c>
      <c r="M208" s="285"/>
      <c r="N208" s="402" t="str">
        <f t="shared" si="47"/>
        <v/>
      </c>
      <c r="O208" s="286" t="str">
        <f t="shared" si="48"/>
        <v>F.</v>
      </c>
      <c r="P208" s="406" t="str">
        <f t="shared" si="51"/>
        <v>F.</v>
      </c>
      <c r="Q208" s="286"/>
      <c r="R208" s="413" t="str">
        <f t="shared" si="49"/>
        <v/>
      </c>
      <c r="S208" s="419" t="str">
        <f t="shared" si="50"/>
        <v>:NAME</v>
      </c>
      <c r="T208" s="286"/>
      <c r="U208" s="287"/>
      <c r="V208" s="287"/>
      <c r="W208" s="287"/>
      <c r="X208" s="287"/>
      <c r="Y208" s="287"/>
      <c r="Z208" s="288"/>
      <c r="AA208" s="289">
        <f t="shared" si="52"/>
        <v>0</v>
      </c>
      <c r="AB208" s="290"/>
      <c r="AC208" s="291"/>
      <c r="AD208" s="292"/>
      <c r="AE208" s="293"/>
      <c r="AG208" s="295"/>
    </row>
    <row r="209" spans="1:33" s="294" customFormat="1" ht="15.75" thickBot="1" x14ac:dyDescent="0.3">
      <c r="A209" s="488"/>
      <c r="B209" s="491"/>
      <c r="C209" s="494"/>
      <c r="D209" s="390">
        <v>15</v>
      </c>
      <c r="E209" s="399">
        <v>207</v>
      </c>
      <c r="F209" s="474"/>
      <c r="G209" s="282"/>
      <c r="H209" s="283"/>
      <c r="I209" s="283"/>
      <c r="J209" s="283"/>
      <c r="K209" s="284"/>
      <c r="L209" s="484" t="str">
        <f t="shared" si="39"/>
        <v/>
      </c>
      <c r="M209" s="285"/>
      <c r="N209" s="402" t="str">
        <f t="shared" si="47"/>
        <v/>
      </c>
      <c r="O209" s="286" t="str">
        <f t="shared" si="48"/>
        <v>F.</v>
      </c>
      <c r="P209" s="406" t="str">
        <f t="shared" si="51"/>
        <v>F.</v>
      </c>
      <c r="Q209" s="286"/>
      <c r="R209" s="413" t="str">
        <f t="shared" si="49"/>
        <v/>
      </c>
      <c r="S209" s="419" t="str">
        <f t="shared" si="50"/>
        <v>:NAME</v>
      </c>
      <c r="T209" s="286"/>
      <c r="U209" s="287"/>
      <c r="V209" s="287"/>
      <c r="W209" s="287"/>
      <c r="X209" s="287"/>
      <c r="Y209" s="287"/>
      <c r="Z209" s="288"/>
      <c r="AA209" s="289">
        <f t="shared" si="52"/>
        <v>0</v>
      </c>
      <c r="AB209" s="290"/>
      <c r="AC209" s="291"/>
      <c r="AD209" s="292"/>
      <c r="AE209" s="293"/>
      <c r="AG209" s="295"/>
    </row>
    <row r="210" spans="1:33" s="279" customFormat="1" ht="14.45" customHeight="1" x14ac:dyDescent="0.25">
      <c r="A210" s="486" t="s">
        <v>3</v>
      </c>
      <c r="B210" s="489" t="str">
        <f>LOOKUP(A210,Module,IO)</f>
        <v>AnalogueInput</v>
      </c>
      <c r="C210" s="492" t="s">
        <v>21</v>
      </c>
      <c r="D210" s="389" t="s">
        <v>160</v>
      </c>
      <c r="E210" s="398">
        <v>208</v>
      </c>
      <c r="F210" s="476" t="s">
        <v>1114</v>
      </c>
      <c r="G210" s="267" t="s">
        <v>1267</v>
      </c>
      <c r="H210" s="268" t="s">
        <v>1324</v>
      </c>
      <c r="I210" s="267" t="s">
        <v>1292</v>
      </c>
      <c r="J210" s="268" t="s">
        <v>1293</v>
      </c>
      <c r="K210" s="269" t="s">
        <v>1264</v>
      </c>
      <c r="L210" s="483" t="str">
        <f t="shared" si="39"/>
        <v>PSDUS0202:BSB:M201:PUM:LET:ME001</v>
      </c>
      <c r="M210" s="312"/>
      <c r="N210" s="401" t="str">
        <f t="shared" ref="N210:N225" si="53">IF(F210&lt;&gt;"",IF($H$1&lt;&gt;"","IO"&amp;".","IO.")&amp;$C$210&amp;"."&amp;$B$210&amp;D210,"")</f>
        <v>IO.Slot13.AnalogueInput0</v>
      </c>
      <c r="O210" s="271" t="str">
        <f t="shared" ref="O210:O225" si="54">LOOKUP($A$210,Module,Type)</f>
        <v>R.</v>
      </c>
      <c r="P210" s="405" t="str">
        <f>O210&amp;N210</f>
        <v>R.IO.Slot13.AnalogueInput0</v>
      </c>
      <c r="Q210" s="313"/>
      <c r="R210" s="412" t="str">
        <f t="shared" si="49"/>
        <v>BSB.M201.PUM.LET.ME001</v>
      </c>
      <c r="S210" s="418" t="str">
        <f t="shared" si="50"/>
        <v>PSDUS0202:BSB:M201:PUM:LET:ME001:NAME</v>
      </c>
      <c r="T210" s="271"/>
      <c r="U210" s="272"/>
      <c r="V210" s="272"/>
      <c r="W210" s="272"/>
      <c r="X210" s="297"/>
      <c r="Y210" s="297"/>
      <c r="Z210" s="273"/>
      <c r="AA210" s="274">
        <f t="shared" si="52"/>
        <v>32</v>
      </c>
      <c r="AB210" s="275"/>
      <c r="AC210" s="276"/>
      <c r="AD210" s="277"/>
      <c r="AE210" s="278"/>
      <c r="AG210" s="280" t="s">
        <v>1358</v>
      </c>
    </row>
    <row r="211" spans="1:33" s="294" customFormat="1" x14ac:dyDescent="0.25">
      <c r="A211" s="487"/>
      <c r="B211" s="490"/>
      <c r="C211" s="493"/>
      <c r="D211" s="390">
        <v>1</v>
      </c>
      <c r="E211" s="399">
        <v>209</v>
      </c>
      <c r="F211" s="474" t="s">
        <v>1115</v>
      </c>
      <c r="G211" s="282" t="s">
        <v>1267</v>
      </c>
      <c r="H211" s="283" t="s">
        <v>1325</v>
      </c>
      <c r="I211" s="282" t="s">
        <v>1292</v>
      </c>
      <c r="J211" s="283" t="s">
        <v>1293</v>
      </c>
      <c r="K211" s="284" t="s">
        <v>1264</v>
      </c>
      <c r="L211" s="484" t="str">
        <f t="shared" ref="L211:L274" si="55">IF(G211&lt;&gt;"",$G$1&amp;":"&amp;G211&amp;":"&amp;H211&amp;":"&amp;I211&amp;":"&amp;(IF(K211&lt;&gt;"",J211&amp;":"&amp;K211,J211)),"")</f>
        <v>PSDUS0202:BSB:M202:PUM:LET:ME001</v>
      </c>
      <c r="M211" s="310"/>
      <c r="N211" s="402" t="str">
        <f t="shared" si="53"/>
        <v>IO.Slot13.AnalogueInput1</v>
      </c>
      <c r="O211" s="286" t="str">
        <f t="shared" si="54"/>
        <v>R.</v>
      </c>
      <c r="P211" s="406" t="str">
        <f t="shared" ref="P211:P225" si="56">O211&amp;N211</f>
        <v>R.IO.Slot13.AnalogueInput1</v>
      </c>
      <c r="Q211" s="302"/>
      <c r="R211" s="413" t="str">
        <f t="shared" si="49"/>
        <v>BSB.M202.PUM.LET.ME001</v>
      </c>
      <c r="S211" s="419" t="str">
        <f t="shared" si="50"/>
        <v>PSDUS0202:BSB:M202:PUM:LET:ME001:NAME</v>
      </c>
      <c r="T211" s="286"/>
      <c r="U211" s="287"/>
      <c r="V211" s="287"/>
      <c r="W211" s="287"/>
      <c r="X211" s="298"/>
      <c r="Y211" s="298"/>
      <c r="Z211" s="288"/>
      <c r="AA211" s="289">
        <f t="shared" si="52"/>
        <v>32</v>
      </c>
      <c r="AB211" s="290"/>
      <c r="AC211" s="291"/>
      <c r="AD211" s="292"/>
      <c r="AE211" s="293"/>
      <c r="AG211" s="295" t="s">
        <v>1359</v>
      </c>
    </row>
    <row r="212" spans="1:33" s="294" customFormat="1" x14ac:dyDescent="0.25">
      <c r="A212" s="487"/>
      <c r="B212" s="490"/>
      <c r="C212" s="493"/>
      <c r="D212" s="390">
        <v>2</v>
      </c>
      <c r="E212" s="399">
        <v>210</v>
      </c>
      <c r="F212" s="474" t="s">
        <v>1063</v>
      </c>
      <c r="G212" s="282"/>
      <c r="H212" s="306"/>
      <c r="I212" s="306"/>
      <c r="J212" s="283"/>
      <c r="K212" s="314"/>
      <c r="L212" s="484" t="str">
        <f t="shared" si="55"/>
        <v/>
      </c>
      <c r="M212" s="310"/>
      <c r="N212" s="402" t="str">
        <f t="shared" si="53"/>
        <v>IO.Slot13.AnalogueInput2</v>
      </c>
      <c r="O212" s="286" t="str">
        <f t="shared" si="54"/>
        <v>R.</v>
      </c>
      <c r="P212" s="406" t="str">
        <f t="shared" si="56"/>
        <v>R.IO.Slot13.AnalogueInput2</v>
      </c>
      <c r="Q212" s="302"/>
      <c r="R212" s="413" t="str">
        <f t="shared" si="49"/>
        <v/>
      </c>
      <c r="S212" s="419" t="str">
        <f t="shared" si="50"/>
        <v>:NAME</v>
      </c>
      <c r="T212" s="286"/>
      <c r="U212" s="287"/>
      <c r="V212" s="287"/>
      <c r="W212" s="287"/>
      <c r="X212" s="298"/>
      <c r="Y212" s="298"/>
      <c r="Z212" s="288"/>
      <c r="AA212" s="289">
        <f t="shared" si="52"/>
        <v>0</v>
      </c>
      <c r="AB212" s="290"/>
      <c r="AC212" s="291"/>
      <c r="AD212" s="292"/>
      <c r="AE212" s="293"/>
      <c r="AG212" s="295"/>
    </row>
    <row r="213" spans="1:33" s="294" customFormat="1" x14ac:dyDescent="0.25">
      <c r="A213" s="487"/>
      <c r="B213" s="490"/>
      <c r="C213" s="493"/>
      <c r="D213" s="390">
        <v>3</v>
      </c>
      <c r="E213" s="399">
        <v>211</v>
      </c>
      <c r="F213" s="474" t="s">
        <v>1063</v>
      </c>
      <c r="G213" s="282"/>
      <c r="H213" s="282"/>
      <c r="I213" s="282"/>
      <c r="J213" s="283"/>
      <c r="K213" s="284"/>
      <c r="L213" s="484" t="str">
        <f t="shared" si="55"/>
        <v/>
      </c>
      <c r="M213" s="310"/>
      <c r="N213" s="402" t="str">
        <f t="shared" si="53"/>
        <v>IO.Slot13.AnalogueInput3</v>
      </c>
      <c r="O213" s="286" t="str">
        <f t="shared" si="54"/>
        <v>R.</v>
      </c>
      <c r="P213" s="406" t="str">
        <f t="shared" si="56"/>
        <v>R.IO.Slot13.AnalogueInput3</v>
      </c>
      <c r="Q213" s="302"/>
      <c r="R213" s="413" t="str">
        <f t="shared" si="49"/>
        <v/>
      </c>
      <c r="S213" s="419" t="str">
        <f t="shared" si="50"/>
        <v>:NAME</v>
      </c>
      <c r="T213" s="286"/>
      <c r="U213" s="287"/>
      <c r="V213" s="287"/>
      <c r="W213" s="287"/>
      <c r="X213" s="298"/>
      <c r="Y213" s="298"/>
      <c r="Z213" s="288"/>
      <c r="AA213" s="289">
        <f t="shared" si="52"/>
        <v>0</v>
      </c>
      <c r="AB213" s="290"/>
      <c r="AC213" s="291"/>
      <c r="AD213" s="292"/>
      <c r="AE213" s="293"/>
      <c r="AG213" s="295"/>
    </row>
    <row r="214" spans="1:33" s="294" customFormat="1" x14ac:dyDescent="0.25">
      <c r="A214" s="487"/>
      <c r="B214" s="490"/>
      <c r="C214" s="493"/>
      <c r="D214" s="390">
        <v>4</v>
      </c>
      <c r="E214" s="399">
        <v>212</v>
      </c>
      <c r="F214" s="474" t="s">
        <v>1063</v>
      </c>
      <c r="G214" s="282"/>
      <c r="H214" s="283"/>
      <c r="I214" s="282"/>
      <c r="J214" s="283"/>
      <c r="K214" s="284"/>
      <c r="L214" s="484" t="str">
        <f t="shared" si="55"/>
        <v/>
      </c>
      <c r="M214" s="310"/>
      <c r="N214" s="402" t="str">
        <f t="shared" si="53"/>
        <v>IO.Slot13.AnalogueInput4</v>
      </c>
      <c r="O214" s="286" t="str">
        <f t="shared" si="54"/>
        <v>R.</v>
      </c>
      <c r="P214" s="406" t="str">
        <f t="shared" si="56"/>
        <v>R.IO.Slot13.AnalogueInput4</v>
      </c>
      <c r="Q214" s="302"/>
      <c r="R214" s="413" t="str">
        <f t="shared" si="49"/>
        <v/>
      </c>
      <c r="S214" s="419" t="str">
        <f t="shared" si="50"/>
        <v>:NAME</v>
      </c>
      <c r="T214" s="286"/>
      <c r="U214" s="287"/>
      <c r="V214" s="287"/>
      <c r="W214" s="287"/>
      <c r="X214" s="287"/>
      <c r="Y214" s="298"/>
      <c r="Z214" s="288"/>
      <c r="AA214" s="289">
        <f t="shared" si="52"/>
        <v>0</v>
      </c>
      <c r="AB214" s="290"/>
      <c r="AC214" s="291"/>
      <c r="AD214" s="292"/>
      <c r="AE214" s="293"/>
      <c r="AG214" s="295"/>
    </row>
    <row r="215" spans="1:33" s="294" customFormat="1" x14ac:dyDescent="0.25">
      <c r="A215" s="487"/>
      <c r="B215" s="490"/>
      <c r="C215" s="493"/>
      <c r="D215" s="390">
        <v>5</v>
      </c>
      <c r="E215" s="399">
        <v>213</v>
      </c>
      <c r="F215" s="474" t="s">
        <v>1063</v>
      </c>
      <c r="G215" s="282"/>
      <c r="H215" s="282"/>
      <c r="I215" s="282"/>
      <c r="J215" s="283"/>
      <c r="K215" s="284"/>
      <c r="L215" s="484" t="str">
        <f t="shared" si="55"/>
        <v/>
      </c>
      <c r="M215" s="310"/>
      <c r="N215" s="402" t="str">
        <f t="shared" si="53"/>
        <v>IO.Slot13.AnalogueInput5</v>
      </c>
      <c r="O215" s="286" t="str">
        <f t="shared" si="54"/>
        <v>R.</v>
      </c>
      <c r="P215" s="406" t="str">
        <f t="shared" si="56"/>
        <v>R.IO.Slot13.AnalogueInput5</v>
      </c>
      <c r="Q215" s="302"/>
      <c r="R215" s="413" t="str">
        <f t="shared" si="49"/>
        <v/>
      </c>
      <c r="S215" s="419" t="str">
        <f t="shared" si="50"/>
        <v>:NAME</v>
      </c>
      <c r="T215" s="286"/>
      <c r="U215" s="287"/>
      <c r="V215" s="287"/>
      <c r="W215" s="287"/>
      <c r="X215" s="298"/>
      <c r="Y215" s="298"/>
      <c r="Z215" s="288"/>
      <c r="AA215" s="289">
        <f t="shared" si="52"/>
        <v>0</v>
      </c>
      <c r="AB215" s="290"/>
      <c r="AC215" s="291"/>
      <c r="AD215" s="292"/>
      <c r="AE215" s="293"/>
      <c r="AG215" s="295"/>
    </row>
    <row r="216" spans="1:33" s="294" customFormat="1" x14ac:dyDescent="0.25">
      <c r="A216" s="487"/>
      <c r="B216" s="490"/>
      <c r="C216" s="493"/>
      <c r="D216" s="390">
        <v>6</v>
      </c>
      <c r="E216" s="399">
        <v>214</v>
      </c>
      <c r="F216" s="474" t="s">
        <v>1063</v>
      </c>
      <c r="G216" s="282"/>
      <c r="H216" s="282"/>
      <c r="I216" s="282"/>
      <c r="J216" s="283"/>
      <c r="K216" s="284"/>
      <c r="L216" s="484" t="str">
        <f t="shared" si="55"/>
        <v/>
      </c>
      <c r="M216" s="310"/>
      <c r="N216" s="402" t="str">
        <f t="shared" si="53"/>
        <v>IO.Slot13.AnalogueInput6</v>
      </c>
      <c r="O216" s="286" t="str">
        <f t="shared" si="54"/>
        <v>R.</v>
      </c>
      <c r="P216" s="406" t="str">
        <f t="shared" si="56"/>
        <v>R.IO.Slot13.AnalogueInput6</v>
      </c>
      <c r="Q216" s="302"/>
      <c r="R216" s="413" t="str">
        <f t="shared" si="49"/>
        <v/>
      </c>
      <c r="S216" s="419" t="str">
        <f t="shared" si="50"/>
        <v>:NAME</v>
      </c>
      <c r="T216" s="286"/>
      <c r="U216" s="287"/>
      <c r="V216" s="287"/>
      <c r="W216" s="287"/>
      <c r="X216" s="298"/>
      <c r="Y216" s="298"/>
      <c r="Z216" s="288"/>
      <c r="AA216" s="289">
        <f t="shared" si="52"/>
        <v>0</v>
      </c>
      <c r="AB216" s="290"/>
      <c r="AC216" s="291"/>
      <c r="AD216" s="292"/>
      <c r="AE216" s="293"/>
      <c r="AG216" s="295"/>
    </row>
    <row r="217" spans="1:33" s="294" customFormat="1" x14ac:dyDescent="0.25">
      <c r="A217" s="487"/>
      <c r="B217" s="490"/>
      <c r="C217" s="493"/>
      <c r="D217" s="390">
        <v>7</v>
      </c>
      <c r="E217" s="399">
        <v>215</v>
      </c>
      <c r="F217" s="474" t="s">
        <v>1063</v>
      </c>
      <c r="G217" s="282"/>
      <c r="H217" s="282"/>
      <c r="I217" s="282"/>
      <c r="J217" s="283"/>
      <c r="K217" s="284"/>
      <c r="L217" s="484" t="str">
        <f t="shared" si="55"/>
        <v/>
      </c>
      <c r="M217" s="310"/>
      <c r="N217" s="402" t="str">
        <f t="shared" si="53"/>
        <v>IO.Slot13.AnalogueInput7</v>
      </c>
      <c r="O217" s="286" t="str">
        <f t="shared" si="54"/>
        <v>R.</v>
      </c>
      <c r="P217" s="406" t="str">
        <f t="shared" si="56"/>
        <v>R.IO.Slot13.AnalogueInput7</v>
      </c>
      <c r="Q217" s="302"/>
      <c r="R217" s="413" t="str">
        <f t="shared" si="49"/>
        <v/>
      </c>
      <c r="S217" s="419" t="str">
        <f t="shared" si="50"/>
        <v>:NAME</v>
      </c>
      <c r="T217" s="286"/>
      <c r="U217" s="287"/>
      <c r="V217" s="287"/>
      <c r="W217" s="287"/>
      <c r="X217" s="298"/>
      <c r="Y217" s="298"/>
      <c r="Z217" s="288"/>
      <c r="AA217" s="289">
        <f t="shared" si="52"/>
        <v>0</v>
      </c>
      <c r="AB217" s="290"/>
      <c r="AC217" s="291"/>
      <c r="AD217" s="292"/>
      <c r="AE217" s="293"/>
      <c r="AG217" s="295"/>
    </row>
    <row r="218" spans="1:33" s="294" customFormat="1" x14ac:dyDescent="0.25">
      <c r="A218" s="487"/>
      <c r="B218" s="490"/>
      <c r="C218" s="493"/>
      <c r="D218" s="390">
        <v>8</v>
      </c>
      <c r="E218" s="399">
        <v>216</v>
      </c>
      <c r="F218" s="474"/>
      <c r="G218" s="283"/>
      <c r="H218" s="283"/>
      <c r="I218" s="283"/>
      <c r="J218" s="283"/>
      <c r="K218" s="284"/>
      <c r="L218" s="484" t="str">
        <f t="shared" si="55"/>
        <v/>
      </c>
      <c r="M218" s="285"/>
      <c r="N218" s="402" t="str">
        <f t="shared" si="53"/>
        <v/>
      </c>
      <c r="O218" s="286" t="str">
        <f t="shared" si="54"/>
        <v>R.</v>
      </c>
      <c r="P218" s="406" t="str">
        <f t="shared" si="56"/>
        <v>R.</v>
      </c>
      <c r="Q218" s="286"/>
      <c r="R218" s="413" t="str">
        <f t="shared" si="49"/>
        <v/>
      </c>
      <c r="S218" s="419" t="str">
        <f t="shared" si="50"/>
        <v>:NAME</v>
      </c>
      <c r="T218" s="286"/>
      <c r="U218" s="287"/>
      <c r="V218" s="287"/>
      <c r="W218" s="287"/>
      <c r="X218" s="287"/>
      <c r="Y218" s="298"/>
      <c r="Z218" s="288"/>
      <c r="AA218" s="289">
        <f t="shared" si="52"/>
        <v>0</v>
      </c>
      <c r="AB218" s="290"/>
      <c r="AC218" s="291"/>
      <c r="AD218" s="292"/>
      <c r="AE218" s="293"/>
      <c r="AG218" s="295"/>
    </row>
    <row r="219" spans="1:33" s="294" customFormat="1" x14ac:dyDescent="0.25">
      <c r="A219" s="487"/>
      <c r="B219" s="490"/>
      <c r="C219" s="493"/>
      <c r="D219" s="390">
        <v>9</v>
      </c>
      <c r="E219" s="399">
        <v>217</v>
      </c>
      <c r="F219" s="474"/>
      <c r="G219" s="283"/>
      <c r="H219" s="283"/>
      <c r="I219" s="283"/>
      <c r="J219" s="283"/>
      <c r="K219" s="284"/>
      <c r="L219" s="484" t="str">
        <f t="shared" si="55"/>
        <v/>
      </c>
      <c r="M219" s="285"/>
      <c r="N219" s="402" t="str">
        <f t="shared" si="53"/>
        <v/>
      </c>
      <c r="O219" s="286" t="str">
        <f t="shared" si="54"/>
        <v>R.</v>
      </c>
      <c r="P219" s="406" t="str">
        <f t="shared" si="56"/>
        <v>R.</v>
      </c>
      <c r="Q219" s="286"/>
      <c r="R219" s="413" t="str">
        <f t="shared" si="49"/>
        <v/>
      </c>
      <c r="S219" s="419" t="str">
        <f t="shared" si="50"/>
        <v>:NAME</v>
      </c>
      <c r="T219" s="286"/>
      <c r="U219" s="287"/>
      <c r="V219" s="287"/>
      <c r="W219" s="287"/>
      <c r="X219" s="287"/>
      <c r="Y219" s="298"/>
      <c r="Z219" s="288"/>
      <c r="AA219" s="289">
        <f t="shared" si="52"/>
        <v>0</v>
      </c>
      <c r="AB219" s="290"/>
      <c r="AC219" s="291"/>
      <c r="AD219" s="292"/>
      <c r="AE219" s="293"/>
      <c r="AG219" s="295"/>
    </row>
    <row r="220" spans="1:33" s="294" customFormat="1" x14ac:dyDescent="0.25">
      <c r="A220" s="487"/>
      <c r="B220" s="490"/>
      <c r="C220" s="493"/>
      <c r="D220" s="390">
        <v>10</v>
      </c>
      <c r="E220" s="399">
        <v>218</v>
      </c>
      <c r="F220" s="474"/>
      <c r="G220" s="283"/>
      <c r="H220" s="283"/>
      <c r="I220" s="283"/>
      <c r="J220" s="283"/>
      <c r="K220" s="284"/>
      <c r="L220" s="484" t="str">
        <f t="shared" si="55"/>
        <v/>
      </c>
      <c r="M220" s="285"/>
      <c r="N220" s="402" t="str">
        <f t="shared" si="53"/>
        <v/>
      </c>
      <c r="O220" s="286" t="str">
        <f t="shared" si="54"/>
        <v>R.</v>
      </c>
      <c r="P220" s="406" t="str">
        <f t="shared" si="56"/>
        <v>R.</v>
      </c>
      <c r="Q220" s="286"/>
      <c r="R220" s="413" t="str">
        <f t="shared" si="49"/>
        <v/>
      </c>
      <c r="S220" s="419" t="str">
        <f t="shared" si="50"/>
        <v>:NAME</v>
      </c>
      <c r="T220" s="286"/>
      <c r="U220" s="287"/>
      <c r="V220" s="287"/>
      <c r="W220" s="287"/>
      <c r="X220" s="287"/>
      <c r="Y220" s="298"/>
      <c r="Z220" s="288"/>
      <c r="AA220" s="289">
        <f t="shared" si="52"/>
        <v>0</v>
      </c>
      <c r="AB220" s="290"/>
      <c r="AC220" s="291"/>
      <c r="AD220" s="292"/>
      <c r="AE220" s="293"/>
      <c r="AG220" s="295"/>
    </row>
    <row r="221" spans="1:33" s="294" customFormat="1" x14ac:dyDescent="0.25">
      <c r="A221" s="487"/>
      <c r="B221" s="490"/>
      <c r="C221" s="493"/>
      <c r="D221" s="390">
        <v>11</v>
      </c>
      <c r="E221" s="399">
        <v>219</v>
      </c>
      <c r="F221" s="474"/>
      <c r="G221" s="283"/>
      <c r="H221" s="283"/>
      <c r="I221" s="283"/>
      <c r="J221" s="283"/>
      <c r="K221" s="284"/>
      <c r="L221" s="484" t="str">
        <f t="shared" si="55"/>
        <v/>
      </c>
      <c r="M221" s="285"/>
      <c r="N221" s="402" t="str">
        <f t="shared" si="53"/>
        <v/>
      </c>
      <c r="O221" s="286" t="str">
        <f t="shared" si="54"/>
        <v>R.</v>
      </c>
      <c r="P221" s="406" t="str">
        <f t="shared" si="56"/>
        <v>R.</v>
      </c>
      <c r="Q221" s="286"/>
      <c r="R221" s="413" t="str">
        <f t="shared" si="49"/>
        <v/>
      </c>
      <c r="S221" s="419" t="str">
        <f t="shared" si="50"/>
        <v>:NAME</v>
      </c>
      <c r="T221" s="286"/>
      <c r="U221" s="287"/>
      <c r="V221" s="287"/>
      <c r="W221" s="287"/>
      <c r="X221" s="287"/>
      <c r="Y221" s="298"/>
      <c r="Z221" s="288"/>
      <c r="AA221" s="289">
        <f t="shared" si="52"/>
        <v>0</v>
      </c>
      <c r="AB221" s="290"/>
      <c r="AC221" s="291"/>
      <c r="AD221" s="292"/>
      <c r="AE221" s="293"/>
      <c r="AG221" s="295"/>
    </row>
    <row r="222" spans="1:33" s="294" customFormat="1" x14ac:dyDescent="0.25">
      <c r="A222" s="487"/>
      <c r="B222" s="490"/>
      <c r="C222" s="493"/>
      <c r="D222" s="390">
        <v>12</v>
      </c>
      <c r="E222" s="399">
        <v>220</v>
      </c>
      <c r="F222" s="474"/>
      <c r="G222" s="283"/>
      <c r="H222" s="283"/>
      <c r="I222" s="283"/>
      <c r="J222" s="283"/>
      <c r="K222" s="284"/>
      <c r="L222" s="484" t="str">
        <f t="shared" si="55"/>
        <v/>
      </c>
      <c r="M222" s="285"/>
      <c r="N222" s="402" t="str">
        <f t="shared" si="53"/>
        <v/>
      </c>
      <c r="O222" s="286" t="str">
        <f t="shared" si="54"/>
        <v>R.</v>
      </c>
      <c r="P222" s="406" t="str">
        <f t="shared" si="56"/>
        <v>R.</v>
      </c>
      <c r="Q222" s="286"/>
      <c r="R222" s="413" t="str">
        <f t="shared" si="49"/>
        <v/>
      </c>
      <c r="S222" s="419" t="str">
        <f t="shared" si="50"/>
        <v>:NAME</v>
      </c>
      <c r="T222" s="286"/>
      <c r="U222" s="287"/>
      <c r="V222" s="287"/>
      <c r="W222" s="287"/>
      <c r="X222" s="287"/>
      <c r="Y222" s="298"/>
      <c r="Z222" s="288"/>
      <c r="AA222" s="289">
        <f t="shared" si="52"/>
        <v>0</v>
      </c>
      <c r="AB222" s="290"/>
      <c r="AC222" s="291"/>
      <c r="AD222" s="292"/>
      <c r="AE222" s="293"/>
      <c r="AG222" s="295"/>
    </row>
    <row r="223" spans="1:33" s="294" customFormat="1" x14ac:dyDescent="0.25">
      <c r="A223" s="487"/>
      <c r="B223" s="490"/>
      <c r="C223" s="493"/>
      <c r="D223" s="390">
        <v>13</v>
      </c>
      <c r="E223" s="399">
        <v>221</v>
      </c>
      <c r="F223" s="474"/>
      <c r="G223" s="283"/>
      <c r="H223" s="283"/>
      <c r="I223" s="283"/>
      <c r="J223" s="283"/>
      <c r="K223" s="284"/>
      <c r="L223" s="484" t="str">
        <f t="shared" si="55"/>
        <v/>
      </c>
      <c r="M223" s="285"/>
      <c r="N223" s="402" t="str">
        <f t="shared" si="53"/>
        <v/>
      </c>
      <c r="O223" s="286" t="str">
        <f t="shared" si="54"/>
        <v>R.</v>
      </c>
      <c r="P223" s="406" t="str">
        <f t="shared" si="56"/>
        <v>R.</v>
      </c>
      <c r="Q223" s="286"/>
      <c r="R223" s="413" t="str">
        <f t="shared" si="49"/>
        <v/>
      </c>
      <c r="S223" s="419" t="str">
        <f t="shared" si="50"/>
        <v>:NAME</v>
      </c>
      <c r="T223" s="286"/>
      <c r="U223" s="287"/>
      <c r="V223" s="287"/>
      <c r="W223" s="287"/>
      <c r="X223" s="287"/>
      <c r="Y223" s="298"/>
      <c r="Z223" s="288"/>
      <c r="AA223" s="289">
        <f t="shared" si="52"/>
        <v>0</v>
      </c>
      <c r="AB223" s="290"/>
      <c r="AC223" s="291"/>
      <c r="AD223" s="292"/>
      <c r="AE223" s="293"/>
      <c r="AG223" s="295"/>
    </row>
    <row r="224" spans="1:33" s="294" customFormat="1" x14ac:dyDescent="0.25">
      <c r="A224" s="487"/>
      <c r="B224" s="490"/>
      <c r="C224" s="493"/>
      <c r="D224" s="390">
        <v>14</v>
      </c>
      <c r="E224" s="399">
        <v>222</v>
      </c>
      <c r="F224" s="474"/>
      <c r="G224" s="283"/>
      <c r="H224" s="283"/>
      <c r="I224" s="283"/>
      <c r="J224" s="283"/>
      <c r="K224" s="284"/>
      <c r="L224" s="484" t="str">
        <f t="shared" si="55"/>
        <v/>
      </c>
      <c r="M224" s="285"/>
      <c r="N224" s="402" t="str">
        <f t="shared" si="53"/>
        <v/>
      </c>
      <c r="O224" s="286" t="str">
        <f t="shared" si="54"/>
        <v>R.</v>
      </c>
      <c r="P224" s="406" t="str">
        <f t="shared" si="56"/>
        <v>R.</v>
      </c>
      <c r="Q224" s="286"/>
      <c r="R224" s="413" t="str">
        <f t="shared" si="49"/>
        <v/>
      </c>
      <c r="S224" s="419" t="str">
        <f t="shared" si="50"/>
        <v>:NAME</v>
      </c>
      <c r="T224" s="286"/>
      <c r="U224" s="287"/>
      <c r="V224" s="287"/>
      <c r="W224" s="287"/>
      <c r="X224" s="287"/>
      <c r="Y224" s="298"/>
      <c r="Z224" s="288"/>
      <c r="AA224" s="289">
        <f t="shared" si="52"/>
        <v>0</v>
      </c>
      <c r="AB224" s="290"/>
      <c r="AC224" s="291"/>
      <c r="AD224" s="292"/>
      <c r="AE224" s="293"/>
      <c r="AG224" s="295"/>
    </row>
    <row r="225" spans="1:33" s="294" customFormat="1" ht="15.75" thickBot="1" x14ac:dyDescent="0.3">
      <c r="A225" s="488"/>
      <c r="B225" s="491"/>
      <c r="C225" s="494"/>
      <c r="D225" s="390">
        <v>15</v>
      </c>
      <c r="E225" s="399">
        <v>223</v>
      </c>
      <c r="F225" s="474"/>
      <c r="G225" s="283"/>
      <c r="H225" s="283"/>
      <c r="I225" s="283"/>
      <c r="J225" s="283"/>
      <c r="K225" s="284"/>
      <c r="L225" s="484" t="str">
        <f t="shared" si="55"/>
        <v/>
      </c>
      <c r="M225" s="285"/>
      <c r="N225" s="402" t="str">
        <f t="shared" si="53"/>
        <v/>
      </c>
      <c r="O225" s="286" t="str">
        <f t="shared" si="54"/>
        <v>R.</v>
      </c>
      <c r="P225" s="406" t="str">
        <f t="shared" si="56"/>
        <v>R.</v>
      </c>
      <c r="Q225" s="286"/>
      <c r="R225" s="413" t="str">
        <f t="shared" si="49"/>
        <v/>
      </c>
      <c r="S225" s="419" t="str">
        <f t="shared" si="50"/>
        <v>:NAME</v>
      </c>
      <c r="T225" s="286"/>
      <c r="U225" s="287"/>
      <c r="V225" s="287"/>
      <c r="W225" s="287"/>
      <c r="X225" s="287"/>
      <c r="Y225" s="298"/>
      <c r="Z225" s="288"/>
      <c r="AA225" s="289">
        <f t="shared" si="52"/>
        <v>0</v>
      </c>
      <c r="AB225" s="290"/>
      <c r="AC225" s="291"/>
      <c r="AD225" s="292"/>
      <c r="AE225" s="293"/>
      <c r="AG225" s="295"/>
    </row>
    <row r="226" spans="1:33" s="279" customFormat="1" ht="14.45" customHeight="1" x14ac:dyDescent="0.25">
      <c r="A226" s="486" t="s">
        <v>3</v>
      </c>
      <c r="B226" s="489" t="str">
        <f>LOOKUP(A226,Module,IO)</f>
        <v>AnalogueInput</v>
      </c>
      <c r="C226" s="492" t="s">
        <v>22</v>
      </c>
      <c r="D226" s="389" t="s">
        <v>160</v>
      </c>
      <c r="E226" s="398">
        <v>224</v>
      </c>
      <c r="F226" s="476" t="s">
        <v>1116</v>
      </c>
      <c r="G226" s="267" t="s">
        <v>1267</v>
      </c>
      <c r="H226" s="268"/>
      <c r="I226" s="267"/>
      <c r="J226" s="268"/>
      <c r="K226" s="269"/>
      <c r="L226" s="483" t="str">
        <f t="shared" si="55"/>
        <v>PSDUS0202:BSB:::</v>
      </c>
      <c r="M226" s="312"/>
      <c r="N226" s="401" t="str">
        <f t="shared" ref="N226:N241" si="57">IF(F226&lt;&gt;"",IF($H$1&lt;&gt;"","IO"&amp;".","IO.")&amp;$C$226&amp;"."&amp;$B$226&amp;D226,"")</f>
        <v>IO.Slot14.AnalogueInput0</v>
      </c>
      <c r="O226" s="271" t="str">
        <f t="shared" ref="O226:O241" si="58">LOOKUP($A$226,Module,Type)</f>
        <v>R.</v>
      </c>
      <c r="P226" s="405" t="str">
        <f>O226&amp;N226</f>
        <v>R.IO.Slot14.AnalogueInput0</v>
      </c>
      <c r="Q226" s="313"/>
      <c r="R226" s="412" t="str">
        <f t="shared" si="49"/>
        <v>BSB...</v>
      </c>
      <c r="S226" s="418" t="str">
        <f t="shared" si="50"/>
        <v>PSDUS0202:BSB::::NAME</v>
      </c>
      <c r="T226" s="271"/>
      <c r="U226" s="272"/>
      <c r="V226" s="272"/>
      <c r="W226" s="272"/>
      <c r="X226" s="272"/>
      <c r="Y226" s="297"/>
      <c r="Z226" s="273"/>
      <c r="AA226" s="274">
        <f t="shared" si="52"/>
        <v>16</v>
      </c>
      <c r="AB226" s="275"/>
      <c r="AC226" s="276"/>
      <c r="AD226" s="277"/>
      <c r="AE226" s="278"/>
      <c r="AG226" s="280" t="s">
        <v>1427</v>
      </c>
    </row>
    <row r="227" spans="1:33" s="294" customFormat="1" x14ac:dyDescent="0.25">
      <c r="A227" s="487"/>
      <c r="B227" s="490"/>
      <c r="C227" s="493"/>
      <c r="D227" s="390">
        <v>1</v>
      </c>
      <c r="E227" s="399">
        <v>225</v>
      </c>
      <c r="F227" s="474" t="s">
        <v>1117</v>
      </c>
      <c r="G227" s="282" t="s">
        <v>1267</v>
      </c>
      <c r="H227" s="283"/>
      <c r="I227" s="282"/>
      <c r="J227" s="283"/>
      <c r="K227" s="305"/>
      <c r="L227" s="484" t="str">
        <f t="shared" si="55"/>
        <v>PSDUS0202:BSB:::</v>
      </c>
      <c r="M227" s="310"/>
      <c r="N227" s="402" t="str">
        <f t="shared" si="57"/>
        <v>IO.Slot14.AnalogueInput1</v>
      </c>
      <c r="O227" s="286" t="str">
        <f t="shared" si="58"/>
        <v>R.</v>
      </c>
      <c r="P227" s="406" t="str">
        <f t="shared" ref="P227:P241" si="59">O227&amp;N227</f>
        <v>R.IO.Slot14.AnalogueInput1</v>
      </c>
      <c r="Q227" s="302"/>
      <c r="R227" s="413" t="str">
        <f t="shared" si="49"/>
        <v>BSB...</v>
      </c>
      <c r="S227" s="419" t="str">
        <f t="shared" si="50"/>
        <v>PSDUS0202:BSB::::NAME</v>
      </c>
      <c r="T227" s="286"/>
      <c r="U227" s="287"/>
      <c r="V227" s="287"/>
      <c r="W227" s="287"/>
      <c r="X227" s="287"/>
      <c r="Y227" s="298"/>
      <c r="Z227" s="288"/>
      <c r="AA227" s="289">
        <f t="shared" si="52"/>
        <v>16</v>
      </c>
      <c r="AB227" s="290"/>
      <c r="AC227" s="291"/>
      <c r="AD227" s="292"/>
      <c r="AE227" s="293"/>
      <c r="AG227" s="295" t="s">
        <v>1427</v>
      </c>
    </row>
    <row r="228" spans="1:33" s="294" customFormat="1" x14ac:dyDescent="0.25">
      <c r="A228" s="487"/>
      <c r="B228" s="490"/>
      <c r="C228" s="493"/>
      <c r="D228" s="390">
        <v>2</v>
      </c>
      <c r="E228" s="399">
        <v>226</v>
      </c>
      <c r="F228" s="474" t="s">
        <v>1118</v>
      </c>
      <c r="G228" s="282" t="s">
        <v>1267</v>
      </c>
      <c r="H228" s="283"/>
      <c r="I228" s="282"/>
      <c r="J228" s="283"/>
      <c r="K228" s="300"/>
      <c r="L228" s="484" t="str">
        <f t="shared" si="55"/>
        <v>PSDUS0202:BSB:::</v>
      </c>
      <c r="M228" s="310"/>
      <c r="N228" s="402" t="str">
        <f t="shared" si="57"/>
        <v>IO.Slot14.AnalogueInput2</v>
      </c>
      <c r="O228" s="286" t="str">
        <f t="shared" si="58"/>
        <v>R.</v>
      </c>
      <c r="P228" s="406" t="str">
        <f t="shared" si="59"/>
        <v>R.IO.Slot14.AnalogueInput2</v>
      </c>
      <c r="Q228" s="302"/>
      <c r="R228" s="413" t="str">
        <f t="shared" si="49"/>
        <v>BSB...</v>
      </c>
      <c r="S228" s="419" t="str">
        <f t="shared" si="50"/>
        <v>PSDUS0202:BSB::::NAME</v>
      </c>
      <c r="T228" s="286"/>
      <c r="U228" s="287"/>
      <c r="V228" s="287"/>
      <c r="W228" s="287"/>
      <c r="X228" s="287"/>
      <c r="Y228" s="298"/>
      <c r="Z228" s="288"/>
      <c r="AA228" s="289">
        <f t="shared" si="52"/>
        <v>16</v>
      </c>
      <c r="AB228" s="290"/>
      <c r="AC228" s="291"/>
      <c r="AD228" s="292"/>
      <c r="AE228" s="293"/>
      <c r="AG228" s="295" t="s">
        <v>1428</v>
      </c>
    </row>
    <row r="229" spans="1:33" s="294" customFormat="1" x14ac:dyDescent="0.25">
      <c r="A229" s="487"/>
      <c r="B229" s="490"/>
      <c r="C229" s="493"/>
      <c r="D229" s="390">
        <v>3</v>
      </c>
      <c r="E229" s="399">
        <v>227</v>
      </c>
      <c r="F229" s="474" t="s">
        <v>1119</v>
      </c>
      <c r="G229" s="282" t="s">
        <v>1267</v>
      </c>
      <c r="H229" s="283"/>
      <c r="I229" s="283"/>
      <c r="J229" s="283"/>
      <c r="K229" s="284"/>
      <c r="L229" s="484" t="str">
        <f t="shared" si="55"/>
        <v>PSDUS0202:BSB:::</v>
      </c>
      <c r="M229" s="310"/>
      <c r="N229" s="402" t="str">
        <f t="shared" si="57"/>
        <v>IO.Slot14.AnalogueInput3</v>
      </c>
      <c r="O229" s="286" t="str">
        <f t="shared" si="58"/>
        <v>R.</v>
      </c>
      <c r="P229" s="406" t="str">
        <f t="shared" si="59"/>
        <v>R.IO.Slot14.AnalogueInput3</v>
      </c>
      <c r="Q229" s="302"/>
      <c r="R229" s="413" t="str">
        <f t="shared" si="49"/>
        <v>BSB...</v>
      </c>
      <c r="S229" s="419" t="str">
        <f t="shared" si="50"/>
        <v>PSDUS0202:BSB::::NAME</v>
      </c>
      <c r="T229" s="286"/>
      <c r="U229" s="287"/>
      <c r="V229" s="287"/>
      <c r="W229" s="287"/>
      <c r="X229" s="287"/>
      <c r="Y229" s="298"/>
      <c r="Z229" s="288"/>
      <c r="AA229" s="289">
        <f t="shared" si="52"/>
        <v>16</v>
      </c>
      <c r="AB229" s="290"/>
      <c r="AC229" s="291"/>
      <c r="AD229" s="292"/>
      <c r="AE229" s="293"/>
      <c r="AG229" s="295" t="s">
        <v>1428</v>
      </c>
    </row>
    <row r="230" spans="1:33" s="294" customFormat="1" x14ac:dyDescent="0.25">
      <c r="A230" s="487"/>
      <c r="B230" s="490"/>
      <c r="C230" s="493"/>
      <c r="D230" s="390">
        <v>4</v>
      </c>
      <c r="E230" s="399">
        <v>228</v>
      </c>
      <c r="F230" s="474" t="s">
        <v>1120</v>
      </c>
      <c r="G230" s="282" t="s">
        <v>1267</v>
      </c>
      <c r="H230" s="283"/>
      <c r="I230" s="283"/>
      <c r="J230" s="283"/>
      <c r="K230" s="284"/>
      <c r="L230" s="484" t="str">
        <f t="shared" si="55"/>
        <v>PSDUS0202:BSB:::</v>
      </c>
      <c r="M230" s="310"/>
      <c r="N230" s="402" t="str">
        <f t="shared" si="57"/>
        <v>IO.Slot14.AnalogueInput4</v>
      </c>
      <c r="O230" s="286" t="str">
        <f t="shared" si="58"/>
        <v>R.</v>
      </c>
      <c r="P230" s="406" t="str">
        <f t="shared" si="59"/>
        <v>R.IO.Slot14.AnalogueInput4</v>
      </c>
      <c r="Q230" s="302"/>
      <c r="R230" s="413" t="str">
        <f t="shared" si="49"/>
        <v>BSB...</v>
      </c>
      <c r="S230" s="419" t="str">
        <f t="shared" si="50"/>
        <v>PSDUS0202:BSB::::NAME</v>
      </c>
      <c r="T230" s="286"/>
      <c r="U230" s="287"/>
      <c r="V230" s="287"/>
      <c r="W230" s="287"/>
      <c r="X230" s="287"/>
      <c r="Y230" s="298"/>
      <c r="Z230" s="288"/>
      <c r="AA230" s="289">
        <f t="shared" si="52"/>
        <v>16</v>
      </c>
      <c r="AB230" s="290"/>
      <c r="AC230" s="291"/>
      <c r="AD230" s="292"/>
      <c r="AE230" s="293"/>
      <c r="AG230" s="295" t="s">
        <v>1429</v>
      </c>
    </row>
    <row r="231" spans="1:33" s="294" customFormat="1" x14ac:dyDescent="0.25">
      <c r="A231" s="487"/>
      <c r="B231" s="490"/>
      <c r="C231" s="493"/>
      <c r="D231" s="390">
        <v>5</v>
      </c>
      <c r="E231" s="399">
        <v>229</v>
      </c>
      <c r="F231" s="474" t="s">
        <v>1121</v>
      </c>
      <c r="G231" s="282" t="s">
        <v>1267</v>
      </c>
      <c r="H231" s="283"/>
      <c r="I231" s="283"/>
      <c r="J231" s="283"/>
      <c r="K231" s="284"/>
      <c r="L231" s="484" t="str">
        <f t="shared" si="55"/>
        <v>PSDUS0202:BSB:::</v>
      </c>
      <c r="M231" s="310"/>
      <c r="N231" s="402" t="str">
        <f t="shared" si="57"/>
        <v>IO.Slot14.AnalogueInput5</v>
      </c>
      <c r="O231" s="286" t="str">
        <f t="shared" si="58"/>
        <v>R.</v>
      </c>
      <c r="P231" s="406" t="str">
        <f t="shared" si="59"/>
        <v>R.IO.Slot14.AnalogueInput5</v>
      </c>
      <c r="Q231" s="302"/>
      <c r="R231" s="413" t="str">
        <f t="shared" si="49"/>
        <v>BSB...</v>
      </c>
      <c r="S231" s="419" t="str">
        <f t="shared" si="50"/>
        <v>PSDUS0202:BSB::::NAME</v>
      </c>
      <c r="T231" s="286"/>
      <c r="U231" s="287"/>
      <c r="V231" s="287"/>
      <c r="W231" s="287"/>
      <c r="X231" s="287"/>
      <c r="Y231" s="298"/>
      <c r="Z231" s="288"/>
      <c r="AA231" s="289">
        <f t="shared" si="52"/>
        <v>16</v>
      </c>
      <c r="AB231" s="290"/>
      <c r="AC231" s="291"/>
      <c r="AD231" s="292"/>
      <c r="AE231" s="293"/>
      <c r="AG231" s="295" t="s">
        <v>1429</v>
      </c>
    </row>
    <row r="232" spans="1:33" s="294" customFormat="1" x14ac:dyDescent="0.25">
      <c r="A232" s="487"/>
      <c r="B232" s="490"/>
      <c r="C232" s="493"/>
      <c r="D232" s="390">
        <v>6</v>
      </c>
      <c r="E232" s="399">
        <v>230</v>
      </c>
      <c r="F232" s="474" t="s">
        <v>1063</v>
      </c>
      <c r="G232" s="282"/>
      <c r="H232" s="283"/>
      <c r="I232" s="283"/>
      <c r="J232" s="283"/>
      <c r="K232" s="284"/>
      <c r="L232" s="484" t="str">
        <f t="shared" si="55"/>
        <v/>
      </c>
      <c r="M232" s="310"/>
      <c r="N232" s="402" t="str">
        <f t="shared" si="57"/>
        <v>IO.Slot14.AnalogueInput6</v>
      </c>
      <c r="O232" s="286" t="str">
        <f t="shared" si="58"/>
        <v>R.</v>
      </c>
      <c r="P232" s="406" t="str">
        <f t="shared" si="59"/>
        <v>R.IO.Slot14.AnalogueInput6</v>
      </c>
      <c r="Q232" s="302"/>
      <c r="R232" s="413" t="str">
        <f t="shared" si="49"/>
        <v/>
      </c>
      <c r="S232" s="419" t="str">
        <f t="shared" si="50"/>
        <v>:NAME</v>
      </c>
      <c r="T232" s="286"/>
      <c r="U232" s="287"/>
      <c r="V232" s="287"/>
      <c r="W232" s="287"/>
      <c r="X232" s="287"/>
      <c r="Y232" s="298"/>
      <c r="Z232" s="288"/>
      <c r="AA232" s="289">
        <f t="shared" si="52"/>
        <v>0</v>
      </c>
      <c r="AB232" s="290"/>
      <c r="AC232" s="291"/>
      <c r="AD232" s="292"/>
      <c r="AE232" s="293"/>
      <c r="AG232" s="295"/>
    </row>
    <row r="233" spans="1:33" s="294" customFormat="1" x14ac:dyDescent="0.25">
      <c r="A233" s="487"/>
      <c r="B233" s="490"/>
      <c r="C233" s="493"/>
      <c r="D233" s="390">
        <v>7</v>
      </c>
      <c r="E233" s="399">
        <v>231</v>
      </c>
      <c r="F233" s="474" t="s">
        <v>1063</v>
      </c>
      <c r="G233" s="282"/>
      <c r="H233" s="283"/>
      <c r="I233" s="283"/>
      <c r="J233" s="283"/>
      <c r="K233" s="284"/>
      <c r="L233" s="484" t="str">
        <f t="shared" si="55"/>
        <v/>
      </c>
      <c r="M233" s="310"/>
      <c r="N233" s="402" t="str">
        <f t="shared" si="57"/>
        <v>IO.Slot14.AnalogueInput7</v>
      </c>
      <c r="O233" s="286" t="str">
        <f t="shared" si="58"/>
        <v>R.</v>
      </c>
      <c r="P233" s="406" t="str">
        <f t="shared" si="59"/>
        <v>R.IO.Slot14.AnalogueInput7</v>
      </c>
      <c r="Q233" s="302"/>
      <c r="R233" s="413" t="str">
        <f t="shared" si="49"/>
        <v/>
      </c>
      <c r="S233" s="419" t="str">
        <f t="shared" si="50"/>
        <v>:NAME</v>
      </c>
      <c r="T233" s="286"/>
      <c r="U233" s="287"/>
      <c r="V233" s="287"/>
      <c r="W233" s="287"/>
      <c r="X233" s="287"/>
      <c r="Y233" s="298"/>
      <c r="Z233" s="288"/>
      <c r="AA233" s="289">
        <f t="shared" si="52"/>
        <v>0</v>
      </c>
      <c r="AB233" s="290"/>
      <c r="AC233" s="291"/>
      <c r="AD233" s="292"/>
      <c r="AE233" s="293"/>
      <c r="AG233" s="295"/>
    </row>
    <row r="234" spans="1:33" s="294" customFormat="1" x14ac:dyDescent="0.25">
      <c r="A234" s="487"/>
      <c r="B234" s="490"/>
      <c r="C234" s="493"/>
      <c r="D234" s="390">
        <v>8</v>
      </c>
      <c r="E234" s="399">
        <v>232</v>
      </c>
      <c r="F234" s="474" t="s">
        <v>1122</v>
      </c>
      <c r="G234" s="282" t="s">
        <v>1267</v>
      </c>
      <c r="H234" s="304" t="s">
        <v>1330</v>
      </c>
      <c r="I234" s="282" t="s">
        <v>1329</v>
      </c>
      <c r="J234" s="283" t="s">
        <v>1296</v>
      </c>
      <c r="K234" s="300" t="s">
        <v>1297</v>
      </c>
      <c r="L234" s="484" t="str">
        <f t="shared" si="55"/>
        <v>PSDUS0202:BSB:S201:FIL:AUT:BM001</v>
      </c>
      <c r="M234" s="285"/>
      <c r="N234" s="402" t="str">
        <f t="shared" si="57"/>
        <v>IO.Slot14.AnalogueInput8</v>
      </c>
      <c r="O234" s="286" t="str">
        <f t="shared" si="58"/>
        <v>R.</v>
      </c>
      <c r="P234" s="406" t="str">
        <f t="shared" si="59"/>
        <v>R.IO.Slot14.AnalogueInput8</v>
      </c>
      <c r="Q234" s="286"/>
      <c r="R234" s="413" t="str">
        <f t="shared" si="49"/>
        <v>BSB.S201.FIL.AUT.BM001</v>
      </c>
      <c r="S234" s="419" t="str">
        <f t="shared" si="50"/>
        <v>PSDUS0202:BSB:S201:FIL:AUT:BM001:NAME</v>
      </c>
      <c r="T234" s="286"/>
      <c r="U234" s="287"/>
      <c r="V234" s="287"/>
      <c r="W234" s="287"/>
      <c r="X234" s="287"/>
      <c r="Y234" s="287"/>
      <c r="Z234" s="288"/>
      <c r="AA234" s="289">
        <f t="shared" si="52"/>
        <v>32</v>
      </c>
      <c r="AB234" s="290"/>
      <c r="AC234" s="291"/>
      <c r="AD234" s="292"/>
      <c r="AE234" s="293"/>
      <c r="AG234" s="295" t="s">
        <v>1430</v>
      </c>
    </row>
    <row r="235" spans="1:33" s="294" customFormat="1" x14ac:dyDescent="0.25">
      <c r="A235" s="487"/>
      <c r="B235" s="490"/>
      <c r="C235" s="493"/>
      <c r="D235" s="390">
        <v>9</v>
      </c>
      <c r="E235" s="399">
        <v>233</v>
      </c>
      <c r="F235" s="474" t="s">
        <v>1123</v>
      </c>
      <c r="G235" s="283" t="s">
        <v>1267</v>
      </c>
      <c r="H235" s="304" t="s">
        <v>1330</v>
      </c>
      <c r="I235" s="282" t="s">
        <v>1329</v>
      </c>
      <c r="J235" s="283" t="s">
        <v>1327</v>
      </c>
      <c r="K235" s="300" t="s">
        <v>1297</v>
      </c>
      <c r="L235" s="484" t="str">
        <f t="shared" si="55"/>
        <v>PSDUS0202:BSB:S201:FIL:TAG:BM001</v>
      </c>
      <c r="M235" s="285"/>
      <c r="N235" s="402" t="str">
        <f t="shared" si="57"/>
        <v>IO.Slot14.AnalogueInput9</v>
      </c>
      <c r="O235" s="286" t="str">
        <f t="shared" si="58"/>
        <v>R.</v>
      </c>
      <c r="P235" s="406" t="str">
        <f t="shared" si="59"/>
        <v>R.IO.Slot14.AnalogueInput9</v>
      </c>
      <c r="Q235" s="286"/>
      <c r="R235" s="413" t="str">
        <f t="shared" si="49"/>
        <v>BSB.S201.FIL.TAG.BM001</v>
      </c>
      <c r="S235" s="419" t="str">
        <f t="shared" si="50"/>
        <v>PSDUS0202:BSB:S201:FIL:TAG:BM001:NAME</v>
      </c>
      <c r="T235" s="286"/>
      <c r="U235" s="287"/>
      <c r="V235" s="287"/>
      <c r="W235" s="287"/>
      <c r="X235" s="287"/>
      <c r="Y235" s="287"/>
      <c r="Z235" s="288"/>
      <c r="AA235" s="289">
        <f t="shared" si="52"/>
        <v>32</v>
      </c>
      <c r="AB235" s="290"/>
      <c r="AC235" s="291"/>
      <c r="AD235" s="292"/>
      <c r="AE235" s="293"/>
      <c r="AG235" s="295" t="s">
        <v>1430</v>
      </c>
    </row>
    <row r="236" spans="1:33" s="294" customFormat="1" x14ac:dyDescent="0.25">
      <c r="A236" s="487"/>
      <c r="B236" s="490"/>
      <c r="C236" s="493"/>
      <c r="D236" s="390">
        <v>10</v>
      </c>
      <c r="E236" s="399">
        <v>234</v>
      </c>
      <c r="F236" s="474" t="s">
        <v>1124</v>
      </c>
      <c r="G236" s="283" t="s">
        <v>1267</v>
      </c>
      <c r="H236" s="304" t="s">
        <v>1330</v>
      </c>
      <c r="I236" s="282" t="s">
        <v>1329</v>
      </c>
      <c r="J236" s="283" t="s">
        <v>1328</v>
      </c>
      <c r="K236" s="300" t="s">
        <v>1297</v>
      </c>
      <c r="L236" s="484" t="str">
        <f t="shared" si="55"/>
        <v>PSDUS0202:BSB:S201:FIL:NAB:BM001</v>
      </c>
      <c r="M236" s="285"/>
      <c r="N236" s="402" t="str">
        <f t="shared" si="57"/>
        <v>IO.Slot14.AnalogueInput10</v>
      </c>
      <c r="O236" s="286" t="str">
        <f t="shared" si="58"/>
        <v>R.</v>
      </c>
      <c r="P236" s="406" t="str">
        <f t="shared" si="59"/>
        <v>R.IO.Slot14.AnalogueInput10</v>
      </c>
      <c r="Q236" s="286"/>
      <c r="R236" s="413" t="str">
        <f t="shared" si="49"/>
        <v>BSB.S201.FIL.NAB.BM001</v>
      </c>
      <c r="S236" s="419" t="str">
        <f t="shared" si="50"/>
        <v>PSDUS0202:BSB:S201:FIL:NAB:BM001:NAME</v>
      </c>
      <c r="T236" s="286"/>
      <c r="U236" s="287"/>
      <c r="V236" s="287"/>
      <c r="W236" s="287"/>
      <c r="X236" s="287"/>
      <c r="Y236" s="287"/>
      <c r="Z236" s="288"/>
      <c r="AA236" s="289">
        <f t="shared" si="52"/>
        <v>32</v>
      </c>
      <c r="AB236" s="290"/>
      <c r="AC236" s="291"/>
      <c r="AD236" s="292"/>
      <c r="AE236" s="293"/>
      <c r="AG236" s="295" t="s">
        <v>1430</v>
      </c>
    </row>
    <row r="237" spans="1:33" s="294" customFormat="1" x14ac:dyDescent="0.25">
      <c r="A237" s="487"/>
      <c r="B237" s="490"/>
      <c r="C237" s="493"/>
      <c r="D237" s="423">
        <v>11</v>
      </c>
      <c r="E237" s="428">
        <v>235</v>
      </c>
      <c r="F237" s="474" t="s">
        <v>1125</v>
      </c>
      <c r="G237" s="282" t="s">
        <v>1267</v>
      </c>
      <c r="H237" s="283" t="s">
        <v>1355</v>
      </c>
      <c r="I237" s="283" t="s">
        <v>1329</v>
      </c>
      <c r="J237" s="283" t="s">
        <v>1298</v>
      </c>
      <c r="K237" s="300" t="s">
        <v>1297</v>
      </c>
      <c r="L237" s="484" t="str">
        <f t="shared" si="55"/>
        <v>PSDUS0202:BSB:S202:FIL:HND:BM001</v>
      </c>
      <c r="M237" s="285"/>
      <c r="N237" s="402" t="str">
        <f t="shared" si="57"/>
        <v>IO.Slot14.AnalogueInput11</v>
      </c>
      <c r="O237" s="286" t="str">
        <f t="shared" si="58"/>
        <v>R.</v>
      </c>
      <c r="P237" s="406" t="str">
        <f t="shared" si="59"/>
        <v>R.IO.Slot14.AnalogueInput11</v>
      </c>
      <c r="Q237" s="286"/>
      <c r="R237" s="413" t="str">
        <f t="shared" si="49"/>
        <v>BSB.S202.FIL.HND.BM001</v>
      </c>
      <c r="S237" s="419" t="str">
        <f t="shared" si="50"/>
        <v>PSDUS0202:BSB:S202:FIL:HND:BM001:NAME</v>
      </c>
      <c r="T237" s="286"/>
      <c r="U237" s="287"/>
      <c r="V237" s="287"/>
      <c r="W237" s="287"/>
      <c r="X237" s="287"/>
      <c r="Y237" s="287"/>
      <c r="Z237" s="288"/>
      <c r="AA237" s="289">
        <f t="shared" si="52"/>
        <v>32</v>
      </c>
      <c r="AB237" s="290"/>
      <c r="AC237" s="291"/>
      <c r="AD237" s="292"/>
      <c r="AE237" s="293"/>
      <c r="AG237" s="295" t="s">
        <v>1362</v>
      </c>
    </row>
    <row r="238" spans="1:33" s="294" customFormat="1" x14ac:dyDescent="0.25">
      <c r="A238" s="487"/>
      <c r="B238" s="490"/>
      <c r="C238" s="493"/>
      <c r="D238" s="390">
        <v>12</v>
      </c>
      <c r="E238" s="399">
        <v>236</v>
      </c>
      <c r="F238" s="474" t="s">
        <v>1126</v>
      </c>
      <c r="G238" s="282" t="s">
        <v>1267</v>
      </c>
      <c r="H238" s="283" t="s">
        <v>1355</v>
      </c>
      <c r="I238" s="283" t="s">
        <v>1329</v>
      </c>
      <c r="J238" s="283" t="s">
        <v>1296</v>
      </c>
      <c r="K238" s="300" t="s">
        <v>1297</v>
      </c>
      <c r="L238" s="484" t="str">
        <f t="shared" si="55"/>
        <v>PSDUS0202:BSB:S202:FIL:AUT:BM001</v>
      </c>
      <c r="M238" s="285"/>
      <c r="N238" s="402" t="str">
        <f t="shared" si="57"/>
        <v>IO.Slot14.AnalogueInput12</v>
      </c>
      <c r="O238" s="286" t="str">
        <f t="shared" si="58"/>
        <v>R.</v>
      </c>
      <c r="P238" s="406" t="str">
        <f t="shared" si="59"/>
        <v>R.IO.Slot14.AnalogueInput12</v>
      </c>
      <c r="Q238" s="286"/>
      <c r="R238" s="413" t="str">
        <f t="shared" si="49"/>
        <v>BSB.S202.FIL.AUT.BM001</v>
      </c>
      <c r="S238" s="419" t="str">
        <f t="shared" si="50"/>
        <v>PSDUS0202:BSB:S202:FIL:AUT:BM001:NAME</v>
      </c>
      <c r="T238" s="286"/>
      <c r="U238" s="287"/>
      <c r="V238" s="287"/>
      <c r="W238" s="287"/>
      <c r="X238" s="287"/>
      <c r="Y238" s="287"/>
      <c r="Z238" s="288"/>
      <c r="AA238" s="289">
        <f t="shared" si="52"/>
        <v>32</v>
      </c>
      <c r="AB238" s="290"/>
      <c r="AC238" s="291"/>
      <c r="AD238" s="292"/>
      <c r="AE238" s="293"/>
      <c r="AG238" s="295" t="s">
        <v>1362</v>
      </c>
    </row>
    <row r="239" spans="1:33" s="294" customFormat="1" x14ac:dyDescent="0.25">
      <c r="A239" s="487"/>
      <c r="B239" s="490"/>
      <c r="C239" s="493"/>
      <c r="D239" s="423">
        <v>13</v>
      </c>
      <c r="E239" s="428">
        <v>237</v>
      </c>
      <c r="F239" s="474" t="s">
        <v>1127</v>
      </c>
      <c r="G239" s="282" t="s">
        <v>1267</v>
      </c>
      <c r="H239" s="282" t="s">
        <v>1356</v>
      </c>
      <c r="I239" s="282" t="s">
        <v>1329</v>
      </c>
      <c r="J239" s="283" t="s">
        <v>1298</v>
      </c>
      <c r="K239" s="284" t="s">
        <v>1297</v>
      </c>
      <c r="L239" s="484" t="str">
        <f t="shared" si="55"/>
        <v>PSDUS0202:BSB:S203:FIL:HND:BM001</v>
      </c>
      <c r="M239" s="285"/>
      <c r="N239" s="402" t="str">
        <f t="shared" si="57"/>
        <v>IO.Slot14.AnalogueInput13</v>
      </c>
      <c r="O239" s="286" t="str">
        <f t="shared" si="58"/>
        <v>R.</v>
      </c>
      <c r="P239" s="406" t="str">
        <f t="shared" si="59"/>
        <v>R.IO.Slot14.AnalogueInput13</v>
      </c>
      <c r="Q239" s="286"/>
      <c r="R239" s="413" t="str">
        <f t="shared" si="49"/>
        <v>BSB.S203.FIL.HND.BM001</v>
      </c>
      <c r="S239" s="419" t="str">
        <f t="shared" si="50"/>
        <v>PSDUS0202:BSB:S203:FIL:HND:BM001:NAME</v>
      </c>
      <c r="T239" s="286"/>
      <c r="U239" s="287"/>
      <c r="V239" s="287"/>
      <c r="W239" s="287"/>
      <c r="X239" s="287"/>
      <c r="Y239" s="287"/>
      <c r="Z239" s="288"/>
      <c r="AA239" s="289">
        <f t="shared" si="52"/>
        <v>32</v>
      </c>
      <c r="AB239" s="290"/>
      <c r="AC239" s="291"/>
      <c r="AD239" s="292"/>
      <c r="AE239" s="293"/>
      <c r="AG239" s="295" t="s">
        <v>1363</v>
      </c>
    </row>
    <row r="240" spans="1:33" s="294" customFormat="1" x14ac:dyDescent="0.25">
      <c r="A240" s="487"/>
      <c r="B240" s="490"/>
      <c r="C240" s="493"/>
      <c r="D240" s="390">
        <v>14</v>
      </c>
      <c r="E240" s="399">
        <v>238</v>
      </c>
      <c r="F240" s="474" t="s">
        <v>1128</v>
      </c>
      <c r="G240" s="282" t="s">
        <v>1267</v>
      </c>
      <c r="H240" s="283" t="s">
        <v>1356</v>
      </c>
      <c r="I240" s="283" t="s">
        <v>1329</v>
      </c>
      <c r="J240" s="283" t="s">
        <v>1296</v>
      </c>
      <c r="K240" s="300" t="s">
        <v>1297</v>
      </c>
      <c r="L240" s="484" t="str">
        <f t="shared" si="55"/>
        <v>PSDUS0202:BSB:S203:FIL:AUT:BM001</v>
      </c>
      <c r="M240" s="285"/>
      <c r="N240" s="402" t="str">
        <f t="shared" si="57"/>
        <v>IO.Slot14.AnalogueInput14</v>
      </c>
      <c r="O240" s="286" t="str">
        <f t="shared" si="58"/>
        <v>R.</v>
      </c>
      <c r="P240" s="406" t="str">
        <f t="shared" si="59"/>
        <v>R.IO.Slot14.AnalogueInput14</v>
      </c>
      <c r="Q240" s="286"/>
      <c r="R240" s="413" t="str">
        <f t="shared" si="49"/>
        <v>BSB.S203.FIL.AUT.BM001</v>
      </c>
      <c r="S240" s="419" t="str">
        <f t="shared" si="50"/>
        <v>PSDUS0202:BSB:S203:FIL:AUT:BM001:NAME</v>
      </c>
      <c r="T240" s="286"/>
      <c r="U240" s="287"/>
      <c r="V240" s="287"/>
      <c r="W240" s="287"/>
      <c r="X240" s="287"/>
      <c r="Y240" s="287"/>
      <c r="Z240" s="288"/>
      <c r="AA240" s="289">
        <f t="shared" si="52"/>
        <v>32</v>
      </c>
      <c r="AB240" s="290"/>
      <c r="AC240" s="291"/>
      <c r="AD240" s="292"/>
      <c r="AE240" s="293"/>
      <c r="AG240" s="295" t="s">
        <v>1363</v>
      </c>
    </row>
    <row r="241" spans="1:36" s="294" customFormat="1" ht="15.75" thickBot="1" x14ac:dyDescent="0.3">
      <c r="A241" s="488"/>
      <c r="B241" s="491"/>
      <c r="C241" s="494"/>
      <c r="D241" s="423">
        <v>15</v>
      </c>
      <c r="E241" s="428">
        <v>239</v>
      </c>
      <c r="F241" s="474" t="s">
        <v>1129</v>
      </c>
      <c r="G241" s="282" t="s">
        <v>1267</v>
      </c>
      <c r="H241" s="282" t="s">
        <v>1357</v>
      </c>
      <c r="I241" s="282" t="s">
        <v>1302</v>
      </c>
      <c r="J241" s="283" t="s">
        <v>1298</v>
      </c>
      <c r="K241" s="284" t="s">
        <v>1297</v>
      </c>
      <c r="L241" s="484" t="str">
        <f t="shared" si="55"/>
        <v>PSDUS0202:BSB:S211:AKL:HND:BM001</v>
      </c>
      <c r="M241" s="285"/>
      <c r="N241" s="402" t="str">
        <f t="shared" si="57"/>
        <v>IO.Slot14.AnalogueInput15</v>
      </c>
      <c r="O241" s="286" t="str">
        <f t="shared" si="58"/>
        <v>R.</v>
      </c>
      <c r="P241" s="406" t="str">
        <f t="shared" si="59"/>
        <v>R.IO.Slot14.AnalogueInput15</v>
      </c>
      <c r="Q241" s="286"/>
      <c r="R241" s="413" t="str">
        <f t="shared" si="49"/>
        <v>BSB.S211.AKL.HND.BM001</v>
      </c>
      <c r="S241" s="419" t="str">
        <f t="shared" si="50"/>
        <v>PSDUS0202:BSB:S211:AKL:HND:BM001:NAME</v>
      </c>
      <c r="T241" s="286"/>
      <c r="U241" s="287"/>
      <c r="V241" s="287"/>
      <c r="W241" s="287"/>
      <c r="X241" s="287"/>
      <c r="Y241" s="287"/>
      <c r="Z241" s="288"/>
      <c r="AA241" s="289">
        <f t="shared" si="52"/>
        <v>32</v>
      </c>
      <c r="AB241" s="290"/>
      <c r="AC241" s="291"/>
      <c r="AD241" s="292"/>
      <c r="AE241" s="293"/>
      <c r="AG241" s="295" t="s">
        <v>1364</v>
      </c>
    </row>
    <row r="242" spans="1:36" s="279" customFormat="1" ht="14.45" customHeight="1" x14ac:dyDescent="0.25">
      <c r="A242" s="486" t="s">
        <v>3</v>
      </c>
      <c r="B242" s="489" t="str">
        <f>LOOKUP(A242,Module,IO)</f>
        <v>AnalogueInput</v>
      </c>
      <c r="C242" s="495" t="s">
        <v>23</v>
      </c>
      <c r="D242" s="389" t="s">
        <v>160</v>
      </c>
      <c r="E242" s="398">
        <v>240</v>
      </c>
      <c r="F242" s="476" t="s">
        <v>1130</v>
      </c>
      <c r="G242" s="267" t="s">
        <v>1267</v>
      </c>
      <c r="H242" s="268" t="s">
        <v>1357</v>
      </c>
      <c r="I242" s="268" t="s">
        <v>1302</v>
      </c>
      <c r="J242" s="267" t="s">
        <v>1296</v>
      </c>
      <c r="K242" s="269" t="s">
        <v>1297</v>
      </c>
      <c r="L242" s="483" t="str">
        <f t="shared" si="55"/>
        <v>PSDUS0202:BSB:S211:AKL:AUT:BM001</v>
      </c>
      <c r="M242" s="312"/>
      <c r="N242" s="401" t="str">
        <f t="shared" ref="N242:N257" si="60">IF(F242&lt;&gt;"",IF($H$1&lt;&gt;"","IO"&amp;".","IO.")&amp;$C$242&amp;"."&amp;$B$242&amp;D242,"")</f>
        <v>IO.Slot15.AnalogueInput0</v>
      </c>
      <c r="O242" s="271" t="str">
        <f t="shared" ref="O242:O257" si="61">LOOKUP($A$242,Module,Type)</f>
        <v>R.</v>
      </c>
      <c r="P242" s="405" t="str">
        <f>O242&amp;N242</f>
        <v>R.IO.Slot15.AnalogueInput0</v>
      </c>
      <c r="Q242" s="313"/>
      <c r="R242" s="412" t="str">
        <f t="shared" si="49"/>
        <v>BSB.S211.AKL.AUT.BM001</v>
      </c>
      <c r="S242" s="418" t="str">
        <f t="shared" si="50"/>
        <v>PSDUS0202:BSB:S211:AKL:AUT:BM001:NAME</v>
      </c>
      <c r="T242" s="271"/>
      <c r="U242" s="272"/>
      <c r="V242" s="272"/>
      <c r="W242" s="272"/>
      <c r="X242" s="272"/>
      <c r="Y242" s="272"/>
      <c r="Z242" s="273"/>
      <c r="AA242" s="274">
        <f t="shared" si="52"/>
        <v>32</v>
      </c>
      <c r="AB242" s="275"/>
      <c r="AC242" s="276"/>
      <c r="AD242" s="277"/>
      <c r="AE242" s="278"/>
      <c r="AG242" s="280" t="s">
        <v>1364</v>
      </c>
    </row>
    <row r="243" spans="1:36" s="294" customFormat="1" x14ac:dyDescent="0.25">
      <c r="A243" s="487"/>
      <c r="B243" s="490"/>
      <c r="C243" s="496"/>
      <c r="D243" s="390">
        <v>1</v>
      </c>
      <c r="E243" s="399">
        <v>241</v>
      </c>
      <c r="F243" s="474" t="s">
        <v>1131</v>
      </c>
      <c r="G243" s="282" t="s">
        <v>1267</v>
      </c>
      <c r="H243" s="283" t="s">
        <v>1324</v>
      </c>
      <c r="I243" s="283" t="s">
        <v>1292</v>
      </c>
      <c r="J243" s="283" t="s">
        <v>1296</v>
      </c>
      <c r="K243" s="305" t="s">
        <v>1297</v>
      </c>
      <c r="L243" s="484"/>
      <c r="M243" s="310"/>
      <c r="N243" s="402"/>
      <c r="O243" s="286"/>
      <c r="P243" s="406"/>
      <c r="Q243" s="302"/>
      <c r="R243" s="413"/>
      <c r="S243" s="419"/>
      <c r="T243" s="286"/>
      <c r="U243" s="287"/>
      <c r="V243" s="287"/>
      <c r="W243" s="287"/>
      <c r="X243" s="287"/>
      <c r="Y243" s="287"/>
      <c r="Z243" s="288"/>
      <c r="AA243" s="289"/>
      <c r="AB243" s="290"/>
      <c r="AC243" s="291"/>
      <c r="AD243" s="292"/>
      <c r="AE243" s="293"/>
      <c r="AG243" s="295" t="s">
        <v>1358</v>
      </c>
      <c r="AJ243" s="291"/>
    </row>
    <row r="244" spans="1:36" s="294" customFormat="1" x14ac:dyDescent="0.25">
      <c r="A244" s="487"/>
      <c r="B244" s="490"/>
      <c r="C244" s="496"/>
      <c r="D244" s="423">
        <v>2</v>
      </c>
      <c r="E244" s="428">
        <v>242</v>
      </c>
      <c r="F244" s="474" t="s">
        <v>1132</v>
      </c>
      <c r="G244" s="282" t="s">
        <v>1267</v>
      </c>
      <c r="H244" s="306" t="s">
        <v>1324</v>
      </c>
      <c r="I244" s="283" t="s">
        <v>1292</v>
      </c>
      <c r="J244" s="283" t="s">
        <v>1298</v>
      </c>
      <c r="K244" s="305" t="s">
        <v>1297</v>
      </c>
      <c r="L244" s="484"/>
      <c r="M244" s="310"/>
      <c r="N244" s="402"/>
      <c r="O244" s="286"/>
      <c r="P244" s="406"/>
      <c r="Q244" s="302"/>
      <c r="R244" s="413"/>
      <c r="S244" s="419"/>
      <c r="T244" s="286"/>
      <c r="U244" s="287"/>
      <c r="V244" s="287"/>
      <c r="W244" s="287"/>
      <c r="X244" s="287"/>
      <c r="Y244" s="287"/>
      <c r="Z244" s="288"/>
      <c r="AA244" s="289"/>
      <c r="AB244" s="290"/>
      <c r="AC244" s="291"/>
      <c r="AD244" s="292"/>
      <c r="AE244" s="293"/>
      <c r="AG244" s="295" t="s">
        <v>1358</v>
      </c>
      <c r="AJ244" s="291"/>
    </row>
    <row r="245" spans="1:36" s="294" customFormat="1" x14ac:dyDescent="0.25">
      <c r="A245" s="487"/>
      <c r="B245" s="490"/>
      <c r="C245" s="496"/>
      <c r="D245" s="390">
        <v>3</v>
      </c>
      <c r="E245" s="399">
        <v>243</v>
      </c>
      <c r="F245" s="474" t="s">
        <v>1133</v>
      </c>
      <c r="G245" s="282" t="s">
        <v>1267</v>
      </c>
      <c r="H245" s="306" t="s">
        <v>1324</v>
      </c>
      <c r="I245" s="282" t="s">
        <v>1292</v>
      </c>
      <c r="J245" s="283" t="s">
        <v>1299</v>
      </c>
      <c r="K245" s="284" t="s">
        <v>1297</v>
      </c>
      <c r="L245" s="484"/>
      <c r="M245" s="310"/>
      <c r="N245" s="402"/>
      <c r="O245" s="286"/>
      <c r="P245" s="406"/>
      <c r="Q245" s="302"/>
      <c r="R245" s="413"/>
      <c r="S245" s="419"/>
      <c r="T245" s="286"/>
      <c r="U245" s="287"/>
      <c r="V245" s="287"/>
      <c r="W245" s="287"/>
      <c r="X245" s="287"/>
      <c r="Y245" s="287"/>
      <c r="Z245" s="288"/>
      <c r="AA245" s="289"/>
      <c r="AB245" s="290"/>
      <c r="AC245" s="291"/>
      <c r="AD245" s="292"/>
      <c r="AE245" s="293"/>
      <c r="AG245" s="295" t="s">
        <v>1358</v>
      </c>
      <c r="AJ245" s="291"/>
    </row>
    <row r="246" spans="1:36" s="294" customFormat="1" x14ac:dyDescent="0.25">
      <c r="A246" s="487"/>
      <c r="B246" s="490"/>
      <c r="C246" s="496"/>
      <c r="D246" s="390">
        <v>4</v>
      </c>
      <c r="E246" s="399">
        <v>244</v>
      </c>
      <c r="F246" s="474" t="s">
        <v>1134</v>
      </c>
      <c r="G246" s="282" t="s">
        <v>1267</v>
      </c>
      <c r="H246" s="306" t="s">
        <v>1324</v>
      </c>
      <c r="I246" s="282" t="s">
        <v>1292</v>
      </c>
      <c r="J246" s="283" t="s">
        <v>1282</v>
      </c>
      <c r="K246" s="284" t="s">
        <v>1283</v>
      </c>
      <c r="L246" s="484"/>
      <c r="M246" s="310"/>
      <c r="N246" s="402"/>
      <c r="O246" s="286"/>
      <c r="P246" s="406"/>
      <c r="Q246" s="302"/>
      <c r="R246" s="413"/>
      <c r="S246" s="419"/>
      <c r="T246" s="286"/>
      <c r="U246" s="287"/>
      <c r="V246" s="287"/>
      <c r="W246" s="287"/>
      <c r="X246" s="287"/>
      <c r="Y246" s="287"/>
      <c r="Z246" s="288"/>
      <c r="AA246" s="289"/>
      <c r="AB246" s="290"/>
      <c r="AC246" s="291"/>
      <c r="AD246" s="292"/>
      <c r="AE246" s="293"/>
      <c r="AG246" s="295" t="s">
        <v>1358</v>
      </c>
      <c r="AJ246" s="291"/>
    </row>
    <row r="247" spans="1:36" s="294" customFormat="1" x14ac:dyDescent="0.25">
      <c r="A247" s="487"/>
      <c r="B247" s="490"/>
      <c r="C247" s="496"/>
      <c r="D247" s="390">
        <v>5</v>
      </c>
      <c r="E247" s="399">
        <v>245</v>
      </c>
      <c r="F247" s="474" t="s">
        <v>1135</v>
      </c>
      <c r="G247" s="282" t="s">
        <v>1267</v>
      </c>
      <c r="H247" s="283" t="s">
        <v>1325</v>
      </c>
      <c r="I247" s="283" t="s">
        <v>1292</v>
      </c>
      <c r="J247" s="283" t="s">
        <v>1296</v>
      </c>
      <c r="K247" s="305" t="s">
        <v>1297</v>
      </c>
      <c r="L247" s="484"/>
      <c r="M247" s="310"/>
      <c r="N247" s="402"/>
      <c r="O247" s="286"/>
      <c r="P247" s="406"/>
      <c r="Q247" s="302"/>
      <c r="R247" s="413"/>
      <c r="S247" s="419"/>
      <c r="T247" s="286"/>
      <c r="U247" s="287"/>
      <c r="V247" s="287"/>
      <c r="W247" s="287"/>
      <c r="X247" s="287"/>
      <c r="Y247" s="287"/>
      <c r="Z247" s="288"/>
      <c r="AA247" s="289"/>
      <c r="AB247" s="290"/>
      <c r="AC247" s="291"/>
      <c r="AD247" s="292"/>
      <c r="AE247" s="293"/>
      <c r="AG247" s="295" t="s">
        <v>1359</v>
      </c>
    </row>
    <row r="248" spans="1:36" s="294" customFormat="1" x14ac:dyDescent="0.25">
      <c r="A248" s="487"/>
      <c r="B248" s="490"/>
      <c r="C248" s="496"/>
      <c r="D248" s="423">
        <v>6</v>
      </c>
      <c r="E248" s="428">
        <v>246</v>
      </c>
      <c r="F248" s="474" t="s">
        <v>1136</v>
      </c>
      <c r="G248" s="282" t="s">
        <v>1267</v>
      </c>
      <c r="H248" s="283" t="s">
        <v>1325</v>
      </c>
      <c r="I248" s="283" t="s">
        <v>1292</v>
      </c>
      <c r="J248" s="283" t="s">
        <v>1298</v>
      </c>
      <c r="K248" s="305" t="s">
        <v>1297</v>
      </c>
      <c r="L248" s="484"/>
      <c r="M248" s="310"/>
      <c r="N248" s="402"/>
      <c r="O248" s="286"/>
      <c r="P248" s="406"/>
      <c r="Q248" s="302"/>
      <c r="R248" s="413"/>
      <c r="S248" s="419"/>
      <c r="T248" s="286"/>
      <c r="U248" s="287"/>
      <c r="V248" s="287"/>
      <c r="W248" s="287"/>
      <c r="X248" s="287"/>
      <c r="Y248" s="287"/>
      <c r="Z248" s="288"/>
      <c r="AA248" s="289"/>
      <c r="AB248" s="290"/>
      <c r="AC248" s="291"/>
      <c r="AD248" s="292"/>
      <c r="AE248" s="293"/>
      <c r="AG248" s="295" t="s">
        <v>1359</v>
      </c>
    </row>
    <row r="249" spans="1:36" s="294" customFormat="1" x14ac:dyDescent="0.25">
      <c r="A249" s="487"/>
      <c r="B249" s="490"/>
      <c r="C249" s="496"/>
      <c r="D249" s="390">
        <v>7</v>
      </c>
      <c r="E249" s="399">
        <v>247</v>
      </c>
      <c r="F249" s="474" t="s">
        <v>1137</v>
      </c>
      <c r="G249" s="282" t="s">
        <v>1267</v>
      </c>
      <c r="H249" s="283" t="s">
        <v>1325</v>
      </c>
      <c r="I249" s="282" t="s">
        <v>1292</v>
      </c>
      <c r="J249" s="283" t="s">
        <v>1299</v>
      </c>
      <c r="K249" s="284" t="s">
        <v>1297</v>
      </c>
      <c r="L249" s="484" t="str">
        <f t="shared" si="55"/>
        <v>PSDUS0202:BSB:M202:PUM:EIN:BM001</v>
      </c>
      <c r="M249" s="310"/>
      <c r="N249" s="402" t="str">
        <f t="shared" si="60"/>
        <v>IO.Slot15.AnalogueInput7</v>
      </c>
      <c r="O249" s="286" t="str">
        <f t="shared" si="61"/>
        <v>R.</v>
      </c>
      <c r="P249" s="406" t="str">
        <f t="shared" ref="P249:P257" si="62">O249&amp;N249</f>
        <v>R.IO.Slot15.AnalogueInput7</v>
      </c>
      <c r="Q249" s="302"/>
      <c r="R249" s="413" t="str">
        <f t="shared" si="49"/>
        <v>BSB.M202.PUM.EIN.BM001</v>
      </c>
      <c r="S249" s="419" t="str">
        <f t="shared" si="50"/>
        <v>PSDUS0202:BSB:M202:PUM:EIN:BM001:NAME</v>
      </c>
      <c r="T249" s="286"/>
      <c r="U249" s="287"/>
      <c r="V249" s="287"/>
      <c r="W249" s="287"/>
      <c r="X249" s="287"/>
      <c r="Y249" s="287"/>
      <c r="Z249" s="288"/>
      <c r="AA249" s="289">
        <f t="shared" si="52"/>
        <v>32</v>
      </c>
      <c r="AB249" s="290"/>
      <c r="AC249" s="291"/>
      <c r="AD249" s="292"/>
      <c r="AE249" s="293"/>
      <c r="AG249" s="295" t="s">
        <v>1359</v>
      </c>
    </row>
    <row r="250" spans="1:36" s="294" customFormat="1" x14ac:dyDescent="0.25">
      <c r="A250" s="487"/>
      <c r="B250" s="490"/>
      <c r="C250" s="496"/>
      <c r="D250" s="390">
        <v>8</v>
      </c>
      <c r="E250" s="399">
        <v>248</v>
      </c>
      <c r="F250" s="474" t="s">
        <v>1138</v>
      </c>
      <c r="G250" s="282" t="s">
        <v>1267</v>
      </c>
      <c r="H250" s="283" t="s">
        <v>1325</v>
      </c>
      <c r="I250" s="282" t="s">
        <v>1292</v>
      </c>
      <c r="J250" s="283" t="s">
        <v>1282</v>
      </c>
      <c r="K250" s="284" t="s">
        <v>1283</v>
      </c>
      <c r="L250" s="484" t="str">
        <f t="shared" si="55"/>
        <v>PSDUS0202:BSB:M202:PUM:ASG:SM001</v>
      </c>
      <c r="M250" s="285"/>
      <c r="N250" s="402" t="str">
        <f t="shared" si="60"/>
        <v>IO.Slot15.AnalogueInput8</v>
      </c>
      <c r="O250" s="286" t="str">
        <f t="shared" si="61"/>
        <v>R.</v>
      </c>
      <c r="P250" s="406" t="str">
        <f t="shared" si="62"/>
        <v>R.IO.Slot15.AnalogueInput8</v>
      </c>
      <c r="Q250" s="286"/>
      <c r="R250" s="413" t="str">
        <f t="shared" si="49"/>
        <v>BSB.M202.PUM.ASG.SM001</v>
      </c>
      <c r="S250" s="419" t="str">
        <f t="shared" si="50"/>
        <v>PSDUS0202:BSB:M202:PUM:ASG:SM001:NAME</v>
      </c>
      <c r="T250" s="286"/>
      <c r="U250" s="287"/>
      <c r="V250" s="287"/>
      <c r="W250" s="287"/>
      <c r="X250" s="287"/>
      <c r="Y250" s="287"/>
      <c r="Z250" s="288"/>
      <c r="AA250" s="289">
        <f t="shared" si="52"/>
        <v>32</v>
      </c>
      <c r="AB250" s="290"/>
      <c r="AC250" s="291"/>
      <c r="AD250" s="292"/>
      <c r="AE250" s="293"/>
      <c r="AG250" s="295" t="s">
        <v>1359</v>
      </c>
    </row>
    <row r="251" spans="1:36" s="294" customFormat="1" x14ac:dyDescent="0.25">
      <c r="A251" s="487"/>
      <c r="B251" s="490"/>
      <c r="C251" s="496"/>
      <c r="D251" s="390">
        <v>9</v>
      </c>
      <c r="E251" s="399">
        <v>249</v>
      </c>
      <c r="F251" s="474" t="s">
        <v>1139</v>
      </c>
      <c r="G251" s="282" t="s">
        <v>1267</v>
      </c>
      <c r="H251" s="283" t="s">
        <v>1332</v>
      </c>
      <c r="I251" s="283" t="s">
        <v>1292</v>
      </c>
      <c r="J251" s="283" t="s">
        <v>1282</v>
      </c>
      <c r="K251" s="300" t="s">
        <v>1283</v>
      </c>
      <c r="L251" s="484" t="str">
        <f t="shared" si="55"/>
        <v>PSDUS0202:BSB:M203:PUM:ASG:SM001</v>
      </c>
      <c r="M251" s="285"/>
      <c r="N251" s="402" t="str">
        <f t="shared" si="60"/>
        <v>IO.Slot15.AnalogueInput9</v>
      </c>
      <c r="O251" s="286" t="str">
        <f t="shared" si="61"/>
        <v>R.</v>
      </c>
      <c r="P251" s="406" t="str">
        <f t="shared" si="62"/>
        <v>R.IO.Slot15.AnalogueInput9</v>
      </c>
      <c r="Q251" s="286"/>
      <c r="R251" s="413" t="str">
        <f t="shared" si="49"/>
        <v>BSB.M203.PUM.ASG.SM001</v>
      </c>
      <c r="S251" s="419" t="str">
        <f t="shared" si="50"/>
        <v>PSDUS0202:BSB:M203:PUM:ASG:SM001:NAME</v>
      </c>
      <c r="T251" s="286"/>
      <c r="U251" s="287"/>
      <c r="V251" s="287"/>
      <c r="W251" s="287"/>
      <c r="X251" s="287"/>
      <c r="Y251" s="287"/>
      <c r="Z251" s="288"/>
      <c r="AA251" s="289">
        <f t="shared" si="52"/>
        <v>32</v>
      </c>
      <c r="AB251" s="290"/>
      <c r="AC251" s="291"/>
      <c r="AD251" s="292"/>
      <c r="AE251" s="293"/>
      <c r="AG251" s="295" t="s">
        <v>1334</v>
      </c>
    </row>
    <row r="252" spans="1:36" s="294" customFormat="1" x14ac:dyDescent="0.25">
      <c r="A252" s="487"/>
      <c r="B252" s="490"/>
      <c r="C252" s="496"/>
      <c r="D252" s="390">
        <v>10</v>
      </c>
      <c r="E252" s="399">
        <v>250</v>
      </c>
      <c r="F252" s="474" t="s">
        <v>1140</v>
      </c>
      <c r="G252" s="306" t="s">
        <v>1267</v>
      </c>
      <c r="H252" s="283" t="s">
        <v>1407</v>
      </c>
      <c r="I252" s="283" t="s">
        <v>1302</v>
      </c>
      <c r="J252" s="283" t="s">
        <v>1303</v>
      </c>
      <c r="K252" s="300" t="s">
        <v>1297</v>
      </c>
      <c r="L252" s="484" t="str">
        <f t="shared" si="55"/>
        <v>PSDUS0202:BSB:X235:AKL:AUF:BM001</v>
      </c>
      <c r="M252" s="285"/>
      <c r="N252" s="402" t="str">
        <f t="shared" si="60"/>
        <v>IO.Slot15.AnalogueInput10</v>
      </c>
      <c r="O252" s="286" t="str">
        <f t="shared" si="61"/>
        <v>R.</v>
      </c>
      <c r="P252" s="406" t="str">
        <f t="shared" si="62"/>
        <v>R.IO.Slot15.AnalogueInput10</v>
      </c>
      <c r="Q252" s="286"/>
      <c r="R252" s="413" t="str">
        <f t="shared" si="49"/>
        <v>BSB.X235.AKL.AUF.BM001</v>
      </c>
      <c r="S252" s="419" t="str">
        <f t="shared" si="50"/>
        <v>PSDUS0202:BSB:X235:AKL:AUF:BM001:NAME</v>
      </c>
      <c r="T252" s="286"/>
      <c r="U252" s="287"/>
      <c r="V252" s="287"/>
      <c r="W252" s="287"/>
      <c r="X252" s="287"/>
      <c r="Y252" s="287"/>
      <c r="Z252" s="288"/>
      <c r="AA252" s="289">
        <f t="shared" si="52"/>
        <v>32</v>
      </c>
      <c r="AB252" s="290"/>
      <c r="AC252" s="291"/>
      <c r="AD252" s="292"/>
      <c r="AE252" s="293"/>
      <c r="AG252" s="295" t="s">
        <v>1406</v>
      </c>
    </row>
    <row r="253" spans="1:36" s="294" customFormat="1" x14ac:dyDescent="0.25">
      <c r="A253" s="487"/>
      <c r="B253" s="490"/>
      <c r="C253" s="496"/>
      <c r="D253" s="390">
        <v>11</v>
      </c>
      <c r="E253" s="399">
        <v>251</v>
      </c>
      <c r="F253" s="474" t="s">
        <v>1141</v>
      </c>
      <c r="G253" s="306" t="s">
        <v>1267</v>
      </c>
      <c r="H253" s="283" t="s">
        <v>1407</v>
      </c>
      <c r="I253" s="283" t="s">
        <v>1302</v>
      </c>
      <c r="J253" s="283" t="s">
        <v>1304</v>
      </c>
      <c r="K253" s="300" t="s">
        <v>1297</v>
      </c>
      <c r="L253" s="484" t="str">
        <f t="shared" si="55"/>
        <v>PSDUS0202:BSB:X235:AKL:ZU_:BM001</v>
      </c>
      <c r="M253" s="285"/>
      <c r="N253" s="402" t="str">
        <f t="shared" si="60"/>
        <v>IO.Slot15.AnalogueInput11</v>
      </c>
      <c r="O253" s="286" t="str">
        <f t="shared" si="61"/>
        <v>R.</v>
      </c>
      <c r="P253" s="406" t="str">
        <f t="shared" si="62"/>
        <v>R.IO.Slot15.AnalogueInput11</v>
      </c>
      <c r="Q253" s="286"/>
      <c r="R253" s="413" t="str">
        <f t="shared" si="49"/>
        <v>BSB.X235.AKL.ZU_.BM001</v>
      </c>
      <c r="S253" s="419" t="str">
        <f t="shared" si="50"/>
        <v>PSDUS0202:BSB:X235:AKL:ZU_:BM001:NAME</v>
      </c>
      <c r="T253" s="286"/>
      <c r="U253" s="287"/>
      <c r="V253" s="287"/>
      <c r="W253" s="287"/>
      <c r="X253" s="287"/>
      <c r="Y253" s="287"/>
      <c r="Z253" s="288"/>
      <c r="AA253" s="289">
        <f t="shared" si="52"/>
        <v>32</v>
      </c>
      <c r="AB253" s="290"/>
      <c r="AC253" s="291"/>
      <c r="AD253" s="292"/>
      <c r="AE253" s="293"/>
      <c r="AG253" s="295" t="s">
        <v>1406</v>
      </c>
    </row>
    <row r="254" spans="1:36" s="294" customFormat="1" x14ac:dyDescent="0.25">
      <c r="A254" s="487"/>
      <c r="B254" s="490"/>
      <c r="C254" s="496"/>
      <c r="D254" s="390">
        <v>12</v>
      </c>
      <c r="E254" s="399">
        <v>252</v>
      </c>
      <c r="F254" s="474" t="s">
        <v>1142</v>
      </c>
      <c r="G254" s="282" t="s">
        <v>1267</v>
      </c>
      <c r="H254" s="283" t="s">
        <v>1365</v>
      </c>
      <c r="I254" s="282" t="s">
        <v>1302</v>
      </c>
      <c r="J254" s="283" t="s">
        <v>1303</v>
      </c>
      <c r="K254" s="284" t="s">
        <v>1297</v>
      </c>
      <c r="L254" s="484" t="str">
        <f t="shared" si="55"/>
        <v>PSDUS0202:BSB:X219:AKL:AUF:BM001</v>
      </c>
      <c r="M254" s="285"/>
      <c r="N254" s="402" t="str">
        <f t="shared" si="60"/>
        <v>IO.Slot15.AnalogueInput12</v>
      </c>
      <c r="O254" s="286" t="str">
        <f t="shared" si="61"/>
        <v>R.</v>
      </c>
      <c r="P254" s="406" t="str">
        <f t="shared" si="62"/>
        <v>R.IO.Slot15.AnalogueInput12</v>
      </c>
      <c r="Q254" s="286"/>
      <c r="R254" s="413" t="str">
        <f t="shared" si="49"/>
        <v>BSB.X219.AKL.AUF.BM001</v>
      </c>
      <c r="S254" s="419" t="str">
        <f t="shared" si="50"/>
        <v>PSDUS0202:BSB:X219:AKL:AUF:BM001:NAME</v>
      </c>
      <c r="T254" s="286"/>
      <c r="U254" s="287"/>
      <c r="V254" s="287"/>
      <c r="W254" s="287"/>
      <c r="X254" s="287"/>
      <c r="Y254" s="287"/>
      <c r="Z254" s="288"/>
      <c r="AA254" s="289">
        <f t="shared" si="52"/>
        <v>32</v>
      </c>
      <c r="AB254" s="290"/>
      <c r="AC254" s="291"/>
      <c r="AD254" s="292"/>
      <c r="AE254" s="293"/>
      <c r="AG254" s="295" t="s">
        <v>1369</v>
      </c>
    </row>
    <row r="255" spans="1:36" s="294" customFormat="1" x14ac:dyDescent="0.25">
      <c r="A255" s="487"/>
      <c r="B255" s="490"/>
      <c r="C255" s="496"/>
      <c r="D255" s="390">
        <v>13</v>
      </c>
      <c r="E255" s="399">
        <v>253</v>
      </c>
      <c r="F255" s="474" t="s">
        <v>1143</v>
      </c>
      <c r="G255" s="282" t="s">
        <v>1267</v>
      </c>
      <c r="H255" s="283" t="s">
        <v>1365</v>
      </c>
      <c r="I255" s="282" t="s">
        <v>1302</v>
      </c>
      <c r="J255" s="283" t="s">
        <v>1304</v>
      </c>
      <c r="K255" s="284" t="s">
        <v>1297</v>
      </c>
      <c r="L255" s="484" t="str">
        <f t="shared" si="55"/>
        <v>PSDUS0202:BSB:X219:AKL:ZU_:BM001</v>
      </c>
      <c r="M255" s="285"/>
      <c r="N255" s="402" t="str">
        <f t="shared" si="60"/>
        <v>IO.Slot15.AnalogueInput13</v>
      </c>
      <c r="O255" s="286" t="str">
        <f t="shared" si="61"/>
        <v>R.</v>
      </c>
      <c r="P255" s="406" t="str">
        <f t="shared" si="62"/>
        <v>R.IO.Slot15.AnalogueInput13</v>
      </c>
      <c r="Q255" s="286"/>
      <c r="R255" s="413" t="str">
        <f t="shared" si="49"/>
        <v>BSB.X219.AKL.ZU_.BM001</v>
      </c>
      <c r="S255" s="419" t="str">
        <f t="shared" si="50"/>
        <v>PSDUS0202:BSB:X219:AKL:ZU_:BM001:NAME</v>
      </c>
      <c r="T255" s="286"/>
      <c r="U255" s="287"/>
      <c r="V255" s="287"/>
      <c r="W255" s="287"/>
      <c r="X255" s="287"/>
      <c r="Y255" s="287"/>
      <c r="Z255" s="288"/>
      <c r="AA255" s="289">
        <f t="shared" si="52"/>
        <v>32</v>
      </c>
      <c r="AB255" s="290"/>
      <c r="AC255" s="291"/>
      <c r="AD255" s="292"/>
      <c r="AE255" s="293"/>
      <c r="AG255" s="295" t="s">
        <v>1369</v>
      </c>
    </row>
    <row r="256" spans="1:36" s="294" customFormat="1" x14ac:dyDescent="0.25">
      <c r="A256" s="487"/>
      <c r="B256" s="490"/>
      <c r="C256" s="496"/>
      <c r="D256" s="390">
        <v>14</v>
      </c>
      <c r="E256" s="399">
        <v>254</v>
      </c>
      <c r="F256" s="474" t="s">
        <v>1144</v>
      </c>
      <c r="G256" s="282" t="s">
        <v>1267</v>
      </c>
      <c r="H256" s="283" t="s">
        <v>1366</v>
      </c>
      <c r="I256" s="282" t="s">
        <v>1302</v>
      </c>
      <c r="J256" s="283" t="s">
        <v>1303</v>
      </c>
      <c r="K256" s="300" t="s">
        <v>1297</v>
      </c>
      <c r="L256" s="484" t="str">
        <f t="shared" si="55"/>
        <v>PSDUS0202:BSB:X220:AKL:AUF:BM001</v>
      </c>
      <c r="M256" s="285"/>
      <c r="N256" s="402" t="str">
        <f t="shared" si="60"/>
        <v>IO.Slot15.AnalogueInput14</v>
      </c>
      <c r="O256" s="286" t="str">
        <f t="shared" si="61"/>
        <v>R.</v>
      </c>
      <c r="P256" s="406" t="str">
        <f t="shared" si="62"/>
        <v>R.IO.Slot15.AnalogueInput14</v>
      </c>
      <c r="Q256" s="286"/>
      <c r="R256" s="413" t="str">
        <f t="shared" si="49"/>
        <v>BSB.X220.AKL.AUF.BM001</v>
      </c>
      <c r="S256" s="419" t="str">
        <f t="shared" si="50"/>
        <v>PSDUS0202:BSB:X220:AKL:AUF:BM001:NAME</v>
      </c>
      <c r="T256" s="286"/>
      <c r="U256" s="287"/>
      <c r="V256" s="287"/>
      <c r="W256" s="287"/>
      <c r="X256" s="287"/>
      <c r="Y256" s="287"/>
      <c r="Z256" s="288"/>
      <c r="AA256" s="289">
        <f t="shared" si="52"/>
        <v>32</v>
      </c>
      <c r="AB256" s="290"/>
      <c r="AC256" s="291"/>
      <c r="AD256" s="292"/>
      <c r="AE256" s="293"/>
      <c r="AG256" s="295" t="s">
        <v>1370</v>
      </c>
    </row>
    <row r="257" spans="1:33" s="294" customFormat="1" ht="15.75" thickBot="1" x14ac:dyDescent="0.3">
      <c r="A257" s="488"/>
      <c r="B257" s="491"/>
      <c r="C257" s="497"/>
      <c r="D257" s="390">
        <v>15</v>
      </c>
      <c r="E257" s="399">
        <v>255</v>
      </c>
      <c r="F257" s="474" t="s">
        <v>1145</v>
      </c>
      <c r="G257" s="283"/>
      <c r="H257" s="283"/>
      <c r="I257" s="283"/>
      <c r="J257" s="282"/>
      <c r="K257" s="300"/>
      <c r="L257" s="484" t="str">
        <f t="shared" si="55"/>
        <v/>
      </c>
      <c r="M257" s="285"/>
      <c r="N257" s="402" t="str">
        <f t="shared" si="60"/>
        <v>IO.Slot15.AnalogueInput15</v>
      </c>
      <c r="O257" s="286" t="str">
        <f t="shared" si="61"/>
        <v>R.</v>
      </c>
      <c r="P257" s="406" t="str">
        <f t="shared" si="62"/>
        <v>R.IO.Slot15.AnalogueInput15</v>
      </c>
      <c r="Q257" s="286"/>
      <c r="R257" s="413" t="str">
        <f t="shared" si="49"/>
        <v/>
      </c>
      <c r="S257" s="419" t="str">
        <f t="shared" si="50"/>
        <v>:NAME</v>
      </c>
      <c r="T257" s="286"/>
      <c r="U257" s="287"/>
      <c r="V257" s="287"/>
      <c r="W257" s="287"/>
      <c r="X257" s="287"/>
      <c r="Y257" s="287"/>
      <c r="Z257" s="288"/>
      <c r="AA257" s="289">
        <f t="shared" si="52"/>
        <v>0</v>
      </c>
      <c r="AB257" s="290"/>
      <c r="AC257" s="291"/>
      <c r="AD257" s="292"/>
      <c r="AE257" s="293"/>
      <c r="AG257" s="295"/>
    </row>
    <row r="258" spans="1:33" s="279" customFormat="1" ht="14.45" customHeight="1" x14ac:dyDescent="0.25">
      <c r="A258" s="486" t="s">
        <v>3</v>
      </c>
      <c r="B258" s="489" t="str">
        <f>LOOKUP(A258,Module,IO)</f>
        <v>AnalogueInput</v>
      </c>
      <c r="C258" s="492" t="s">
        <v>24</v>
      </c>
      <c r="D258" s="389" t="s">
        <v>160</v>
      </c>
      <c r="E258" s="398">
        <v>256</v>
      </c>
      <c r="F258" s="476" t="s">
        <v>1146</v>
      </c>
      <c r="G258" s="267" t="s">
        <v>1267</v>
      </c>
      <c r="H258" s="268" t="s">
        <v>1366</v>
      </c>
      <c r="I258" s="267" t="s">
        <v>1302</v>
      </c>
      <c r="J258" s="267" t="s">
        <v>1304</v>
      </c>
      <c r="K258" s="269" t="s">
        <v>1297</v>
      </c>
      <c r="L258" s="483" t="str">
        <f t="shared" si="55"/>
        <v>PSDUS0202:BSB:X220:AKL:ZU_:BM001</v>
      </c>
      <c r="M258" s="312"/>
      <c r="N258" s="401" t="str">
        <f t="shared" ref="N258:N273" si="63">IF(F258&lt;&gt;"",IF($H$1&lt;&gt;"","IO"&amp;".","IO.")&amp;$C$258&amp;"."&amp;$B$258&amp;D258,"")</f>
        <v>IO.Slot16.AnalogueInput0</v>
      </c>
      <c r="O258" s="271" t="str">
        <f t="shared" ref="O258:O273" si="64">LOOKUP($A$258,Module,Type)</f>
        <v>R.</v>
      </c>
      <c r="P258" s="405" t="str">
        <f>O258&amp;N258</f>
        <v>R.IO.Slot16.AnalogueInput0</v>
      </c>
      <c r="Q258" s="313"/>
      <c r="R258" s="412" t="str">
        <f t="shared" ref="R258:R321" si="65">IF(G258&lt;&gt;"",G258&amp;"."&amp;H258&amp;"."&amp;I258&amp;"."&amp;J258&amp;IF(K258&lt;&gt;"","."&amp;K258,""),"")</f>
        <v>BSB.X220.AKL.ZU_.BM001</v>
      </c>
      <c r="S258" s="418" t="str">
        <f t="shared" ref="S258:S321" si="66">L258&amp;":NAME"</f>
        <v>PSDUS0202:BSB:X220:AKL:ZU_:BM001:NAME</v>
      </c>
      <c r="T258" s="271"/>
      <c r="U258" s="272"/>
      <c r="V258" s="272"/>
      <c r="W258" s="272"/>
      <c r="X258" s="272"/>
      <c r="Y258" s="297"/>
      <c r="Z258" s="273"/>
      <c r="AA258" s="274">
        <f t="shared" si="52"/>
        <v>32</v>
      </c>
      <c r="AB258" s="275"/>
      <c r="AC258" s="276"/>
      <c r="AD258" s="277"/>
      <c r="AE258" s="278"/>
      <c r="AG258" s="280" t="s">
        <v>1370</v>
      </c>
    </row>
    <row r="259" spans="1:33" s="294" customFormat="1" x14ac:dyDescent="0.25">
      <c r="A259" s="487"/>
      <c r="B259" s="490"/>
      <c r="C259" s="493"/>
      <c r="D259" s="390">
        <v>1</v>
      </c>
      <c r="E259" s="399">
        <v>257</v>
      </c>
      <c r="F259" s="474" t="s">
        <v>1147</v>
      </c>
      <c r="G259" s="282" t="s">
        <v>1267</v>
      </c>
      <c r="H259" s="283" t="s">
        <v>1367</v>
      </c>
      <c r="I259" s="282" t="s">
        <v>1302</v>
      </c>
      <c r="J259" s="282" t="s">
        <v>1303</v>
      </c>
      <c r="K259" s="284" t="s">
        <v>1297</v>
      </c>
      <c r="L259" s="484" t="str">
        <f t="shared" si="55"/>
        <v>PSDUS0202:BSB:X222:AKL:AUF:BM001</v>
      </c>
      <c r="M259" s="310"/>
      <c r="N259" s="402" t="str">
        <f t="shared" si="63"/>
        <v>IO.Slot16.AnalogueInput1</v>
      </c>
      <c r="O259" s="286" t="str">
        <f t="shared" si="64"/>
        <v>R.</v>
      </c>
      <c r="P259" s="406" t="str">
        <f t="shared" ref="P259:P273" si="67">O259&amp;N259</f>
        <v>R.IO.Slot16.AnalogueInput1</v>
      </c>
      <c r="Q259" s="302"/>
      <c r="R259" s="413" t="str">
        <f t="shared" si="65"/>
        <v>BSB.X222.AKL.AUF.BM001</v>
      </c>
      <c r="S259" s="419" t="str">
        <f t="shared" si="66"/>
        <v>PSDUS0202:BSB:X222:AKL:AUF:BM001:NAME</v>
      </c>
      <c r="T259" s="286"/>
      <c r="U259" s="287"/>
      <c r="V259" s="287"/>
      <c r="W259" s="287"/>
      <c r="X259" s="287"/>
      <c r="Y259" s="298"/>
      <c r="Z259" s="288"/>
      <c r="AA259" s="289">
        <f t="shared" ref="AA259:AA322" si="68">LEN(L259)</f>
        <v>32</v>
      </c>
      <c r="AB259" s="290"/>
      <c r="AC259" s="291"/>
      <c r="AD259" s="292"/>
      <c r="AE259" s="293"/>
      <c r="AG259" s="295" t="s">
        <v>1371</v>
      </c>
    </row>
    <row r="260" spans="1:33" s="294" customFormat="1" x14ac:dyDescent="0.25">
      <c r="A260" s="487"/>
      <c r="B260" s="490"/>
      <c r="C260" s="493"/>
      <c r="D260" s="390">
        <v>2</v>
      </c>
      <c r="E260" s="399">
        <v>258</v>
      </c>
      <c r="F260" s="474" t="s">
        <v>1148</v>
      </c>
      <c r="G260" s="282" t="s">
        <v>1267</v>
      </c>
      <c r="H260" s="283" t="s">
        <v>1367</v>
      </c>
      <c r="I260" s="282" t="s">
        <v>1302</v>
      </c>
      <c r="J260" s="282" t="s">
        <v>1304</v>
      </c>
      <c r="K260" s="284" t="s">
        <v>1297</v>
      </c>
      <c r="L260" s="484" t="str">
        <f t="shared" si="55"/>
        <v>PSDUS0202:BSB:X222:AKL:ZU_:BM001</v>
      </c>
      <c r="M260" s="310"/>
      <c r="N260" s="402" t="str">
        <f t="shared" si="63"/>
        <v>IO.Slot16.AnalogueInput2</v>
      </c>
      <c r="O260" s="286" t="str">
        <f t="shared" si="64"/>
        <v>R.</v>
      </c>
      <c r="P260" s="406" t="str">
        <f t="shared" si="67"/>
        <v>R.IO.Slot16.AnalogueInput2</v>
      </c>
      <c r="Q260" s="302"/>
      <c r="R260" s="413" t="str">
        <f t="shared" si="65"/>
        <v>BSB.X222.AKL.ZU_.BM001</v>
      </c>
      <c r="S260" s="419" t="str">
        <f t="shared" si="66"/>
        <v>PSDUS0202:BSB:X222:AKL:ZU_:BM001:NAME</v>
      </c>
      <c r="T260" s="286"/>
      <c r="U260" s="287"/>
      <c r="V260" s="287"/>
      <c r="W260" s="287"/>
      <c r="X260" s="287"/>
      <c r="Y260" s="298"/>
      <c r="Z260" s="288"/>
      <c r="AA260" s="289">
        <f t="shared" si="68"/>
        <v>32</v>
      </c>
      <c r="AB260" s="290"/>
      <c r="AC260" s="291"/>
      <c r="AD260" s="292"/>
      <c r="AE260" s="293"/>
      <c r="AG260" s="295" t="s">
        <v>1371</v>
      </c>
    </row>
    <row r="261" spans="1:33" s="294" customFormat="1" x14ac:dyDescent="0.25">
      <c r="A261" s="487"/>
      <c r="B261" s="490"/>
      <c r="C261" s="493"/>
      <c r="D261" s="390">
        <v>3</v>
      </c>
      <c r="E261" s="399">
        <v>259</v>
      </c>
      <c r="F261" s="474" t="s">
        <v>1149</v>
      </c>
      <c r="G261" s="282" t="s">
        <v>1267</v>
      </c>
      <c r="H261" s="283" t="s">
        <v>1368</v>
      </c>
      <c r="I261" s="282" t="s">
        <v>1302</v>
      </c>
      <c r="J261" s="282" t="s">
        <v>1303</v>
      </c>
      <c r="K261" s="284" t="s">
        <v>1297</v>
      </c>
      <c r="L261" s="484" t="str">
        <f t="shared" si="55"/>
        <v>PSDUS0202:BSB:X221:AKL:AUF:BM001</v>
      </c>
      <c r="M261" s="310"/>
      <c r="N261" s="402" t="str">
        <f t="shared" si="63"/>
        <v>IO.Slot16.AnalogueInput3</v>
      </c>
      <c r="O261" s="286" t="str">
        <f t="shared" si="64"/>
        <v>R.</v>
      </c>
      <c r="P261" s="406" t="str">
        <f t="shared" si="67"/>
        <v>R.IO.Slot16.AnalogueInput3</v>
      </c>
      <c r="Q261" s="302"/>
      <c r="R261" s="413" t="str">
        <f t="shared" si="65"/>
        <v>BSB.X221.AKL.AUF.BM001</v>
      </c>
      <c r="S261" s="419" t="str">
        <f t="shared" si="66"/>
        <v>PSDUS0202:BSB:X221:AKL:AUF:BM001:NAME</v>
      </c>
      <c r="T261" s="286"/>
      <c r="U261" s="287"/>
      <c r="V261" s="287"/>
      <c r="W261" s="287"/>
      <c r="X261" s="287"/>
      <c r="Y261" s="298"/>
      <c r="Z261" s="288"/>
      <c r="AA261" s="289">
        <f t="shared" si="68"/>
        <v>32</v>
      </c>
      <c r="AB261" s="290"/>
      <c r="AC261" s="291"/>
      <c r="AD261" s="292"/>
      <c r="AE261" s="293"/>
      <c r="AG261" s="295" t="s">
        <v>1372</v>
      </c>
    </row>
    <row r="262" spans="1:33" s="294" customFormat="1" x14ac:dyDescent="0.25">
      <c r="A262" s="487"/>
      <c r="B262" s="490"/>
      <c r="C262" s="493"/>
      <c r="D262" s="390">
        <v>4</v>
      </c>
      <c r="E262" s="399">
        <v>260</v>
      </c>
      <c r="F262" s="474" t="s">
        <v>1150</v>
      </c>
      <c r="G262" s="282" t="s">
        <v>1267</v>
      </c>
      <c r="H262" s="283" t="s">
        <v>1368</v>
      </c>
      <c r="I262" s="282" t="s">
        <v>1302</v>
      </c>
      <c r="J262" s="282" t="s">
        <v>1304</v>
      </c>
      <c r="K262" s="284" t="s">
        <v>1297</v>
      </c>
      <c r="L262" s="484" t="str">
        <f t="shared" si="55"/>
        <v>PSDUS0202:BSB:X221:AKL:ZU_:BM001</v>
      </c>
      <c r="M262" s="310"/>
      <c r="N262" s="402" t="str">
        <f t="shared" si="63"/>
        <v>IO.Slot16.AnalogueInput4</v>
      </c>
      <c r="O262" s="286" t="str">
        <f t="shared" si="64"/>
        <v>R.</v>
      </c>
      <c r="P262" s="406" t="str">
        <f t="shared" si="67"/>
        <v>R.IO.Slot16.AnalogueInput4</v>
      </c>
      <c r="Q262" s="302"/>
      <c r="R262" s="413" t="str">
        <f t="shared" si="65"/>
        <v>BSB.X221.AKL.ZU_.BM001</v>
      </c>
      <c r="S262" s="419" t="str">
        <f t="shared" si="66"/>
        <v>PSDUS0202:BSB:X221:AKL:ZU_:BM001:NAME</v>
      </c>
      <c r="T262" s="286"/>
      <c r="U262" s="287"/>
      <c r="V262" s="287"/>
      <c r="W262" s="287"/>
      <c r="X262" s="287"/>
      <c r="Y262" s="298"/>
      <c r="Z262" s="288"/>
      <c r="AA262" s="289">
        <f t="shared" si="68"/>
        <v>32</v>
      </c>
      <c r="AB262" s="290"/>
      <c r="AC262" s="291"/>
      <c r="AD262" s="292"/>
      <c r="AE262" s="293"/>
      <c r="AG262" s="295" t="s">
        <v>1372</v>
      </c>
    </row>
    <row r="263" spans="1:33" s="294" customFormat="1" x14ac:dyDescent="0.25">
      <c r="A263" s="487"/>
      <c r="B263" s="490"/>
      <c r="C263" s="493"/>
      <c r="D263" s="390">
        <v>5</v>
      </c>
      <c r="E263" s="399">
        <v>261</v>
      </c>
      <c r="F263" s="474" t="s">
        <v>1151</v>
      </c>
      <c r="G263" s="282" t="s">
        <v>1267</v>
      </c>
      <c r="H263" s="283" t="s">
        <v>1378</v>
      </c>
      <c r="I263" s="283" t="s">
        <v>1302</v>
      </c>
      <c r="J263" s="282" t="s">
        <v>1303</v>
      </c>
      <c r="K263" s="284" t="s">
        <v>1297</v>
      </c>
      <c r="L263" s="484" t="str">
        <f t="shared" si="55"/>
        <v>PSDUS0202:BSB:X234:AKL:AUF:BM001</v>
      </c>
      <c r="M263" s="310"/>
      <c r="N263" s="402" t="str">
        <f t="shared" si="63"/>
        <v>IO.Slot16.AnalogueInput5</v>
      </c>
      <c r="O263" s="286" t="str">
        <f t="shared" si="64"/>
        <v>R.</v>
      </c>
      <c r="P263" s="406" t="str">
        <f t="shared" si="67"/>
        <v>R.IO.Slot16.AnalogueInput5</v>
      </c>
      <c r="Q263" s="302"/>
      <c r="R263" s="413" t="str">
        <f t="shared" si="65"/>
        <v>BSB.X234.AKL.AUF.BM001</v>
      </c>
      <c r="S263" s="419" t="str">
        <f t="shared" si="66"/>
        <v>PSDUS0202:BSB:X234:AKL:AUF:BM001:NAME</v>
      </c>
      <c r="T263" s="286"/>
      <c r="U263" s="287"/>
      <c r="V263" s="287"/>
      <c r="W263" s="287"/>
      <c r="X263" s="287"/>
      <c r="Y263" s="298"/>
      <c r="Z263" s="288"/>
      <c r="AA263" s="289">
        <f t="shared" si="68"/>
        <v>32</v>
      </c>
      <c r="AB263" s="290"/>
      <c r="AC263" s="291"/>
      <c r="AD263" s="292"/>
      <c r="AE263" s="293"/>
      <c r="AG263" s="295" t="s">
        <v>1377</v>
      </c>
    </row>
    <row r="264" spans="1:33" s="294" customFormat="1" x14ac:dyDescent="0.25">
      <c r="A264" s="487"/>
      <c r="B264" s="490"/>
      <c r="C264" s="493"/>
      <c r="D264" s="390">
        <v>6</v>
      </c>
      <c r="E264" s="399">
        <v>262</v>
      </c>
      <c r="F264" s="474" t="s">
        <v>1152</v>
      </c>
      <c r="G264" s="282" t="s">
        <v>1267</v>
      </c>
      <c r="H264" s="283" t="s">
        <v>1378</v>
      </c>
      <c r="I264" s="283" t="s">
        <v>1302</v>
      </c>
      <c r="J264" s="282" t="s">
        <v>1304</v>
      </c>
      <c r="K264" s="284" t="s">
        <v>1297</v>
      </c>
      <c r="L264" s="484" t="str">
        <f t="shared" si="55"/>
        <v>PSDUS0202:BSB:X234:AKL:ZU_:BM001</v>
      </c>
      <c r="M264" s="310"/>
      <c r="N264" s="402" t="str">
        <f t="shared" si="63"/>
        <v>IO.Slot16.AnalogueInput6</v>
      </c>
      <c r="O264" s="286" t="str">
        <f t="shared" si="64"/>
        <v>R.</v>
      </c>
      <c r="P264" s="406" t="str">
        <f t="shared" si="67"/>
        <v>R.IO.Slot16.AnalogueInput6</v>
      </c>
      <c r="Q264" s="302"/>
      <c r="R264" s="413" t="str">
        <f t="shared" si="65"/>
        <v>BSB.X234.AKL.ZU_.BM001</v>
      </c>
      <c r="S264" s="419" t="str">
        <f t="shared" si="66"/>
        <v>PSDUS0202:BSB:X234:AKL:ZU_:BM001:NAME</v>
      </c>
      <c r="T264" s="286"/>
      <c r="U264" s="287"/>
      <c r="V264" s="287"/>
      <c r="W264" s="287"/>
      <c r="X264" s="287"/>
      <c r="Y264" s="298"/>
      <c r="Z264" s="288"/>
      <c r="AA264" s="289">
        <f t="shared" si="68"/>
        <v>32</v>
      </c>
      <c r="AB264" s="290"/>
      <c r="AC264" s="291"/>
      <c r="AD264" s="292"/>
      <c r="AE264" s="293"/>
      <c r="AG264" s="295" t="s">
        <v>1377</v>
      </c>
    </row>
    <row r="265" spans="1:33" s="294" customFormat="1" x14ac:dyDescent="0.25">
      <c r="A265" s="487"/>
      <c r="B265" s="490"/>
      <c r="C265" s="493"/>
      <c r="D265" s="390">
        <v>7</v>
      </c>
      <c r="E265" s="399">
        <v>263</v>
      </c>
      <c r="F265" s="474" t="s">
        <v>1153</v>
      </c>
      <c r="G265" s="282" t="s">
        <v>1267</v>
      </c>
      <c r="H265" s="283" t="s">
        <v>1380</v>
      </c>
      <c r="I265" s="283" t="s">
        <v>1302</v>
      </c>
      <c r="J265" s="283" t="s">
        <v>1303</v>
      </c>
      <c r="K265" s="284" t="s">
        <v>1297</v>
      </c>
      <c r="L265" s="484" t="str">
        <f t="shared" si="55"/>
        <v>PSDUS0202:BSB:X233:AKL:AUF:BM001</v>
      </c>
      <c r="M265" s="310"/>
      <c r="N265" s="402" t="str">
        <f t="shared" si="63"/>
        <v>IO.Slot16.AnalogueInput7</v>
      </c>
      <c r="O265" s="286" t="str">
        <f t="shared" si="64"/>
        <v>R.</v>
      </c>
      <c r="P265" s="406" t="str">
        <f t="shared" si="67"/>
        <v>R.IO.Slot16.AnalogueInput7</v>
      </c>
      <c r="Q265" s="302"/>
      <c r="R265" s="413" t="str">
        <f t="shared" si="65"/>
        <v>BSB.X233.AKL.AUF.BM001</v>
      </c>
      <c r="S265" s="419" t="str">
        <f t="shared" si="66"/>
        <v>PSDUS0202:BSB:X233:AKL:AUF:BM001:NAME</v>
      </c>
      <c r="T265" s="286"/>
      <c r="U265" s="287"/>
      <c r="V265" s="287"/>
      <c r="W265" s="287"/>
      <c r="X265" s="287"/>
      <c r="Y265" s="298"/>
      <c r="Z265" s="288"/>
      <c r="AA265" s="289">
        <f t="shared" si="68"/>
        <v>32</v>
      </c>
      <c r="AB265" s="290"/>
      <c r="AC265" s="291"/>
      <c r="AD265" s="292"/>
      <c r="AE265" s="293"/>
      <c r="AG265" s="295" t="s">
        <v>1379</v>
      </c>
    </row>
    <row r="266" spans="1:33" s="294" customFormat="1" x14ac:dyDescent="0.25">
      <c r="A266" s="487"/>
      <c r="B266" s="490"/>
      <c r="C266" s="493"/>
      <c r="D266" s="390">
        <v>8</v>
      </c>
      <c r="E266" s="399">
        <v>264</v>
      </c>
      <c r="F266" s="474" t="s">
        <v>1154</v>
      </c>
      <c r="G266" s="283" t="s">
        <v>1267</v>
      </c>
      <c r="H266" s="283" t="s">
        <v>1380</v>
      </c>
      <c r="I266" s="283" t="s">
        <v>1302</v>
      </c>
      <c r="J266" s="283" t="s">
        <v>1304</v>
      </c>
      <c r="K266" s="300" t="s">
        <v>1297</v>
      </c>
      <c r="L266" s="484" t="str">
        <f t="shared" si="55"/>
        <v>PSDUS0202:BSB:X233:AKL:ZU_:BM001</v>
      </c>
      <c r="M266" s="285"/>
      <c r="N266" s="402" t="str">
        <f t="shared" si="63"/>
        <v>IO.Slot16.AnalogueInput8</v>
      </c>
      <c r="O266" s="286" t="str">
        <f t="shared" si="64"/>
        <v>R.</v>
      </c>
      <c r="P266" s="406" t="str">
        <f t="shared" si="67"/>
        <v>R.IO.Slot16.AnalogueInput8</v>
      </c>
      <c r="Q266" s="286"/>
      <c r="R266" s="413" t="str">
        <f t="shared" si="65"/>
        <v>BSB.X233.AKL.ZU_.BM001</v>
      </c>
      <c r="S266" s="419" t="str">
        <f t="shared" si="66"/>
        <v>PSDUS0202:BSB:X233:AKL:ZU_:BM001:NAME</v>
      </c>
      <c r="T266" s="286"/>
      <c r="U266" s="287"/>
      <c r="V266" s="287"/>
      <c r="W266" s="287"/>
      <c r="X266" s="287"/>
      <c r="Y266" s="287"/>
      <c r="Z266" s="288"/>
      <c r="AA266" s="289">
        <f t="shared" si="68"/>
        <v>32</v>
      </c>
      <c r="AB266" s="290"/>
      <c r="AC266" s="291"/>
      <c r="AD266" s="292"/>
      <c r="AE266" s="293"/>
      <c r="AG266" s="295" t="s">
        <v>1379</v>
      </c>
    </row>
    <row r="267" spans="1:33" s="294" customFormat="1" x14ac:dyDescent="0.25">
      <c r="A267" s="487"/>
      <c r="B267" s="490"/>
      <c r="C267" s="493"/>
      <c r="D267" s="390">
        <v>9</v>
      </c>
      <c r="E267" s="399">
        <v>265</v>
      </c>
      <c r="F267" s="474" t="s">
        <v>1155</v>
      </c>
      <c r="G267" s="282" t="s">
        <v>1267</v>
      </c>
      <c r="H267" s="283" t="s">
        <v>1431</v>
      </c>
      <c r="I267" s="283" t="s">
        <v>1302</v>
      </c>
      <c r="J267" s="283" t="s">
        <v>1433</v>
      </c>
      <c r="K267" s="300" t="s">
        <v>1434</v>
      </c>
      <c r="L267" s="484" t="str">
        <f t="shared" si="55"/>
        <v>PSDUS0202:BSB:X202:AKL:POS:RM001</v>
      </c>
      <c r="M267" s="285"/>
      <c r="N267" s="402" t="str">
        <f t="shared" si="63"/>
        <v>IO.Slot16.AnalogueInput9</v>
      </c>
      <c r="O267" s="286" t="str">
        <f t="shared" si="64"/>
        <v>R.</v>
      </c>
      <c r="P267" s="406" t="str">
        <f t="shared" si="67"/>
        <v>R.IO.Slot16.AnalogueInput9</v>
      </c>
      <c r="Q267" s="286"/>
      <c r="R267" s="413" t="str">
        <f t="shared" si="65"/>
        <v>BSB.X202.AKL.POS.RM001</v>
      </c>
      <c r="S267" s="419" t="str">
        <f t="shared" si="66"/>
        <v>PSDUS0202:BSB:X202:AKL:POS:RM001:NAME</v>
      </c>
      <c r="T267" s="286"/>
      <c r="U267" s="287"/>
      <c r="V267" s="287"/>
      <c r="W267" s="287"/>
      <c r="X267" s="287"/>
      <c r="Y267" s="287"/>
      <c r="Z267" s="288"/>
      <c r="AA267" s="289">
        <f t="shared" si="68"/>
        <v>32</v>
      </c>
      <c r="AB267" s="290"/>
      <c r="AC267" s="291"/>
      <c r="AD267" s="292"/>
      <c r="AE267" s="293"/>
      <c r="AG267" s="295" t="s">
        <v>1435</v>
      </c>
    </row>
    <row r="268" spans="1:33" s="294" customFormat="1" x14ac:dyDescent="0.25">
      <c r="A268" s="487"/>
      <c r="B268" s="490"/>
      <c r="C268" s="493"/>
      <c r="D268" s="390">
        <v>10</v>
      </c>
      <c r="E268" s="399">
        <v>266</v>
      </c>
      <c r="F268" s="474" t="s">
        <v>1156</v>
      </c>
      <c r="G268" s="282" t="s">
        <v>1267</v>
      </c>
      <c r="H268" s="283" t="s">
        <v>1432</v>
      </c>
      <c r="I268" s="283" t="s">
        <v>1302</v>
      </c>
      <c r="J268" s="283" t="s">
        <v>1433</v>
      </c>
      <c r="K268" s="300" t="s">
        <v>1434</v>
      </c>
      <c r="L268" s="484" t="str">
        <f t="shared" si="55"/>
        <v>PSDUS0202:BSB:X207:AKL:POS:RM001</v>
      </c>
      <c r="M268" s="285"/>
      <c r="N268" s="402" t="str">
        <f t="shared" si="63"/>
        <v>IO.Slot16.AnalogueInput10</v>
      </c>
      <c r="O268" s="286" t="str">
        <f t="shared" si="64"/>
        <v>R.</v>
      </c>
      <c r="P268" s="406" t="str">
        <f t="shared" si="67"/>
        <v>R.IO.Slot16.AnalogueInput10</v>
      </c>
      <c r="Q268" s="286"/>
      <c r="R268" s="413" t="str">
        <f t="shared" si="65"/>
        <v>BSB.X207.AKL.POS.RM001</v>
      </c>
      <c r="S268" s="419" t="str">
        <f t="shared" si="66"/>
        <v>PSDUS0202:BSB:X207:AKL:POS:RM001:NAME</v>
      </c>
      <c r="T268" s="286"/>
      <c r="U268" s="287"/>
      <c r="V268" s="287"/>
      <c r="W268" s="287"/>
      <c r="X268" s="287"/>
      <c r="Y268" s="287"/>
      <c r="Z268" s="288"/>
      <c r="AA268" s="289">
        <f t="shared" si="68"/>
        <v>32</v>
      </c>
      <c r="AB268" s="290"/>
      <c r="AC268" s="291"/>
      <c r="AD268" s="292"/>
      <c r="AE268" s="293"/>
      <c r="AG268" s="295" t="s">
        <v>1436</v>
      </c>
    </row>
    <row r="269" spans="1:33" s="294" customFormat="1" x14ac:dyDescent="0.25">
      <c r="A269" s="487"/>
      <c r="B269" s="490"/>
      <c r="C269" s="493"/>
      <c r="D269" s="390">
        <v>11</v>
      </c>
      <c r="E269" s="399">
        <v>267</v>
      </c>
      <c r="F269" s="474" t="s">
        <v>1063</v>
      </c>
      <c r="G269" s="283"/>
      <c r="H269" s="283"/>
      <c r="I269" s="283"/>
      <c r="J269" s="283"/>
      <c r="K269" s="300"/>
      <c r="L269" s="484" t="str">
        <f t="shared" si="55"/>
        <v/>
      </c>
      <c r="M269" s="285"/>
      <c r="N269" s="402" t="str">
        <f t="shared" si="63"/>
        <v>IO.Slot16.AnalogueInput11</v>
      </c>
      <c r="O269" s="286" t="str">
        <f t="shared" si="64"/>
        <v>R.</v>
      </c>
      <c r="P269" s="406" t="str">
        <f t="shared" si="67"/>
        <v>R.IO.Slot16.AnalogueInput11</v>
      </c>
      <c r="Q269" s="286"/>
      <c r="R269" s="413" t="str">
        <f t="shared" si="65"/>
        <v/>
      </c>
      <c r="S269" s="419" t="str">
        <f t="shared" si="66"/>
        <v>:NAME</v>
      </c>
      <c r="T269" s="286"/>
      <c r="U269" s="287"/>
      <c r="V269" s="287"/>
      <c r="W269" s="287"/>
      <c r="X269" s="287"/>
      <c r="Y269" s="287"/>
      <c r="Z269" s="288"/>
      <c r="AA269" s="289">
        <f t="shared" si="68"/>
        <v>0</v>
      </c>
      <c r="AB269" s="290"/>
      <c r="AC269" s="291"/>
      <c r="AD269" s="292"/>
      <c r="AE269" s="293"/>
      <c r="AG269" s="295"/>
    </row>
    <row r="270" spans="1:33" s="294" customFormat="1" x14ac:dyDescent="0.25">
      <c r="A270" s="487"/>
      <c r="B270" s="490"/>
      <c r="C270" s="493"/>
      <c r="D270" s="390">
        <v>12</v>
      </c>
      <c r="E270" s="399">
        <v>268</v>
      </c>
      <c r="F270" s="474" t="s">
        <v>1157</v>
      </c>
      <c r="G270" s="282" t="s">
        <v>1267</v>
      </c>
      <c r="H270" s="283" t="s">
        <v>1399</v>
      </c>
      <c r="I270" s="283" t="s">
        <v>1397</v>
      </c>
      <c r="J270" s="283" t="s">
        <v>1398</v>
      </c>
      <c r="K270" s="300" t="s">
        <v>1264</v>
      </c>
      <c r="L270" s="484" t="str">
        <f t="shared" si="55"/>
        <v>PSDUS0202:BSB:Z201:WAZ:IMP:ME001</v>
      </c>
      <c r="M270" s="285"/>
      <c r="N270" s="402" t="str">
        <f t="shared" si="63"/>
        <v>IO.Slot16.AnalogueInput12</v>
      </c>
      <c r="O270" s="286" t="str">
        <f t="shared" si="64"/>
        <v>R.</v>
      </c>
      <c r="P270" s="406" t="str">
        <f t="shared" si="67"/>
        <v>R.IO.Slot16.AnalogueInput12</v>
      </c>
      <c r="Q270" s="286"/>
      <c r="R270" s="413" t="str">
        <f t="shared" si="65"/>
        <v>BSB.Z201.WAZ.IMP.ME001</v>
      </c>
      <c r="S270" s="419" t="str">
        <f t="shared" si="66"/>
        <v>PSDUS0202:BSB:Z201:WAZ:IMP:ME001:NAME</v>
      </c>
      <c r="T270" s="286"/>
      <c r="U270" s="287"/>
      <c r="V270" s="287"/>
      <c r="W270" s="287"/>
      <c r="X270" s="287"/>
      <c r="Y270" s="287"/>
      <c r="Z270" s="288"/>
      <c r="AA270" s="289">
        <f t="shared" si="68"/>
        <v>32</v>
      </c>
      <c r="AB270" s="290"/>
      <c r="AC270" s="291"/>
      <c r="AD270" s="292"/>
      <c r="AE270" s="293"/>
      <c r="AG270" s="295" t="s">
        <v>1401</v>
      </c>
    </row>
    <row r="271" spans="1:33" s="294" customFormat="1" x14ac:dyDescent="0.25">
      <c r="A271" s="487"/>
      <c r="B271" s="490"/>
      <c r="C271" s="493"/>
      <c r="D271" s="390">
        <v>13</v>
      </c>
      <c r="E271" s="399">
        <v>269</v>
      </c>
      <c r="F271" s="474" t="s">
        <v>1158</v>
      </c>
      <c r="G271" s="282" t="s">
        <v>1267</v>
      </c>
      <c r="H271" s="283" t="s">
        <v>1400</v>
      </c>
      <c r="I271" s="283" t="s">
        <v>1397</v>
      </c>
      <c r="J271" s="283" t="s">
        <v>1398</v>
      </c>
      <c r="K271" s="300" t="s">
        <v>1264</v>
      </c>
      <c r="L271" s="484" t="str">
        <f t="shared" si="55"/>
        <v>PSDUS0202:BSB:Z202:WAZ:IMP:ME001</v>
      </c>
      <c r="M271" s="285"/>
      <c r="N271" s="402" t="str">
        <f t="shared" si="63"/>
        <v>IO.Slot16.AnalogueInput13</v>
      </c>
      <c r="O271" s="286" t="str">
        <f t="shared" si="64"/>
        <v>R.</v>
      </c>
      <c r="P271" s="406" t="str">
        <f t="shared" si="67"/>
        <v>R.IO.Slot16.AnalogueInput13</v>
      </c>
      <c r="Q271" s="286"/>
      <c r="R271" s="413" t="str">
        <f t="shared" si="65"/>
        <v>BSB.Z202.WAZ.IMP.ME001</v>
      </c>
      <c r="S271" s="419" t="str">
        <f t="shared" si="66"/>
        <v>PSDUS0202:BSB:Z202:WAZ:IMP:ME001:NAME</v>
      </c>
      <c r="T271" s="286"/>
      <c r="U271" s="287"/>
      <c r="V271" s="287"/>
      <c r="W271" s="287"/>
      <c r="X271" s="287"/>
      <c r="Y271" s="287"/>
      <c r="Z271" s="288"/>
      <c r="AA271" s="289">
        <f t="shared" si="68"/>
        <v>32</v>
      </c>
      <c r="AB271" s="290"/>
      <c r="AC271" s="291"/>
      <c r="AD271" s="292"/>
      <c r="AE271" s="293"/>
      <c r="AG271" s="295" t="s">
        <v>1402</v>
      </c>
    </row>
    <row r="272" spans="1:33" s="294" customFormat="1" x14ac:dyDescent="0.25">
      <c r="A272" s="487"/>
      <c r="B272" s="490"/>
      <c r="C272" s="493"/>
      <c r="D272" s="390">
        <v>14</v>
      </c>
      <c r="E272" s="399">
        <v>270</v>
      </c>
      <c r="F272" s="474" t="s">
        <v>1159</v>
      </c>
      <c r="G272" s="282" t="s">
        <v>1267</v>
      </c>
      <c r="H272" s="283" t="s">
        <v>1403</v>
      </c>
      <c r="I272" s="283" t="s">
        <v>1397</v>
      </c>
      <c r="J272" s="283" t="s">
        <v>1398</v>
      </c>
      <c r="K272" s="300" t="s">
        <v>1264</v>
      </c>
      <c r="L272" s="484" t="str">
        <f t="shared" si="55"/>
        <v>PSDUS0202:BSB:Z204:WAZ:IMP:ME001</v>
      </c>
      <c r="M272" s="285"/>
      <c r="N272" s="402" t="str">
        <f t="shared" si="63"/>
        <v>IO.Slot16.AnalogueInput14</v>
      </c>
      <c r="O272" s="286" t="str">
        <f t="shared" si="64"/>
        <v>R.</v>
      </c>
      <c r="P272" s="406" t="str">
        <f t="shared" si="67"/>
        <v>R.IO.Slot16.AnalogueInput14</v>
      </c>
      <c r="Q272" s="286"/>
      <c r="R272" s="413" t="str">
        <f t="shared" si="65"/>
        <v>BSB.Z204.WAZ.IMP.ME001</v>
      </c>
      <c r="S272" s="419" t="str">
        <f t="shared" si="66"/>
        <v>PSDUS0202:BSB:Z204:WAZ:IMP:ME001:NAME</v>
      </c>
      <c r="T272" s="286"/>
      <c r="U272" s="287"/>
      <c r="V272" s="287"/>
      <c r="W272" s="287"/>
      <c r="X272" s="287"/>
      <c r="Y272" s="287"/>
      <c r="Z272" s="288"/>
      <c r="AA272" s="289">
        <f t="shared" si="68"/>
        <v>32</v>
      </c>
      <c r="AB272" s="290"/>
      <c r="AC272" s="291"/>
      <c r="AD272" s="292"/>
      <c r="AE272" s="293"/>
      <c r="AG272" s="295" t="s">
        <v>1401</v>
      </c>
    </row>
    <row r="273" spans="1:33" s="294" customFormat="1" ht="15.75" thickBot="1" x14ac:dyDescent="0.3">
      <c r="A273" s="488"/>
      <c r="B273" s="491"/>
      <c r="C273" s="494"/>
      <c r="D273" s="390">
        <v>15</v>
      </c>
      <c r="E273" s="399">
        <v>271</v>
      </c>
      <c r="F273" s="474" t="s">
        <v>1160</v>
      </c>
      <c r="G273" s="283" t="s">
        <v>1267</v>
      </c>
      <c r="H273" s="283" t="s">
        <v>1284</v>
      </c>
      <c r="I273" s="282" t="s">
        <v>1281</v>
      </c>
      <c r="J273" s="282" t="s">
        <v>1282</v>
      </c>
      <c r="K273" s="284" t="s">
        <v>1283</v>
      </c>
      <c r="L273" s="484" t="str">
        <f t="shared" si="55"/>
        <v>PSDUS0202:BSB:F201:STW:ASG:SM001</v>
      </c>
      <c r="M273" s="285"/>
      <c r="N273" s="402" t="str">
        <f t="shared" si="63"/>
        <v>IO.Slot16.AnalogueInput15</v>
      </c>
      <c r="O273" s="286" t="str">
        <f t="shared" si="64"/>
        <v>R.</v>
      </c>
      <c r="P273" s="406" t="str">
        <f t="shared" si="67"/>
        <v>R.IO.Slot16.AnalogueInput15</v>
      </c>
      <c r="Q273" s="286"/>
      <c r="R273" s="413" t="str">
        <f t="shared" si="65"/>
        <v>BSB.F201.STW.ASG.SM001</v>
      </c>
      <c r="S273" s="419" t="str">
        <f t="shared" si="66"/>
        <v>PSDUS0202:BSB:F201:STW:ASG:SM001:NAME</v>
      </c>
      <c r="T273" s="286"/>
      <c r="U273" s="287"/>
      <c r="V273" s="287"/>
      <c r="W273" s="287"/>
      <c r="X273" s="287"/>
      <c r="Y273" s="287"/>
      <c r="Z273" s="288"/>
      <c r="AA273" s="289">
        <f t="shared" si="68"/>
        <v>32</v>
      </c>
      <c r="AB273" s="290"/>
      <c r="AC273" s="291"/>
      <c r="AD273" s="292"/>
      <c r="AE273" s="293"/>
      <c r="AG273" s="295" t="s">
        <v>1291</v>
      </c>
    </row>
    <row r="274" spans="1:33" s="279" customFormat="1" ht="14.45" customHeight="1" x14ac:dyDescent="0.25">
      <c r="A274" s="486" t="s">
        <v>44</v>
      </c>
      <c r="B274" s="489" t="str">
        <f>LOOKUP(A274,Module,IO)</f>
        <v>.</v>
      </c>
      <c r="C274" s="492" t="s">
        <v>25</v>
      </c>
      <c r="D274" s="389" t="s">
        <v>160</v>
      </c>
      <c r="E274" s="398">
        <v>272</v>
      </c>
      <c r="F274" s="476"/>
      <c r="G274" s="267"/>
      <c r="H274" s="267"/>
      <c r="I274" s="267"/>
      <c r="J274" s="267"/>
      <c r="K274" s="269"/>
      <c r="L274" s="483" t="str">
        <f t="shared" si="55"/>
        <v/>
      </c>
      <c r="M274" s="270"/>
      <c r="N274" s="401" t="str">
        <f t="shared" ref="N274:N289" si="69">IF(F274&lt;&gt;"",IF($H$1&lt;&gt;"","IO"&amp;".","IO.")&amp;$C$274&amp;"."&amp;$B$274&amp;D274,"")</f>
        <v/>
      </c>
      <c r="O274" s="271">
        <f t="shared" ref="O274:O289" si="70">LOOKUP($A$274,Module,Type)</f>
        <v>0</v>
      </c>
      <c r="P274" s="405" t="str">
        <f>O274&amp;N274</f>
        <v>0</v>
      </c>
      <c r="Q274" s="271"/>
      <c r="R274" s="412" t="str">
        <f t="shared" si="65"/>
        <v/>
      </c>
      <c r="S274" s="418" t="str">
        <f t="shared" si="66"/>
        <v>:NAME</v>
      </c>
      <c r="T274" s="271"/>
      <c r="U274" s="272"/>
      <c r="V274" s="272"/>
      <c r="W274" s="272"/>
      <c r="X274" s="272"/>
      <c r="Y274" s="297"/>
      <c r="Z274" s="273"/>
      <c r="AA274" s="274">
        <f t="shared" si="68"/>
        <v>0</v>
      </c>
      <c r="AB274" s="275"/>
      <c r="AC274" s="276"/>
      <c r="AD274" s="277"/>
      <c r="AE274" s="278"/>
      <c r="AG274" s="280"/>
    </row>
    <row r="275" spans="1:33" s="294" customFormat="1" x14ac:dyDescent="0.25">
      <c r="A275" s="487"/>
      <c r="B275" s="490"/>
      <c r="C275" s="493"/>
      <c r="D275" s="390">
        <v>1</v>
      </c>
      <c r="E275" s="399">
        <v>273</v>
      </c>
      <c r="F275" s="474"/>
      <c r="G275" s="282"/>
      <c r="H275" s="282"/>
      <c r="I275" s="282"/>
      <c r="J275" s="282"/>
      <c r="K275" s="284"/>
      <c r="L275" s="484" t="str">
        <f t="shared" ref="L275:L338" si="71">IF(G275&lt;&gt;"",$G$1&amp;":"&amp;G275&amp;":"&amp;H275&amp;":"&amp;I275&amp;":"&amp;(IF(K275&lt;&gt;"",J275&amp;":"&amp;K275,J275)),"")</f>
        <v/>
      </c>
      <c r="M275" s="285"/>
      <c r="N275" s="402" t="str">
        <f t="shared" si="69"/>
        <v/>
      </c>
      <c r="O275" s="286">
        <f t="shared" si="70"/>
        <v>0</v>
      </c>
      <c r="P275" s="406" t="str">
        <f t="shared" ref="P275:P289" si="72">O275&amp;N275</f>
        <v>0</v>
      </c>
      <c r="Q275" s="286"/>
      <c r="R275" s="413" t="str">
        <f t="shared" si="65"/>
        <v/>
      </c>
      <c r="S275" s="419" t="str">
        <f t="shared" si="66"/>
        <v>:NAME</v>
      </c>
      <c r="T275" s="286"/>
      <c r="U275" s="287"/>
      <c r="V275" s="287"/>
      <c r="W275" s="287"/>
      <c r="X275" s="287"/>
      <c r="Y275" s="298"/>
      <c r="Z275" s="288"/>
      <c r="AA275" s="289">
        <f t="shared" si="68"/>
        <v>0</v>
      </c>
      <c r="AB275" s="290"/>
      <c r="AC275" s="291"/>
      <c r="AD275" s="292"/>
      <c r="AE275" s="293"/>
      <c r="AG275" s="295"/>
    </row>
    <row r="276" spans="1:33" s="294" customFormat="1" x14ac:dyDescent="0.25">
      <c r="A276" s="487"/>
      <c r="B276" s="490"/>
      <c r="C276" s="493"/>
      <c r="D276" s="390">
        <v>2</v>
      </c>
      <c r="E276" s="399">
        <v>274</v>
      </c>
      <c r="F276" s="474"/>
      <c r="G276" s="282"/>
      <c r="H276" s="282"/>
      <c r="I276" s="282"/>
      <c r="J276" s="282"/>
      <c r="K276" s="284"/>
      <c r="L276" s="484" t="str">
        <f t="shared" si="71"/>
        <v/>
      </c>
      <c r="M276" s="285"/>
      <c r="N276" s="402" t="str">
        <f t="shared" si="69"/>
        <v/>
      </c>
      <c r="O276" s="286">
        <f t="shared" si="70"/>
        <v>0</v>
      </c>
      <c r="P276" s="406" t="str">
        <f t="shared" si="72"/>
        <v>0</v>
      </c>
      <c r="Q276" s="286"/>
      <c r="R276" s="413" t="str">
        <f t="shared" si="65"/>
        <v/>
      </c>
      <c r="S276" s="419" t="str">
        <f t="shared" si="66"/>
        <v>:NAME</v>
      </c>
      <c r="T276" s="286"/>
      <c r="U276" s="287"/>
      <c r="V276" s="287"/>
      <c r="W276" s="287"/>
      <c r="X276" s="287"/>
      <c r="Y276" s="298"/>
      <c r="Z276" s="288"/>
      <c r="AA276" s="289">
        <f t="shared" si="68"/>
        <v>0</v>
      </c>
      <c r="AB276" s="290"/>
      <c r="AC276" s="291"/>
      <c r="AD276" s="292"/>
      <c r="AE276" s="293"/>
      <c r="AG276" s="295"/>
    </row>
    <row r="277" spans="1:33" s="294" customFormat="1" x14ac:dyDescent="0.25">
      <c r="A277" s="487"/>
      <c r="B277" s="490"/>
      <c r="C277" s="493"/>
      <c r="D277" s="390">
        <v>3</v>
      </c>
      <c r="E277" s="399">
        <v>275</v>
      </c>
      <c r="F277" s="474"/>
      <c r="G277" s="282"/>
      <c r="H277" s="282"/>
      <c r="I277" s="282"/>
      <c r="J277" s="282"/>
      <c r="K277" s="284"/>
      <c r="L277" s="484" t="str">
        <f t="shared" si="71"/>
        <v/>
      </c>
      <c r="M277" s="285"/>
      <c r="N277" s="402" t="str">
        <f t="shared" si="69"/>
        <v/>
      </c>
      <c r="O277" s="286">
        <f t="shared" si="70"/>
        <v>0</v>
      </c>
      <c r="P277" s="406" t="str">
        <f t="shared" si="72"/>
        <v>0</v>
      </c>
      <c r="Q277" s="286"/>
      <c r="R277" s="413" t="str">
        <f t="shared" si="65"/>
        <v/>
      </c>
      <c r="S277" s="419" t="str">
        <f t="shared" si="66"/>
        <v>:NAME</v>
      </c>
      <c r="T277" s="286"/>
      <c r="U277" s="287"/>
      <c r="V277" s="287"/>
      <c r="W277" s="287"/>
      <c r="X277" s="287"/>
      <c r="Y277" s="298"/>
      <c r="Z277" s="288"/>
      <c r="AA277" s="289">
        <f t="shared" si="68"/>
        <v>0</v>
      </c>
      <c r="AB277" s="290"/>
      <c r="AC277" s="291"/>
      <c r="AD277" s="292"/>
      <c r="AE277" s="293"/>
      <c r="AG277" s="295"/>
    </row>
    <row r="278" spans="1:33" s="294" customFormat="1" x14ac:dyDescent="0.25">
      <c r="A278" s="487"/>
      <c r="B278" s="490"/>
      <c r="C278" s="493"/>
      <c r="D278" s="390">
        <v>4</v>
      </c>
      <c r="E278" s="399">
        <v>276</v>
      </c>
      <c r="F278" s="474"/>
      <c r="G278" s="282"/>
      <c r="H278" s="282"/>
      <c r="I278" s="306"/>
      <c r="J278" s="282"/>
      <c r="K278" s="284"/>
      <c r="L278" s="484" t="str">
        <f t="shared" si="71"/>
        <v/>
      </c>
      <c r="M278" s="285"/>
      <c r="N278" s="402" t="str">
        <f t="shared" si="69"/>
        <v/>
      </c>
      <c r="O278" s="286">
        <f t="shared" si="70"/>
        <v>0</v>
      </c>
      <c r="P278" s="406" t="str">
        <f t="shared" si="72"/>
        <v>0</v>
      </c>
      <c r="Q278" s="286"/>
      <c r="R278" s="413" t="str">
        <f t="shared" si="65"/>
        <v/>
      </c>
      <c r="S278" s="419" t="str">
        <f t="shared" si="66"/>
        <v>:NAME</v>
      </c>
      <c r="T278" s="286"/>
      <c r="U278" s="287"/>
      <c r="V278" s="287"/>
      <c r="W278" s="287"/>
      <c r="X278" s="287"/>
      <c r="Y278" s="298"/>
      <c r="Z278" s="288"/>
      <c r="AA278" s="289">
        <f t="shared" si="68"/>
        <v>0</v>
      </c>
      <c r="AB278" s="290"/>
      <c r="AC278" s="291"/>
      <c r="AD278" s="292"/>
      <c r="AE278" s="293"/>
      <c r="AG278" s="295"/>
    </row>
    <row r="279" spans="1:33" s="294" customFormat="1" x14ac:dyDescent="0.25">
      <c r="A279" s="487"/>
      <c r="B279" s="490"/>
      <c r="C279" s="493"/>
      <c r="D279" s="390">
        <v>5</v>
      </c>
      <c r="E279" s="399">
        <v>277</v>
      </c>
      <c r="F279" s="474"/>
      <c r="G279" s="282"/>
      <c r="H279" s="282"/>
      <c r="I279" s="306"/>
      <c r="J279" s="282"/>
      <c r="K279" s="284"/>
      <c r="L279" s="484" t="str">
        <f t="shared" si="71"/>
        <v/>
      </c>
      <c r="M279" s="285"/>
      <c r="N279" s="402" t="str">
        <f t="shared" si="69"/>
        <v/>
      </c>
      <c r="O279" s="286">
        <f t="shared" si="70"/>
        <v>0</v>
      </c>
      <c r="P279" s="406" t="str">
        <f t="shared" si="72"/>
        <v>0</v>
      </c>
      <c r="Q279" s="286"/>
      <c r="R279" s="413" t="str">
        <f t="shared" si="65"/>
        <v/>
      </c>
      <c r="S279" s="419" t="str">
        <f t="shared" si="66"/>
        <v>:NAME</v>
      </c>
      <c r="T279" s="286"/>
      <c r="U279" s="287"/>
      <c r="V279" s="287"/>
      <c r="W279" s="287"/>
      <c r="X279" s="287"/>
      <c r="Y279" s="298"/>
      <c r="Z279" s="288"/>
      <c r="AA279" s="289">
        <f t="shared" si="68"/>
        <v>0</v>
      </c>
      <c r="AB279" s="290"/>
      <c r="AC279" s="291"/>
      <c r="AD279" s="292"/>
      <c r="AE279" s="293"/>
      <c r="AG279" s="295"/>
    </row>
    <row r="280" spans="1:33" s="294" customFormat="1" x14ac:dyDescent="0.25">
      <c r="A280" s="487"/>
      <c r="B280" s="490"/>
      <c r="C280" s="493"/>
      <c r="D280" s="390">
        <v>6</v>
      </c>
      <c r="E280" s="399">
        <v>278</v>
      </c>
      <c r="F280" s="474"/>
      <c r="G280" s="282"/>
      <c r="H280" s="282"/>
      <c r="I280" s="306"/>
      <c r="J280" s="282"/>
      <c r="K280" s="284"/>
      <c r="L280" s="484" t="str">
        <f t="shared" si="71"/>
        <v/>
      </c>
      <c r="M280" s="285"/>
      <c r="N280" s="402" t="str">
        <f t="shared" si="69"/>
        <v/>
      </c>
      <c r="O280" s="286">
        <f t="shared" si="70"/>
        <v>0</v>
      </c>
      <c r="P280" s="406" t="str">
        <f t="shared" si="72"/>
        <v>0</v>
      </c>
      <c r="Q280" s="286"/>
      <c r="R280" s="413" t="str">
        <f t="shared" si="65"/>
        <v/>
      </c>
      <c r="S280" s="419" t="str">
        <f t="shared" si="66"/>
        <v>:NAME</v>
      </c>
      <c r="T280" s="286"/>
      <c r="U280" s="287"/>
      <c r="V280" s="287"/>
      <c r="W280" s="287"/>
      <c r="X280" s="287"/>
      <c r="Y280" s="298"/>
      <c r="Z280" s="288"/>
      <c r="AA280" s="289">
        <f t="shared" si="68"/>
        <v>0</v>
      </c>
      <c r="AB280" s="290"/>
      <c r="AC280" s="291"/>
      <c r="AD280" s="292"/>
      <c r="AE280" s="293"/>
      <c r="AG280" s="295"/>
    </row>
    <row r="281" spans="1:33" s="294" customFormat="1" x14ac:dyDescent="0.25">
      <c r="A281" s="487"/>
      <c r="B281" s="490"/>
      <c r="C281" s="493"/>
      <c r="D281" s="390">
        <v>7</v>
      </c>
      <c r="E281" s="399">
        <v>279</v>
      </c>
      <c r="F281" s="474"/>
      <c r="G281" s="282"/>
      <c r="H281" s="282"/>
      <c r="I281" s="283"/>
      <c r="J281" s="283"/>
      <c r="K281" s="284"/>
      <c r="L281" s="484" t="str">
        <f t="shared" si="71"/>
        <v/>
      </c>
      <c r="M281" s="285"/>
      <c r="N281" s="402" t="str">
        <f t="shared" si="69"/>
        <v/>
      </c>
      <c r="O281" s="286">
        <f t="shared" si="70"/>
        <v>0</v>
      </c>
      <c r="P281" s="406" t="str">
        <f t="shared" si="72"/>
        <v>0</v>
      </c>
      <c r="Q281" s="286"/>
      <c r="R281" s="413" t="str">
        <f t="shared" si="65"/>
        <v/>
      </c>
      <c r="S281" s="419" t="str">
        <f t="shared" si="66"/>
        <v>:NAME</v>
      </c>
      <c r="T281" s="286"/>
      <c r="U281" s="287"/>
      <c r="V281" s="287"/>
      <c r="W281" s="287"/>
      <c r="X281" s="287"/>
      <c r="Y281" s="298"/>
      <c r="Z281" s="288"/>
      <c r="AA281" s="289">
        <f t="shared" si="68"/>
        <v>0</v>
      </c>
      <c r="AB281" s="290"/>
      <c r="AC281" s="291"/>
      <c r="AD281" s="292"/>
      <c r="AE281" s="293"/>
      <c r="AG281" s="295"/>
    </row>
    <row r="282" spans="1:33" s="294" customFormat="1" x14ac:dyDescent="0.25">
      <c r="A282" s="487"/>
      <c r="B282" s="490"/>
      <c r="C282" s="493"/>
      <c r="D282" s="390">
        <v>8</v>
      </c>
      <c r="E282" s="399">
        <v>280</v>
      </c>
      <c r="F282" s="474"/>
      <c r="G282" s="283"/>
      <c r="H282" s="283"/>
      <c r="I282" s="283"/>
      <c r="J282" s="283"/>
      <c r="K282" s="300"/>
      <c r="L282" s="484" t="str">
        <f t="shared" si="71"/>
        <v/>
      </c>
      <c r="M282" s="285"/>
      <c r="N282" s="402" t="str">
        <f t="shared" si="69"/>
        <v/>
      </c>
      <c r="O282" s="286">
        <f t="shared" si="70"/>
        <v>0</v>
      </c>
      <c r="P282" s="406" t="str">
        <f t="shared" si="72"/>
        <v>0</v>
      </c>
      <c r="Q282" s="286"/>
      <c r="R282" s="413" t="str">
        <f t="shared" si="65"/>
        <v/>
      </c>
      <c r="S282" s="419" t="str">
        <f t="shared" si="66"/>
        <v>:NAME</v>
      </c>
      <c r="T282" s="286"/>
      <c r="U282" s="287"/>
      <c r="V282" s="287"/>
      <c r="W282" s="287"/>
      <c r="X282" s="287"/>
      <c r="Y282" s="287"/>
      <c r="Z282" s="288"/>
      <c r="AA282" s="289">
        <f t="shared" si="68"/>
        <v>0</v>
      </c>
      <c r="AB282" s="290"/>
      <c r="AC282" s="291"/>
      <c r="AD282" s="292"/>
      <c r="AE282" s="293"/>
      <c r="AG282" s="295"/>
    </row>
    <row r="283" spans="1:33" s="294" customFormat="1" x14ac:dyDescent="0.25">
      <c r="A283" s="487"/>
      <c r="B283" s="490"/>
      <c r="C283" s="493"/>
      <c r="D283" s="390">
        <v>9</v>
      </c>
      <c r="E283" s="399">
        <v>281</v>
      </c>
      <c r="F283" s="474"/>
      <c r="G283" s="283"/>
      <c r="H283" s="283"/>
      <c r="I283" s="283"/>
      <c r="J283" s="283"/>
      <c r="K283" s="300"/>
      <c r="L283" s="484" t="str">
        <f t="shared" si="71"/>
        <v/>
      </c>
      <c r="M283" s="285"/>
      <c r="N283" s="402" t="str">
        <f t="shared" si="69"/>
        <v/>
      </c>
      <c r="O283" s="286">
        <f t="shared" si="70"/>
        <v>0</v>
      </c>
      <c r="P283" s="406" t="str">
        <f t="shared" si="72"/>
        <v>0</v>
      </c>
      <c r="Q283" s="286"/>
      <c r="R283" s="413" t="str">
        <f t="shared" si="65"/>
        <v/>
      </c>
      <c r="S283" s="419" t="str">
        <f t="shared" si="66"/>
        <v>:NAME</v>
      </c>
      <c r="T283" s="286"/>
      <c r="U283" s="287"/>
      <c r="V283" s="287"/>
      <c r="W283" s="287"/>
      <c r="X283" s="287"/>
      <c r="Y283" s="287"/>
      <c r="Z283" s="288"/>
      <c r="AA283" s="289">
        <f t="shared" si="68"/>
        <v>0</v>
      </c>
      <c r="AB283" s="290"/>
      <c r="AC283" s="291"/>
      <c r="AD283" s="292"/>
      <c r="AE283" s="293"/>
      <c r="AG283" s="295"/>
    </row>
    <row r="284" spans="1:33" s="294" customFormat="1" x14ac:dyDescent="0.25">
      <c r="A284" s="487"/>
      <c r="B284" s="490"/>
      <c r="C284" s="493"/>
      <c r="D284" s="390">
        <v>10</v>
      </c>
      <c r="E284" s="399">
        <v>282</v>
      </c>
      <c r="F284" s="474"/>
      <c r="G284" s="283"/>
      <c r="H284" s="283"/>
      <c r="I284" s="283"/>
      <c r="J284" s="283"/>
      <c r="K284" s="300"/>
      <c r="L284" s="484" t="str">
        <f t="shared" si="71"/>
        <v/>
      </c>
      <c r="M284" s="285"/>
      <c r="N284" s="402" t="str">
        <f t="shared" si="69"/>
        <v/>
      </c>
      <c r="O284" s="286">
        <f t="shared" si="70"/>
        <v>0</v>
      </c>
      <c r="P284" s="406" t="str">
        <f t="shared" si="72"/>
        <v>0</v>
      </c>
      <c r="Q284" s="286"/>
      <c r="R284" s="413" t="str">
        <f t="shared" si="65"/>
        <v/>
      </c>
      <c r="S284" s="419" t="str">
        <f t="shared" si="66"/>
        <v>:NAME</v>
      </c>
      <c r="T284" s="286"/>
      <c r="U284" s="287"/>
      <c r="V284" s="287"/>
      <c r="W284" s="287"/>
      <c r="X284" s="287"/>
      <c r="Y284" s="287"/>
      <c r="Z284" s="288"/>
      <c r="AA284" s="289">
        <f t="shared" si="68"/>
        <v>0</v>
      </c>
      <c r="AB284" s="290"/>
      <c r="AC284" s="291"/>
      <c r="AD284" s="292"/>
      <c r="AE284" s="293"/>
      <c r="AG284" s="295"/>
    </row>
    <row r="285" spans="1:33" s="294" customFormat="1" x14ac:dyDescent="0.25">
      <c r="A285" s="487"/>
      <c r="B285" s="490"/>
      <c r="C285" s="493"/>
      <c r="D285" s="390">
        <v>11</v>
      </c>
      <c r="E285" s="399">
        <v>283</v>
      </c>
      <c r="F285" s="474"/>
      <c r="G285" s="283"/>
      <c r="H285" s="283"/>
      <c r="I285" s="283"/>
      <c r="J285" s="283"/>
      <c r="K285" s="300"/>
      <c r="L285" s="484" t="str">
        <f t="shared" si="71"/>
        <v/>
      </c>
      <c r="M285" s="285"/>
      <c r="N285" s="402" t="str">
        <f t="shared" si="69"/>
        <v/>
      </c>
      <c r="O285" s="286">
        <f t="shared" si="70"/>
        <v>0</v>
      </c>
      <c r="P285" s="406" t="str">
        <f t="shared" si="72"/>
        <v>0</v>
      </c>
      <c r="Q285" s="286"/>
      <c r="R285" s="413" t="str">
        <f t="shared" si="65"/>
        <v/>
      </c>
      <c r="S285" s="419" t="str">
        <f t="shared" si="66"/>
        <v>:NAME</v>
      </c>
      <c r="T285" s="286"/>
      <c r="U285" s="287"/>
      <c r="V285" s="287"/>
      <c r="W285" s="287"/>
      <c r="X285" s="287"/>
      <c r="Y285" s="287"/>
      <c r="Z285" s="288"/>
      <c r="AA285" s="289">
        <f t="shared" si="68"/>
        <v>0</v>
      </c>
      <c r="AB285" s="290"/>
      <c r="AC285" s="291"/>
      <c r="AD285" s="292"/>
      <c r="AE285" s="293"/>
      <c r="AG285" s="295"/>
    </row>
    <row r="286" spans="1:33" s="294" customFormat="1" x14ac:dyDescent="0.25">
      <c r="A286" s="487"/>
      <c r="B286" s="490"/>
      <c r="C286" s="493"/>
      <c r="D286" s="390">
        <v>12</v>
      </c>
      <c r="E286" s="399">
        <v>284</v>
      </c>
      <c r="F286" s="474"/>
      <c r="G286" s="283"/>
      <c r="H286" s="283"/>
      <c r="I286" s="283"/>
      <c r="J286" s="283"/>
      <c r="K286" s="300"/>
      <c r="L286" s="484" t="str">
        <f t="shared" si="71"/>
        <v/>
      </c>
      <c r="M286" s="285"/>
      <c r="N286" s="402" t="str">
        <f t="shared" si="69"/>
        <v/>
      </c>
      <c r="O286" s="286">
        <f t="shared" si="70"/>
        <v>0</v>
      </c>
      <c r="P286" s="406" t="str">
        <f t="shared" si="72"/>
        <v>0</v>
      </c>
      <c r="Q286" s="286"/>
      <c r="R286" s="413" t="str">
        <f t="shared" si="65"/>
        <v/>
      </c>
      <c r="S286" s="419" t="str">
        <f t="shared" si="66"/>
        <v>:NAME</v>
      </c>
      <c r="T286" s="286"/>
      <c r="U286" s="287"/>
      <c r="V286" s="287"/>
      <c r="W286" s="287"/>
      <c r="X286" s="287"/>
      <c r="Y286" s="287"/>
      <c r="Z286" s="288"/>
      <c r="AA286" s="289">
        <f t="shared" si="68"/>
        <v>0</v>
      </c>
      <c r="AB286" s="290"/>
      <c r="AC286" s="291"/>
      <c r="AD286" s="292"/>
      <c r="AE286" s="293"/>
      <c r="AG286" s="295"/>
    </row>
    <row r="287" spans="1:33" s="294" customFormat="1" x14ac:dyDescent="0.25">
      <c r="A287" s="487"/>
      <c r="B287" s="490"/>
      <c r="C287" s="493"/>
      <c r="D287" s="390">
        <v>13</v>
      </c>
      <c r="E287" s="399">
        <v>285</v>
      </c>
      <c r="F287" s="474"/>
      <c r="G287" s="283"/>
      <c r="H287" s="283"/>
      <c r="I287" s="283"/>
      <c r="J287" s="283"/>
      <c r="K287" s="300"/>
      <c r="L287" s="484" t="str">
        <f t="shared" si="71"/>
        <v/>
      </c>
      <c r="M287" s="285"/>
      <c r="N287" s="402" t="str">
        <f t="shared" si="69"/>
        <v/>
      </c>
      <c r="O287" s="286">
        <f t="shared" si="70"/>
        <v>0</v>
      </c>
      <c r="P287" s="406" t="str">
        <f t="shared" si="72"/>
        <v>0</v>
      </c>
      <c r="Q287" s="286"/>
      <c r="R287" s="413" t="str">
        <f t="shared" si="65"/>
        <v/>
      </c>
      <c r="S287" s="419" t="str">
        <f t="shared" si="66"/>
        <v>:NAME</v>
      </c>
      <c r="T287" s="286"/>
      <c r="U287" s="287"/>
      <c r="V287" s="287"/>
      <c r="W287" s="287"/>
      <c r="X287" s="287"/>
      <c r="Y287" s="287"/>
      <c r="Z287" s="288"/>
      <c r="AA287" s="289">
        <f t="shared" si="68"/>
        <v>0</v>
      </c>
      <c r="AB287" s="290"/>
      <c r="AC287" s="291"/>
      <c r="AD287" s="292"/>
      <c r="AE287" s="293"/>
      <c r="AG287" s="295"/>
    </row>
    <row r="288" spans="1:33" s="294" customFormat="1" x14ac:dyDescent="0.25">
      <c r="A288" s="487"/>
      <c r="B288" s="490"/>
      <c r="C288" s="493"/>
      <c r="D288" s="390">
        <v>14</v>
      </c>
      <c r="E288" s="399">
        <v>286</v>
      </c>
      <c r="F288" s="474"/>
      <c r="G288" s="283"/>
      <c r="H288" s="283"/>
      <c r="I288" s="283"/>
      <c r="J288" s="283"/>
      <c r="K288" s="300"/>
      <c r="L288" s="484" t="str">
        <f t="shared" si="71"/>
        <v/>
      </c>
      <c r="M288" s="285"/>
      <c r="N288" s="402" t="str">
        <f t="shared" si="69"/>
        <v/>
      </c>
      <c r="O288" s="286">
        <f t="shared" si="70"/>
        <v>0</v>
      </c>
      <c r="P288" s="406" t="str">
        <f t="shared" si="72"/>
        <v>0</v>
      </c>
      <c r="Q288" s="286"/>
      <c r="R288" s="413" t="str">
        <f t="shared" si="65"/>
        <v/>
      </c>
      <c r="S288" s="419" t="str">
        <f t="shared" si="66"/>
        <v>:NAME</v>
      </c>
      <c r="T288" s="286"/>
      <c r="U288" s="287"/>
      <c r="V288" s="287"/>
      <c r="W288" s="287"/>
      <c r="X288" s="287"/>
      <c r="Y288" s="287"/>
      <c r="Z288" s="288"/>
      <c r="AA288" s="289">
        <f t="shared" si="68"/>
        <v>0</v>
      </c>
      <c r="AB288" s="290"/>
      <c r="AC288" s="291"/>
      <c r="AD288" s="292"/>
      <c r="AE288" s="293"/>
      <c r="AG288" s="295"/>
    </row>
    <row r="289" spans="1:33" s="294" customFormat="1" ht="15.75" thickBot="1" x14ac:dyDescent="0.3">
      <c r="A289" s="488"/>
      <c r="B289" s="491"/>
      <c r="C289" s="494"/>
      <c r="D289" s="390">
        <v>15</v>
      </c>
      <c r="E289" s="399">
        <v>287</v>
      </c>
      <c r="F289" s="474"/>
      <c r="G289" s="283"/>
      <c r="H289" s="283"/>
      <c r="I289" s="283"/>
      <c r="J289" s="284"/>
      <c r="K289" s="300"/>
      <c r="L289" s="484" t="str">
        <f t="shared" si="71"/>
        <v/>
      </c>
      <c r="M289" s="285"/>
      <c r="N289" s="402" t="str">
        <f t="shared" si="69"/>
        <v/>
      </c>
      <c r="O289" s="286">
        <f t="shared" si="70"/>
        <v>0</v>
      </c>
      <c r="P289" s="406" t="str">
        <f t="shared" si="72"/>
        <v>0</v>
      </c>
      <c r="Q289" s="286"/>
      <c r="R289" s="413" t="str">
        <f t="shared" si="65"/>
        <v/>
      </c>
      <c r="S289" s="419" t="str">
        <f t="shared" si="66"/>
        <v>:NAME</v>
      </c>
      <c r="T289" s="286"/>
      <c r="U289" s="287"/>
      <c r="V289" s="287"/>
      <c r="W289" s="287"/>
      <c r="X289" s="287"/>
      <c r="Y289" s="287"/>
      <c r="Z289" s="288"/>
      <c r="AA289" s="289">
        <f t="shared" si="68"/>
        <v>0</v>
      </c>
      <c r="AB289" s="290"/>
      <c r="AC289" s="291"/>
      <c r="AD289" s="292"/>
      <c r="AE289" s="293"/>
      <c r="AG289" s="295"/>
    </row>
    <row r="290" spans="1:33" s="279" customFormat="1" ht="14.45" customHeight="1" x14ac:dyDescent="0.25">
      <c r="A290" s="486" t="s">
        <v>44</v>
      </c>
      <c r="B290" s="489" t="str">
        <f>LOOKUP(A290,Module,IO)</f>
        <v>.</v>
      </c>
      <c r="C290" s="492" t="s">
        <v>26</v>
      </c>
      <c r="D290" s="389" t="s">
        <v>160</v>
      </c>
      <c r="E290" s="398">
        <v>288</v>
      </c>
      <c r="F290" s="476"/>
      <c r="G290" s="267"/>
      <c r="H290" s="267"/>
      <c r="I290" s="267"/>
      <c r="J290" s="269"/>
      <c r="K290" s="269"/>
      <c r="L290" s="483" t="str">
        <f t="shared" si="71"/>
        <v/>
      </c>
      <c r="M290" s="270"/>
      <c r="N290" s="401" t="str">
        <f t="shared" ref="N290:N305" si="73">IF(F290&lt;&gt;"",IF($H$1&lt;&gt;"","IO"&amp;".","IO.")&amp;$C$290&amp;"."&amp;$B$290&amp;D290,"")</f>
        <v/>
      </c>
      <c r="O290" s="271">
        <f t="shared" ref="O290:O305" si="74">LOOKUP($A$290,Module,Type)</f>
        <v>0</v>
      </c>
      <c r="P290" s="405" t="str">
        <f>O290&amp;N290</f>
        <v>0</v>
      </c>
      <c r="Q290" s="271"/>
      <c r="R290" s="412" t="str">
        <f t="shared" si="65"/>
        <v/>
      </c>
      <c r="S290" s="418" t="str">
        <f t="shared" si="66"/>
        <v>:NAME</v>
      </c>
      <c r="T290" s="271"/>
      <c r="U290" s="272"/>
      <c r="V290" s="272"/>
      <c r="W290" s="272"/>
      <c r="X290" s="272"/>
      <c r="Y290" s="297"/>
      <c r="Z290" s="273"/>
      <c r="AA290" s="274">
        <f t="shared" si="68"/>
        <v>0</v>
      </c>
      <c r="AB290" s="275"/>
      <c r="AC290" s="276"/>
      <c r="AD290" s="277"/>
      <c r="AE290" s="278"/>
      <c r="AG290" s="280"/>
    </row>
    <row r="291" spans="1:33" s="294" customFormat="1" x14ac:dyDescent="0.25">
      <c r="A291" s="487"/>
      <c r="B291" s="490"/>
      <c r="C291" s="493"/>
      <c r="D291" s="390">
        <v>1</v>
      </c>
      <c r="E291" s="399">
        <v>289</v>
      </c>
      <c r="F291" s="474"/>
      <c r="G291" s="282"/>
      <c r="H291" s="282"/>
      <c r="I291" s="283"/>
      <c r="J291" s="284"/>
      <c r="K291" s="284"/>
      <c r="L291" s="484" t="str">
        <f t="shared" si="71"/>
        <v/>
      </c>
      <c r="M291" s="285"/>
      <c r="N291" s="402" t="str">
        <f t="shared" si="73"/>
        <v/>
      </c>
      <c r="O291" s="286">
        <f t="shared" si="74"/>
        <v>0</v>
      </c>
      <c r="P291" s="406" t="str">
        <f t="shared" ref="P291:P305" si="75">O291&amp;N291</f>
        <v>0</v>
      </c>
      <c r="Q291" s="286"/>
      <c r="R291" s="413" t="str">
        <f t="shared" si="65"/>
        <v/>
      </c>
      <c r="S291" s="419" t="str">
        <f t="shared" si="66"/>
        <v>:NAME</v>
      </c>
      <c r="T291" s="286"/>
      <c r="U291" s="287"/>
      <c r="V291" s="287"/>
      <c r="W291" s="287"/>
      <c r="X291" s="287"/>
      <c r="Y291" s="298"/>
      <c r="Z291" s="288"/>
      <c r="AA291" s="289">
        <f t="shared" si="68"/>
        <v>0</v>
      </c>
      <c r="AB291" s="290"/>
      <c r="AC291" s="291"/>
      <c r="AD291" s="292"/>
      <c r="AE291" s="293"/>
      <c r="AG291" s="295"/>
    </row>
    <row r="292" spans="1:33" s="294" customFormat="1" x14ac:dyDescent="0.25">
      <c r="A292" s="487"/>
      <c r="B292" s="490"/>
      <c r="C292" s="493"/>
      <c r="D292" s="390">
        <v>2</v>
      </c>
      <c r="E292" s="399">
        <v>290</v>
      </c>
      <c r="F292" s="474"/>
      <c r="G292" s="282"/>
      <c r="H292" s="282"/>
      <c r="I292" s="283"/>
      <c r="J292" s="282"/>
      <c r="K292" s="284"/>
      <c r="L292" s="484" t="str">
        <f t="shared" si="71"/>
        <v/>
      </c>
      <c r="M292" s="285"/>
      <c r="N292" s="402" t="str">
        <f t="shared" si="73"/>
        <v/>
      </c>
      <c r="O292" s="286">
        <f t="shared" si="74"/>
        <v>0</v>
      </c>
      <c r="P292" s="406" t="str">
        <f t="shared" si="75"/>
        <v>0</v>
      </c>
      <c r="Q292" s="286"/>
      <c r="R292" s="413" t="str">
        <f t="shared" si="65"/>
        <v/>
      </c>
      <c r="S292" s="419" t="str">
        <f t="shared" si="66"/>
        <v>:NAME</v>
      </c>
      <c r="T292" s="286"/>
      <c r="U292" s="287"/>
      <c r="V292" s="287"/>
      <c r="W292" s="287"/>
      <c r="X292" s="287"/>
      <c r="Y292" s="298"/>
      <c r="Z292" s="288"/>
      <c r="AA292" s="289">
        <f t="shared" si="68"/>
        <v>0</v>
      </c>
      <c r="AB292" s="290"/>
      <c r="AC292" s="291"/>
      <c r="AD292" s="292"/>
      <c r="AE292" s="293"/>
      <c r="AG292" s="295"/>
    </row>
    <row r="293" spans="1:33" s="294" customFormat="1" x14ac:dyDescent="0.25">
      <c r="A293" s="487"/>
      <c r="B293" s="490"/>
      <c r="C293" s="493"/>
      <c r="D293" s="390">
        <v>3</v>
      </c>
      <c r="E293" s="399">
        <v>291</v>
      </c>
      <c r="F293" s="474"/>
      <c r="G293" s="282"/>
      <c r="H293" s="282"/>
      <c r="I293" s="283"/>
      <c r="J293" s="282"/>
      <c r="K293" s="284"/>
      <c r="L293" s="484" t="str">
        <f t="shared" si="71"/>
        <v/>
      </c>
      <c r="M293" s="285"/>
      <c r="N293" s="402" t="str">
        <f t="shared" si="73"/>
        <v/>
      </c>
      <c r="O293" s="286">
        <f t="shared" si="74"/>
        <v>0</v>
      </c>
      <c r="P293" s="406" t="str">
        <f t="shared" si="75"/>
        <v>0</v>
      </c>
      <c r="Q293" s="286"/>
      <c r="R293" s="413" t="str">
        <f t="shared" si="65"/>
        <v/>
      </c>
      <c r="S293" s="419" t="str">
        <f t="shared" si="66"/>
        <v>:NAME</v>
      </c>
      <c r="T293" s="286"/>
      <c r="U293" s="287"/>
      <c r="V293" s="287"/>
      <c r="W293" s="287"/>
      <c r="X293" s="287"/>
      <c r="Y293" s="287"/>
      <c r="Z293" s="288"/>
      <c r="AA293" s="289">
        <f t="shared" si="68"/>
        <v>0</v>
      </c>
      <c r="AB293" s="290"/>
      <c r="AC293" s="291"/>
      <c r="AD293" s="292"/>
      <c r="AE293" s="293"/>
      <c r="AG293" s="295"/>
    </row>
    <row r="294" spans="1:33" s="294" customFormat="1" x14ac:dyDescent="0.25">
      <c r="A294" s="487"/>
      <c r="B294" s="490"/>
      <c r="C294" s="493"/>
      <c r="D294" s="390">
        <v>4</v>
      </c>
      <c r="E294" s="399">
        <v>292</v>
      </c>
      <c r="F294" s="474"/>
      <c r="G294" s="282"/>
      <c r="H294" s="282"/>
      <c r="I294" s="283"/>
      <c r="J294" s="282"/>
      <c r="K294" s="284"/>
      <c r="L294" s="484" t="str">
        <f t="shared" si="71"/>
        <v/>
      </c>
      <c r="M294" s="285"/>
      <c r="N294" s="402" t="str">
        <f t="shared" si="73"/>
        <v/>
      </c>
      <c r="O294" s="286">
        <f t="shared" si="74"/>
        <v>0</v>
      </c>
      <c r="P294" s="406" t="str">
        <f t="shared" si="75"/>
        <v>0</v>
      </c>
      <c r="Q294" s="286"/>
      <c r="R294" s="413" t="str">
        <f t="shared" si="65"/>
        <v/>
      </c>
      <c r="S294" s="419" t="str">
        <f t="shared" si="66"/>
        <v>:NAME</v>
      </c>
      <c r="T294" s="286"/>
      <c r="U294" s="287"/>
      <c r="V294" s="287"/>
      <c r="W294" s="287"/>
      <c r="X294" s="287"/>
      <c r="Y294" s="287"/>
      <c r="Z294" s="288"/>
      <c r="AA294" s="289">
        <f t="shared" si="68"/>
        <v>0</v>
      </c>
      <c r="AB294" s="290"/>
      <c r="AC294" s="291"/>
      <c r="AD294" s="292"/>
      <c r="AE294" s="293"/>
      <c r="AG294" s="295"/>
    </row>
    <row r="295" spans="1:33" s="294" customFormat="1" x14ac:dyDescent="0.25">
      <c r="A295" s="487"/>
      <c r="B295" s="490"/>
      <c r="C295" s="493"/>
      <c r="D295" s="390">
        <v>5</v>
      </c>
      <c r="E295" s="399">
        <v>293</v>
      </c>
      <c r="F295" s="474"/>
      <c r="G295" s="282"/>
      <c r="H295" s="282"/>
      <c r="I295" s="282"/>
      <c r="J295" s="282"/>
      <c r="K295" s="284"/>
      <c r="L295" s="484" t="str">
        <f t="shared" si="71"/>
        <v/>
      </c>
      <c r="M295" s="285"/>
      <c r="N295" s="402" t="str">
        <f t="shared" si="73"/>
        <v/>
      </c>
      <c r="O295" s="286">
        <f t="shared" si="74"/>
        <v>0</v>
      </c>
      <c r="P295" s="406" t="str">
        <f t="shared" si="75"/>
        <v>0</v>
      </c>
      <c r="Q295" s="286"/>
      <c r="R295" s="413" t="str">
        <f t="shared" si="65"/>
        <v/>
      </c>
      <c r="S295" s="419" t="str">
        <f t="shared" si="66"/>
        <v>:NAME</v>
      </c>
      <c r="T295" s="286"/>
      <c r="U295" s="287"/>
      <c r="V295" s="287"/>
      <c r="W295" s="287"/>
      <c r="X295" s="287"/>
      <c r="Y295" s="298"/>
      <c r="Z295" s="288"/>
      <c r="AA295" s="289">
        <f t="shared" si="68"/>
        <v>0</v>
      </c>
      <c r="AB295" s="290"/>
      <c r="AC295" s="291"/>
      <c r="AD295" s="292"/>
      <c r="AE295" s="293"/>
      <c r="AG295" s="295"/>
    </row>
    <row r="296" spans="1:33" s="294" customFormat="1" x14ac:dyDescent="0.25">
      <c r="A296" s="487"/>
      <c r="B296" s="490"/>
      <c r="C296" s="493"/>
      <c r="D296" s="390">
        <v>6</v>
      </c>
      <c r="E296" s="399">
        <v>294</v>
      </c>
      <c r="F296" s="474"/>
      <c r="G296" s="282"/>
      <c r="H296" s="282"/>
      <c r="I296" s="282"/>
      <c r="J296" s="282"/>
      <c r="K296" s="284"/>
      <c r="L296" s="484" t="str">
        <f t="shared" si="71"/>
        <v/>
      </c>
      <c r="M296" s="285"/>
      <c r="N296" s="402" t="str">
        <f t="shared" si="73"/>
        <v/>
      </c>
      <c r="O296" s="286">
        <f t="shared" si="74"/>
        <v>0</v>
      </c>
      <c r="P296" s="406" t="str">
        <f t="shared" si="75"/>
        <v>0</v>
      </c>
      <c r="Q296" s="286"/>
      <c r="R296" s="413" t="str">
        <f t="shared" si="65"/>
        <v/>
      </c>
      <c r="S296" s="419" t="str">
        <f t="shared" si="66"/>
        <v>:NAME</v>
      </c>
      <c r="T296" s="286"/>
      <c r="U296" s="287"/>
      <c r="V296" s="287"/>
      <c r="W296" s="287"/>
      <c r="X296" s="287"/>
      <c r="Y296" s="298"/>
      <c r="Z296" s="288"/>
      <c r="AA296" s="289">
        <f t="shared" si="68"/>
        <v>0</v>
      </c>
      <c r="AB296" s="290"/>
      <c r="AC296" s="291"/>
      <c r="AD296" s="292"/>
      <c r="AE296" s="293"/>
      <c r="AG296" s="295"/>
    </row>
    <row r="297" spans="1:33" s="294" customFormat="1" x14ac:dyDescent="0.25">
      <c r="A297" s="487"/>
      <c r="B297" s="490"/>
      <c r="C297" s="493"/>
      <c r="D297" s="390">
        <v>7</v>
      </c>
      <c r="E297" s="399">
        <v>295</v>
      </c>
      <c r="F297" s="474"/>
      <c r="G297" s="282"/>
      <c r="H297" s="282"/>
      <c r="I297" s="283"/>
      <c r="J297" s="283"/>
      <c r="K297" s="284"/>
      <c r="L297" s="484" t="str">
        <f t="shared" si="71"/>
        <v/>
      </c>
      <c r="M297" s="285"/>
      <c r="N297" s="402" t="str">
        <f t="shared" si="73"/>
        <v/>
      </c>
      <c r="O297" s="286">
        <f t="shared" si="74"/>
        <v>0</v>
      </c>
      <c r="P297" s="406" t="str">
        <f t="shared" si="75"/>
        <v>0</v>
      </c>
      <c r="Q297" s="286"/>
      <c r="R297" s="413" t="str">
        <f t="shared" si="65"/>
        <v/>
      </c>
      <c r="S297" s="419" t="str">
        <f t="shared" si="66"/>
        <v>:NAME</v>
      </c>
      <c r="T297" s="286"/>
      <c r="U297" s="287"/>
      <c r="V297" s="287"/>
      <c r="W297" s="287"/>
      <c r="X297" s="287"/>
      <c r="Y297" s="298"/>
      <c r="Z297" s="288"/>
      <c r="AA297" s="289">
        <f t="shared" si="68"/>
        <v>0</v>
      </c>
      <c r="AB297" s="290"/>
      <c r="AC297" s="291"/>
      <c r="AD297" s="292"/>
      <c r="AE297" s="293"/>
      <c r="AG297" s="295"/>
    </row>
    <row r="298" spans="1:33" s="294" customFormat="1" x14ac:dyDescent="0.25">
      <c r="A298" s="487"/>
      <c r="B298" s="490"/>
      <c r="C298" s="493"/>
      <c r="D298" s="390">
        <v>8</v>
      </c>
      <c r="E298" s="399">
        <v>296</v>
      </c>
      <c r="F298" s="474"/>
      <c r="G298" s="283"/>
      <c r="H298" s="283"/>
      <c r="I298" s="283"/>
      <c r="J298" s="283"/>
      <c r="K298" s="300"/>
      <c r="L298" s="484" t="str">
        <f t="shared" si="71"/>
        <v/>
      </c>
      <c r="M298" s="285"/>
      <c r="N298" s="402" t="str">
        <f t="shared" si="73"/>
        <v/>
      </c>
      <c r="O298" s="286">
        <f t="shared" si="74"/>
        <v>0</v>
      </c>
      <c r="P298" s="406" t="str">
        <f t="shared" si="75"/>
        <v>0</v>
      </c>
      <c r="Q298" s="286"/>
      <c r="R298" s="413" t="str">
        <f t="shared" si="65"/>
        <v/>
      </c>
      <c r="S298" s="419" t="str">
        <f t="shared" si="66"/>
        <v>:NAME</v>
      </c>
      <c r="T298" s="286"/>
      <c r="U298" s="287"/>
      <c r="V298" s="287"/>
      <c r="W298" s="287"/>
      <c r="X298" s="287"/>
      <c r="Y298" s="287"/>
      <c r="Z298" s="288"/>
      <c r="AA298" s="289">
        <f t="shared" si="68"/>
        <v>0</v>
      </c>
      <c r="AB298" s="290"/>
      <c r="AC298" s="291"/>
      <c r="AD298" s="292"/>
      <c r="AE298" s="293"/>
      <c r="AG298" s="295"/>
    </row>
    <row r="299" spans="1:33" s="294" customFormat="1" x14ac:dyDescent="0.25">
      <c r="A299" s="487"/>
      <c r="B299" s="490"/>
      <c r="C299" s="493"/>
      <c r="D299" s="390">
        <v>9</v>
      </c>
      <c r="E299" s="399">
        <v>297</v>
      </c>
      <c r="F299" s="474"/>
      <c r="G299" s="283"/>
      <c r="H299" s="283"/>
      <c r="I299" s="283"/>
      <c r="J299" s="283"/>
      <c r="K299" s="300"/>
      <c r="L299" s="484" t="str">
        <f t="shared" si="71"/>
        <v/>
      </c>
      <c r="M299" s="285"/>
      <c r="N299" s="402" t="str">
        <f t="shared" si="73"/>
        <v/>
      </c>
      <c r="O299" s="286">
        <f t="shared" si="74"/>
        <v>0</v>
      </c>
      <c r="P299" s="406" t="str">
        <f t="shared" si="75"/>
        <v>0</v>
      </c>
      <c r="Q299" s="286"/>
      <c r="R299" s="413" t="str">
        <f t="shared" si="65"/>
        <v/>
      </c>
      <c r="S299" s="419" t="str">
        <f t="shared" si="66"/>
        <v>:NAME</v>
      </c>
      <c r="T299" s="286"/>
      <c r="U299" s="287"/>
      <c r="V299" s="287"/>
      <c r="W299" s="287"/>
      <c r="X299" s="287"/>
      <c r="Y299" s="287"/>
      <c r="Z299" s="288"/>
      <c r="AA299" s="289">
        <f t="shared" si="68"/>
        <v>0</v>
      </c>
      <c r="AB299" s="290"/>
      <c r="AC299" s="291"/>
      <c r="AD299" s="292"/>
      <c r="AE299" s="293"/>
      <c r="AG299" s="295"/>
    </row>
    <row r="300" spans="1:33" s="294" customFormat="1" x14ac:dyDescent="0.25">
      <c r="A300" s="487"/>
      <c r="B300" s="490"/>
      <c r="C300" s="493"/>
      <c r="D300" s="390">
        <v>10</v>
      </c>
      <c r="E300" s="399">
        <v>298</v>
      </c>
      <c r="F300" s="474"/>
      <c r="G300" s="283"/>
      <c r="H300" s="283"/>
      <c r="I300" s="283"/>
      <c r="J300" s="283"/>
      <c r="K300" s="300"/>
      <c r="L300" s="484" t="str">
        <f t="shared" si="71"/>
        <v/>
      </c>
      <c r="M300" s="285"/>
      <c r="N300" s="402" t="str">
        <f t="shared" si="73"/>
        <v/>
      </c>
      <c r="O300" s="286">
        <f t="shared" si="74"/>
        <v>0</v>
      </c>
      <c r="P300" s="406" t="str">
        <f t="shared" si="75"/>
        <v>0</v>
      </c>
      <c r="Q300" s="286"/>
      <c r="R300" s="413" t="str">
        <f t="shared" si="65"/>
        <v/>
      </c>
      <c r="S300" s="419" t="str">
        <f t="shared" si="66"/>
        <v>:NAME</v>
      </c>
      <c r="T300" s="286"/>
      <c r="U300" s="287"/>
      <c r="V300" s="287"/>
      <c r="W300" s="287"/>
      <c r="X300" s="287"/>
      <c r="Y300" s="287"/>
      <c r="Z300" s="288"/>
      <c r="AA300" s="289">
        <f t="shared" si="68"/>
        <v>0</v>
      </c>
      <c r="AB300" s="290"/>
      <c r="AC300" s="291"/>
      <c r="AD300" s="292"/>
      <c r="AE300" s="293"/>
      <c r="AG300" s="295"/>
    </row>
    <row r="301" spans="1:33" s="294" customFormat="1" x14ac:dyDescent="0.25">
      <c r="A301" s="487"/>
      <c r="B301" s="490"/>
      <c r="C301" s="493"/>
      <c r="D301" s="390">
        <v>11</v>
      </c>
      <c r="E301" s="399">
        <v>299</v>
      </c>
      <c r="F301" s="474"/>
      <c r="G301" s="283"/>
      <c r="H301" s="283"/>
      <c r="I301" s="283"/>
      <c r="J301" s="283"/>
      <c r="K301" s="300"/>
      <c r="L301" s="484" t="str">
        <f t="shared" si="71"/>
        <v/>
      </c>
      <c r="M301" s="285"/>
      <c r="N301" s="402" t="str">
        <f t="shared" si="73"/>
        <v/>
      </c>
      <c r="O301" s="286">
        <f t="shared" si="74"/>
        <v>0</v>
      </c>
      <c r="P301" s="406" t="str">
        <f t="shared" si="75"/>
        <v>0</v>
      </c>
      <c r="Q301" s="286"/>
      <c r="R301" s="413" t="str">
        <f t="shared" si="65"/>
        <v/>
      </c>
      <c r="S301" s="419" t="str">
        <f t="shared" si="66"/>
        <v>:NAME</v>
      </c>
      <c r="T301" s="286"/>
      <c r="U301" s="287"/>
      <c r="V301" s="287"/>
      <c r="W301" s="287"/>
      <c r="X301" s="287"/>
      <c r="Y301" s="287"/>
      <c r="Z301" s="288"/>
      <c r="AA301" s="289">
        <f t="shared" si="68"/>
        <v>0</v>
      </c>
      <c r="AB301" s="290"/>
      <c r="AC301" s="291"/>
      <c r="AD301" s="292"/>
      <c r="AE301" s="293"/>
      <c r="AG301" s="295"/>
    </row>
    <row r="302" spans="1:33" s="294" customFormat="1" x14ac:dyDescent="0.25">
      <c r="A302" s="487"/>
      <c r="B302" s="490"/>
      <c r="C302" s="493"/>
      <c r="D302" s="390">
        <v>12</v>
      </c>
      <c r="E302" s="399">
        <v>300</v>
      </c>
      <c r="F302" s="474"/>
      <c r="G302" s="283"/>
      <c r="H302" s="283"/>
      <c r="I302" s="283"/>
      <c r="J302" s="283"/>
      <c r="K302" s="300"/>
      <c r="L302" s="484" t="str">
        <f t="shared" si="71"/>
        <v/>
      </c>
      <c r="M302" s="285"/>
      <c r="N302" s="402" t="str">
        <f t="shared" si="73"/>
        <v/>
      </c>
      <c r="O302" s="286">
        <f t="shared" si="74"/>
        <v>0</v>
      </c>
      <c r="P302" s="406" t="str">
        <f t="shared" si="75"/>
        <v>0</v>
      </c>
      <c r="Q302" s="286"/>
      <c r="R302" s="413" t="str">
        <f t="shared" si="65"/>
        <v/>
      </c>
      <c r="S302" s="419" t="str">
        <f t="shared" si="66"/>
        <v>:NAME</v>
      </c>
      <c r="T302" s="286"/>
      <c r="U302" s="287"/>
      <c r="V302" s="287"/>
      <c r="W302" s="287"/>
      <c r="X302" s="287"/>
      <c r="Y302" s="287"/>
      <c r="Z302" s="288"/>
      <c r="AA302" s="289">
        <f t="shared" si="68"/>
        <v>0</v>
      </c>
      <c r="AB302" s="290"/>
      <c r="AC302" s="291"/>
      <c r="AD302" s="292"/>
      <c r="AE302" s="293"/>
      <c r="AG302" s="295"/>
    </row>
    <row r="303" spans="1:33" s="294" customFormat="1" x14ac:dyDescent="0.25">
      <c r="A303" s="487"/>
      <c r="B303" s="490"/>
      <c r="C303" s="493"/>
      <c r="D303" s="390">
        <v>13</v>
      </c>
      <c r="E303" s="399">
        <v>301</v>
      </c>
      <c r="F303" s="474"/>
      <c r="G303" s="283"/>
      <c r="H303" s="283"/>
      <c r="I303" s="283"/>
      <c r="J303" s="283"/>
      <c r="K303" s="300"/>
      <c r="L303" s="484" t="str">
        <f t="shared" si="71"/>
        <v/>
      </c>
      <c r="M303" s="285"/>
      <c r="N303" s="402" t="str">
        <f t="shared" si="73"/>
        <v/>
      </c>
      <c r="O303" s="286">
        <f t="shared" si="74"/>
        <v>0</v>
      </c>
      <c r="P303" s="406" t="str">
        <f t="shared" si="75"/>
        <v>0</v>
      </c>
      <c r="Q303" s="286"/>
      <c r="R303" s="413" t="str">
        <f t="shared" si="65"/>
        <v/>
      </c>
      <c r="S303" s="419" t="str">
        <f t="shared" si="66"/>
        <v>:NAME</v>
      </c>
      <c r="T303" s="286"/>
      <c r="U303" s="287"/>
      <c r="V303" s="287"/>
      <c r="W303" s="287"/>
      <c r="X303" s="287"/>
      <c r="Y303" s="287"/>
      <c r="Z303" s="288"/>
      <c r="AA303" s="289">
        <f t="shared" si="68"/>
        <v>0</v>
      </c>
      <c r="AB303" s="290"/>
      <c r="AC303" s="291"/>
      <c r="AD303" s="292"/>
      <c r="AE303" s="293"/>
      <c r="AG303" s="295"/>
    </row>
    <row r="304" spans="1:33" s="294" customFormat="1" x14ac:dyDescent="0.25">
      <c r="A304" s="487"/>
      <c r="B304" s="490"/>
      <c r="C304" s="493"/>
      <c r="D304" s="390">
        <v>14</v>
      </c>
      <c r="E304" s="399">
        <v>302</v>
      </c>
      <c r="F304" s="474"/>
      <c r="G304" s="283"/>
      <c r="H304" s="283"/>
      <c r="I304" s="283"/>
      <c r="J304" s="283"/>
      <c r="K304" s="300"/>
      <c r="L304" s="484" t="str">
        <f t="shared" si="71"/>
        <v/>
      </c>
      <c r="M304" s="285"/>
      <c r="N304" s="402" t="str">
        <f t="shared" si="73"/>
        <v/>
      </c>
      <c r="O304" s="286">
        <f t="shared" si="74"/>
        <v>0</v>
      </c>
      <c r="P304" s="406" t="str">
        <f t="shared" si="75"/>
        <v>0</v>
      </c>
      <c r="Q304" s="286"/>
      <c r="R304" s="413" t="str">
        <f t="shared" si="65"/>
        <v/>
      </c>
      <c r="S304" s="419" t="str">
        <f t="shared" si="66"/>
        <v>:NAME</v>
      </c>
      <c r="T304" s="286"/>
      <c r="U304" s="287"/>
      <c r="V304" s="287"/>
      <c r="W304" s="287"/>
      <c r="X304" s="287"/>
      <c r="Y304" s="287"/>
      <c r="Z304" s="288"/>
      <c r="AA304" s="289">
        <f t="shared" si="68"/>
        <v>0</v>
      </c>
      <c r="AB304" s="290"/>
      <c r="AC304" s="291"/>
      <c r="AD304" s="292"/>
      <c r="AE304" s="293"/>
      <c r="AG304" s="295"/>
    </row>
    <row r="305" spans="1:33" s="294" customFormat="1" ht="15.75" thickBot="1" x14ac:dyDescent="0.3">
      <c r="A305" s="488"/>
      <c r="B305" s="491"/>
      <c r="C305" s="494"/>
      <c r="D305" s="390">
        <v>15</v>
      </c>
      <c r="E305" s="399">
        <v>303</v>
      </c>
      <c r="F305" s="474"/>
      <c r="G305" s="283"/>
      <c r="H305" s="283"/>
      <c r="I305" s="283"/>
      <c r="J305" s="282"/>
      <c r="K305" s="300"/>
      <c r="L305" s="484" t="str">
        <f t="shared" si="71"/>
        <v/>
      </c>
      <c r="M305" s="285"/>
      <c r="N305" s="402" t="str">
        <f t="shared" si="73"/>
        <v/>
      </c>
      <c r="O305" s="286">
        <f t="shared" si="74"/>
        <v>0</v>
      </c>
      <c r="P305" s="406" t="str">
        <f t="shared" si="75"/>
        <v>0</v>
      </c>
      <c r="Q305" s="286"/>
      <c r="R305" s="413" t="str">
        <f t="shared" si="65"/>
        <v/>
      </c>
      <c r="S305" s="419" t="str">
        <f t="shared" si="66"/>
        <v>:NAME</v>
      </c>
      <c r="T305" s="286"/>
      <c r="U305" s="287"/>
      <c r="V305" s="287"/>
      <c r="W305" s="287"/>
      <c r="X305" s="287"/>
      <c r="Y305" s="287"/>
      <c r="Z305" s="288"/>
      <c r="AA305" s="289">
        <f t="shared" si="68"/>
        <v>0</v>
      </c>
      <c r="AB305" s="290"/>
      <c r="AC305" s="291"/>
      <c r="AD305" s="292"/>
      <c r="AE305" s="293"/>
      <c r="AG305" s="295"/>
    </row>
    <row r="306" spans="1:33" s="279" customFormat="1" ht="14.45" customHeight="1" x14ac:dyDescent="0.25">
      <c r="A306" s="486" t="s">
        <v>44</v>
      </c>
      <c r="B306" s="489" t="str">
        <f>LOOKUP(A306,Module,IO)</f>
        <v>.</v>
      </c>
      <c r="C306" s="492" t="s">
        <v>27</v>
      </c>
      <c r="D306" s="389" t="s">
        <v>160</v>
      </c>
      <c r="E306" s="398">
        <v>304</v>
      </c>
      <c r="F306" s="476"/>
      <c r="G306" s="267"/>
      <c r="H306" s="267"/>
      <c r="I306" s="267"/>
      <c r="J306" s="267"/>
      <c r="K306" s="269"/>
      <c r="L306" s="483" t="str">
        <f t="shared" si="71"/>
        <v/>
      </c>
      <c r="M306" s="270"/>
      <c r="N306" s="401" t="str">
        <f t="shared" ref="N306:N321" si="76">IF(F306&lt;&gt;"",IF($H$1&lt;&gt;"","IO"&amp;".","IO.")&amp;$C$306&amp;"."&amp;$B$306&amp;D306,"")</f>
        <v/>
      </c>
      <c r="O306" s="271">
        <f t="shared" ref="O306:O321" si="77">LOOKUP($A$306,Module,Type)</f>
        <v>0</v>
      </c>
      <c r="P306" s="405" t="str">
        <f>O306&amp;N306</f>
        <v>0</v>
      </c>
      <c r="Q306" s="271"/>
      <c r="R306" s="412" t="str">
        <f t="shared" si="65"/>
        <v/>
      </c>
      <c r="S306" s="418" t="str">
        <f t="shared" si="66"/>
        <v>:NAME</v>
      </c>
      <c r="T306" s="271"/>
      <c r="U306" s="272"/>
      <c r="V306" s="272"/>
      <c r="W306" s="272"/>
      <c r="X306" s="272"/>
      <c r="Y306" s="297"/>
      <c r="Z306" s="273"/>
      <c r="AA306" s="274">
        <f t="shared" si="68"/>
        <v>0</v>
      </c>
      <c r="AB306" s="275"/>
      <c r="AC306" s="276"/>
      <c r="AD306" s="277"/>
      <c r="AE306" s="278"/>
      <c r="AG306" s="280"/>
    </row>
    <row r="307" spans="1:33" s="294" customFormat="1" x14ac:dyDescent="0.25">
      <c r="A307" s="487"/>
      <c r="B307" s="490"/>
      <c r="C307" s="493"/>
      <c r="D307" s="390">
        <v>1</v>
      </c>
      <c r="E307" s="399">
        <v>305</v>
      </c>
      <c r="F307" s="474"/>
      <c r="G307" s="282"/>
      <c r="H307" s="283"/>
      <c r="I307" s="306"/>
      <c r="J307" s="282"/>
      <c r="K307" s="284"/>
      <c r="L307" s="484" t="str">
        <f t="shared" si="71"/>
        <v/>
      </c>
      <c r="M307" s="285"/>
      <c r="N307" s="402" t="str">
        <f t="shared" si="76"/>
        <v/>
      </c>
      <c r="O307" s="286">
        <f t="shared" si="77"/>
        <v>0</v>
      </c>
      <c r="P307" s="406" t="str">
        <f t="shared" ref="P307:P321" si="78">O307&amp;N307</f>
        <v>0</v>
      </c>
      <c r="Q307" s="286"/>
      <c r="R307" s="413" t="str">
        <f t="shared" si="65"/>
        <v/>
      </c>
      <c r="S307" s="419" t="str">
        <f t="shared" si="66"/>
        <v>:NAME</v>
      </c>
      <c r="T307" s="286"/>
      <c r="U307" s="287"/>
      <c r="V307" s="287"/>
      <c r="W307" s="287"/>
      <c r="X307" s="287"/>
      <c r="Y307" s="298"/>
      <c r="Z307" s="288"/>
      <c r="AA307" s="289">
        <f t="shared" si="68"/>
        <v>0</v>
      </c>
      <c r="AB307" s="290"/>
      <c r="AC307" s="291"/>
      <c r="AD307" s="292"/>
      <c r="AE307" s="293"/>
      <c r="AG307" s="295"/>
    </row>
    <row r="308" spans="1:33" s="294" customFormat="1" x14ac:dyDescent="0.25">
      <c r="A308" s="487"/>
      <c r="B308" s="490"/>
      <c r="C308" s="493"/>
      <c r="D308" s="390">
        <v>2</v>
      </c>
      <c r="E308" s="399">
        <v>306</v>
      </c>
      <c r="F308" s="474"/>
      <c r="G308" s="283"/>
      <c r="H308" s="283"/>
      <c r="I308" s="306"/>
      <c r="J308" s="282"/>
      <c r="K308" s="284"/>
      <c r="L308" s="484" t="str">
        <f t="shared" si="71"/>
        <v/>
      </c>
      <c r="M308" s="285"/>
      <c r="N308" s="402" t="str">
        <f t="shared" si="76"/>
        <v/>
      </c>
      <c r="O308" s="286">
        <f t="shared" si="77"/>
        <v>0</v>
      </c>
      <c r="P308" s="406" t="str">
        <f t="shared" si="78"/>
        <v>0</v>
      </c>
      <c r="Q308" s="286"/>
      <c r="R308" s="413" t="str">
        <f t="shared" si="65"/>
        <v/>
      </c>
      <c r="S308" s="419" t="str">
        <f t="shared" si="66"/>
        <v>:NAME</v>
      </c>
      <c r="T308" s="286"/>
      <c r="U308" s="287"/>
      <c r="V308" s="287"/>
      <c r="W308" s="287"/>
      <c r="X308" s="287"/>
      <c r="Y308" s="298"/>
      <c r="Z308" s="288"/>
      <c r="AA308" s="289">
        <f t="shared" si="68"/>
        <v>0</v>
      </c>
      <c r="AB308" s="290"/>
      <c r="AC308" s="291"/>
      <c r="AD308" s="292"/>
      <c r="AE308" s="293"/>
      <c r="AG308" s="295"/>
    </row>
    <row r="309" spans="1:33" s="294" customFormat="1" x14ac:dyDescent="0.25">
      <c r="A309" s="487"/>
      <c r="B309" s="490"/>
      <c r="C309" s="493"/>
      <c r="D309" s="390">
        <v>3</v>
      </c>
      <c r="E309" s="399">
        <v>307</v>
      </c>
      <c r="F309" s="474"/>
      <c r="G309" s="283"/>
      <c r="H309" s="283"/>
      <c r="I309" s="315"/>
      <c r="J309" s="282"/>
      <c r="K309" s="284"/>
      <c r="L309" s="484" t="str">
        <f t="shared" si="71"/>
        <v/>
      </c>
      <c r="M309" s="285"/>
      <c r="N309" s="402" t="str">
        <f t="shared" si="76"/>
        <v/>
      </c>
      <c r="O309" s="286">
        <f t="shared" si="77"/>
        <v>0</v>
      </c>
      <c r="P309" s="406" t="str">
        <f t="shared" si="78"/>
        <v>0</v>
      </c>
      <c r="Q309" s="286"/>
      <c r="R309" s="413" t="str">
        <f t="shared" si="65"/>
        <v/>
      </c>
      <c r="S309" s="419" t="str">
        <f t="shared" si="66"/>
        <v>:NAME</v>
      </c>
      <c r="T309" s="286"/>
      <c r="U309" s="287"/>
      <c r="V309" s="287"/>
      <c r="W309" s="287"/>
      <c r="X309" s="287"/>
      <c r="Y309" s="298"/>
      <c r="Z309" s="288"/>
      <c r="AA309" s="289">
        <f t="shared" si="68"/>
        <v>0</v>
      </c>
      <c r="AB309" s="290"/>
      <c r="AC309" s="291"/>
      <c r="AD309" s="292"/>
      <c r="AE309" s="293"/>
      <c r="AG309" s="295"/>
    </row>
    <row r="310" spans="1:33" s="294" customFormat="1" x14ac:dyDescent="0.25">
      <c r="A310" s="487"/>
      <c r="B310" s="490"/>
      <c r="C310" s="493"/>
      <c r="D310" s="390">
        <v>4</v>
      </c>
      <c r="E310" s="399">
        <v>308</v>
      </c>
      <c r="F310" s="474"/>
      <c r="G310" s="283"/>
      <c r="H310" s="283"/>
      <c r="I310" s="315"/>
      <c r="J310" s="282"/>
      <c r="K310" s="284"/>
      <c r="L310" s="484" t="str">
        <f t="shared" si="71"/>
        <v/>
      </c>
      <c r="M310" s="285"/>
      <c r="N310" s="402" t="str">
        <f t="shared" si="76"/>
        <v/>
      </c>
      <c r="O310" s="286">
        <f t="shared" si="77"/>
        <v>0</v>
      </c>
      <c r="P310" s="406" t="str">
        <f t="shared" si="78"/>
        <v>0</v>
      </c>
      <c r="Q310" s="286"/>
      <c r="R310" s="413" t="str">
        <f t="shared" si="65"/>
        <v/>
      </c>
      <c r="S310" s="419" t="str">
        <f t="shared" si="66"/>
        <v>:NAME</v>
      </c>
      <c r="T310" s="286"/>
      <c r="U310" s="287"/>
      <c r="V310" s="287"/>
      <c r="W310" s="287"/>
      <c r="X310" s="287"/>
      <c r="Y310" s="298"/>
      <c r="Z310" s="288"/>
      <c r="AA310" s="289">
        <f t="shared" si="68"/>
        <v>0</v>
      </c>
      <c r="AB310" s="290"/>
      <c r="AC310" s="291"/>
      <c r="AD310" s="292"/>
      <c r="AE310" s="293"/>
      <c r="AG310" s="295"/>
    </row>
    <row r="311" spans="1:33" s="294" customFormat="1" x14ac:dyDescent="0.25">
      <c r="A311" s="487"/>
      <c r="B311" s="490"/>
      <c r="C311" s="493"/>
      <c r="D311" s="390">
        <v>5</v>
      </c>
      <c r="E311" s="399">
        <v>309</v>
      </c>
      <c r="F311" s="474"/>
      <c r="G311" s="283"/>
      <c r="H311" s="283"/>
      <c r="I311" s="306"/>
      <c r="J311" s="282"/>
      <c r="K311" s="284"/>
      <c r="L311" s="484" t="str">
        <f t="shared" si="71"/>
        <v/>
      </c>
      <c r="M311" s="285"/>
      <c r="N311" s="402" t="str">
        <f t="shared" si="76"/>
        <v/>
      </c>
      <c r="O311" s="286">
        <f t="shared" si="77"/>
        <v>0</v>
      </c>
      <c r="P311" s="406" t="str">
        <f t="shared" si="78"/>
        <v>0</v>
      </c>
      <c r="Q311" s="286"/>
      <c r="R311" s="413" t="str">
        <f t="shared" si="65"/>
        <v/>
      </c>
      <c r="S311" s="419" t="str">
        <f t="shared" si="66"/>
        <v>:NAME</v>
      </c>
      <c r="T311" s="286"/>
      <c r="U311" s="287"/>
      <c r="V311" s="287"/>
      <c r="W311" s="287"/>
      <c r="X311" s="287"/>
      <c r="Y311" s="298"/>
      <c r="Z311" s="288"/>
      <c r="AA311" s="289">
        <f t="shared" si="68"/>
        <v>0</v>
      </c>
      <c r="AB311" s="290"/>
      <c r="AC311" s="291"/>
      <c r="AD311" s="292"/>
      <c r="AE311" s="293"/>
      <c r="AG311" s="295"/>
    </row>
    <row r="312" spans="1:33" s="294" customFormat="1" x14ac:dyDescent="0.25">
      <c r="A312" s="487"/>
      <c r="B312" s="490"/>
      <c r="C312" s="493"/>
      <c r="D312" s="390">
        <v>6</v>
      </c>
      <c r="E312" s="399">
        <v>310</v>
      </c>
      <c r="F312" s="474"/>
      <c r="G312" s="283"/>
      <c r="H312" s="283"/>
      <c r="I312" s="306"/>
      <c r="J312" s="282"/>
      <c r="K312" s="284"/>
      <c r="L312" s="484" t="str">
        <f t="shared" si="71"/>
        <v/>
      </c>
      <c r="M312" s="285"/>
      <c r="N312" s="402" t="str">
        <f t="shared" si="76"/>
        <v/>
      </c>
      <c r="O312" s="286">
        <f t="shared" si="77"/>
        <v>0</v>
      </c>
      <c r="P312" s="406" t="str">
        <f t="shared" si="78"/>
        <v>0</v>
      </c>
      <c r="Q312" s="286"/>
      <c r="R312" s="413" t="str">
        <f t="shared" si="65"/>
        <v/>
      </c>
      <c r="S312" s="419" t="str">
        <f t="shared" si="66"/>
        <v>:NAME</v>
      </c>
      <c r="T312" s="286"/>
      <c r="U312" s="287"/>
      <c r="V312" s="287"/>
      <c r="W312" s="287"/>
      <c r="X312" s="287"/>
      <c r="Y312" s="298"/>
      <c r="Z312" s="288"/>
      <c r="AA312" s="289">
        <f t="shared" si="68"/>
        <v>0</v>
      </c>
      <c r="AB312" s="290"/>
      <c r="AC312" s="291"/>
      <c r="AD312" s="292"/>
      <c r="AE312" s="293"/>
      <c r="AG312" s="295"/>
    </row>
    <row r="313" spans="1:33" s="294" customFormat="1" x14ac:dyDescent="0.25">
      <c r="A313" s="487"/>
      <c r="B313" s="490"/>
      <c r="C313" s="493"/>
      <c r="D313" s="390">
        <v>7</v>
      </c>
      <c r="E313" s="399">
        <v>311</v>
      </c>
      <c r="F313" s="474"/>
      <c r="G313" s="283"/>
      <c r="H313" s="283"/>
      <c r="I313" s="283"/>
      <c r="J313" s="283"/>
      <c r="K313" s="300"/>
      <c r="L313" s="484" t="str">
        <f t="shared" si="71"/>
        <v/>
      </c>
      <c r="M313" s="285"/>
      <c r="N313" s="402" t="str">
        <f t="shared" si="76"/>
        <v/>
      </c>
      <c r="O313" s="286">
        <f t="shared" si="77"/>
        <v>0</v>
      </c>
      <c r="P313" s="406" t="str">
        <f t="shared" si="78"/>
        <v>0</v>
      </c>
      <c r="Q313" s="286"/>
      <c r="R313" s="413" t="str">
        <f t="shared" si="65"/>
        <v/>
      </c>
      <c r="S313" s="419" t="str">
        <f t="shared" si="66"/>
        <v>:NAME</v>
      </c>
      <c r="T313" s="286"/>
      <c r="U313" s="287"/>
      <c r="V313" s="287"/>
      <c r="W313" s="287"/>
      <c r="X313" s="287"/>
      <c r="Y313" s="287"/>
      <c r="Z313" s="288"/>
      <c r="AA313" s="289">
        <f t="shared" si="68"/>
        <v>0</v>
      </c>
      <c r="AB313" s="290"/>
      <c r="AC313" s="291"/>
      <c r="AD313" s="292"/>
      <c r="AE313" s="293"/>
      <c r="AG313" s="295"/>
    </row>
    <row r="314" spans="1:33" s="294" customFormat="1" x14ac:dyDescent="0.25">
      <c r="A314" s="487"/>
      <c r="B314" s="490"/>
      <c r="C314" s="493"/>
      <c r="D314" s="390">
        <v>8</v>
      </c>
      <c r="E314" s="399">
        <v>312</v>
      </c>
      <c r="F314" s="474"/>
      <c r="G314" s="283"/>
      <c r="H314" s="283"/>
      <c r="I314" s="283"/>
      <c r="J314" s="283"/>
      <c r="K314" s="300"/>
      <c r="L314" s="484" t="str">
        <f t="shared" si="71"/>
        <v/>
      </c>
      <c r="M314" s="285"/>
      <c r="N314" s="402" t="str">
        <f t="shared" si="76"/>
        <v/>
      </c>
      <c r="O314" s="286">
        <f t="shared" si="77"/>
        <v>0</v>
      </c>
      <c r="P314" s="406" t="str">
        <f t="shared" si="78"/>
        <v>0</v>
      </c>
      <c r="Q314" s="286"/>
      <c r="R314" s="413" t="str">
        <f t="shared" si="65"/>
        <v/>
      </c>
      <c r="S314" s="419" t="str">
        <f t="shared" si="66"/>
        <v>:NAME</v>
      </c>
      <c r="T314" s="286"/>
      <c r="U314" s="287"/>
      <c r="V314" s="287"/>
      <c r="W314" s="287"/>
      <c r="X314" s="287"/>
      <c r="Y314" s="287"/>
      <c r="Z314" s="288"/>
      <c r="AA314" s="289">
        <f t="shared" si="68"/>
        <v>0</v>
      </c>
      <c r="AB314" s="290"/>
      <c r="AC314" s="291"/>
      <c r="AD314" s="292"/>
      <c r="AE314" s="293"/>
      <c r="AG314" s="295"/>
    </row>
    <row r="315" spans="1:33" s="294" customFormat="1" x14ac:dyDescent="0.25">
      <c r="A315" s="487"/>
      <c r="B315" s="490"/>
      <c r="C315" s="493"/>
      <c r="D315" s="390">
        <v>9</v>
      </c>
      <c r="E315" s="399">
        <v>313</v>
      </c>
      <c r="F315" s="474"/>
      <c r="G315" s="283"/>
      <c r="H315" s="283"/>
      <c r="I315" s="283"/>
      <c r="J315" s="283"/>
      <c r="K315" s="300"/>
      <c r="L315" s="484" t="str">
        <f t="shared" si="71"/>
        <v/>
      </c>
      <c r="M315" s="285"/>
      <c r="N315" s="402" t="str">
        <f t="shared" si="76"/>
        <v/>
      </c>
      <c r="O315" s="286">
        <f t="shared" si="77"/>
        <v>0</v>
      </c>
      <c r="P315" s="406" t="str">
        <f t="shared" si="78"/>
        <v>0</v>
      </c>
      <c r="Q315" s="286"/>
      <c r="R315" s="413" t="str">
        <f t="shared" si="65"/>
        <v/>
      </c>
      <c r="S315" s="419" t="str">
        <f t="shared" si="66"/>
        <v>:NAME</v>
      </c>
      <c r="T315" s="286"/>
      <c r="U315" s="287"/>
      <c r="V315" s="287"/>
      <c r="W315" s="287"/>
      <c r="X315" s="287"/>
      <c r="Y315" s="287"/>
      <c r="Z315" s="288"/>
      <c r="AA315" s="289">
        <f t="shared" si="68"/>
        <v>0</v>
      </c>
      <c r="AB315" s="290"/>
      <c r="AC315" s="291"/>
      <c r="AD315" s="292"/>
      <c r="AE315" s="293"/>
      <c r="AG315" s="295"/>
    </row>
    <row r="316" spans="1:33" s="294" customFormat="1" x14ac:dyDescent="0.25">
      <c r="A316" s="487"/>
      <c r="B316" s="490"/>
      <c r="C316" s="493"/>
      <c r="D316" s="390">
        <v>10</v>
      </c>
      <c r="E316" s="399">
        <v>314</v>
      </c>
      <c r="F316" s="474"/>
      <c r="G316" s="283"/>
      <c r="H316" s="283"/>
      <c r="I316" s="283"/>
      <c r="J316" s="283"/>
      <c r="K316" s="300"/>
      <c r="L316" s="484" t="str">
        <f t="shared" si="71"/>
        <v/>
      </c>
      <c r="M316" s="285"/>
      <c r="N316" s="402" t="str">
        <f t="shared" si="76"/>
        <v/>
      </c>
      <c r="O316" s="286">
        <f t="shared" si="77"/>
        <v>0</v>
      </c>
      <c r="P316" s="406" t="str">
        <f t="shared" si="78"/>
        <v>0</v>
      </c>
      <c r="Q316" s="286"/>
      <c r="R316" s="413" t="str">
        <f t="shared" si="65"/>
        <v/>
      </c>
      <c r="S316" s="419" t="str">
        <f t="shared" si="66"/>
        <v>:NAME</v>
      </c>
      <c r="T316" s="286"/>
      <c r="U316" s="287"/>
      <c r="V316" s="287"/>
      <c r="W316" s="287"/>
      <c r="X316" s="287"/>
      <c r="Y316" s="287"/>
      <c r="Z316" s="288"/>
      <c r="AA316" s="289">
        <f t="shared" si="68"/>
        <v>0</v>
      </c>
      <c r="AB316" s="290"/>
      <c r="AC316" s="291"/>
      <c r="AD316" s="292"/>
      <c r="AE316" s="293"/>
      <c r="AG316" s="295"/>
    </row>
    <row r="317" spans="1:33" s="294" customFormat="1" x14ac:dyDescent="0.25">
      <c r="A317" s="487"/>
      <c r="B317" s="490"/>
      <c r="C317" s="493"/>
      <c r="D317" s="390">
        <v>11</v>
      </c>
      <c r="E317" s="399">
        <v>315</v>
      </c>
      <c r="F317" s="474"/>
      <c r="G317" s="283"/>
      <c r="H317" s="283"/>
      <c r="I317" s="283"/>
      <c r="J317" s="283"/>
      <c r="K317" s="300"/>
      <c r="L317" s="484" t="str">
        <f t="shared" si="71"/>
        <v/>
      </c>
      <c r="M317" s="285"/>
      <c r="N317" s="402" t="str">
        <f t="shared" si="76"/>
        <v/>
      </c>
      <c r="O317" s="286">
        <f t="shared" si="77"/>
        <v>0</v>
      </c>
      <c r="P317" s="406" t="str">
        <f t="shared" si="78"/>
        <v>0</v>
      </c>
      <c r="Q317" s="286"/>
      <c r="R317" s="413" t="str">
        <f t="shared" si="65"/>
        <v/>
      </c>
      <c r="S317" s="419" t="str">
        <f t="shared" si="66"/>
        <v>:NAME</v>
      </c>
      <c r="T317" s="286"/>
      <c r="U317" s="287"/>
      <c r="V317" s="287"/>
      <c r="W317" s="287"/>
      <c r="X317" s="287"/>
      <c r="Y317" s="287"/>
      <c r="Z317" s="288"/>
      <c r="AA317" s="289">
        <f t="shared" si="68"/>
        <v>0</v>
      </c>
      <c r="AB317" s="290"/>
      <c r="AC317" s="291"/>
      <c r="AD317" s="292"/>
      <c r="AE317" s="293"/>
      <c r="AG317" s="295"/>
    </row>
    <row r="318" spans="1:33" s="294" customFormat="1" x14ac:dyDescent="0.25">
      <c r="A318" s="487"/>
      <c r="B318" s="490"/>
      <c r="C318" s="493"/>
      <c r="D318" s="390">
        <v>12</v>
      </c>
      <c r="E318" s="399">
        <v>316</v>
      </c>
      <c r="F318" s="474"/>
      <c r="G318" s="283"/>
      <c r="H318" s="283"/>
      <c r="I318" s="283"/>
      <c r="J318" s="283"/>
      <c r="K318" s="300"/>
      <c r="L318" s="484" t="str">
        <f t="shared" si="71"/>
        <v/>
      </c>
      <c r="M318" s="285"/>
      <c r="N318" s="402" t="str">
        <f t="shared" si="76"/>
        <v/>
      </c>
      <c r="O318" s="286">
        <f t="shared" si="77"/>
        <v>0</v>
      </c>
      <c r="P318" s="406" t="str">
        <f t="shared" si="78"/>
        <v>0</v>
      </c>
      <c r="Q318" s="286"/>
      <c r="R318" s="413" t="str">
        <f t="shared" si="65"/>
        <v/>
      </c>
      <c r="S318" s="419" t="str">
        <f t="shared" si="66"/>
        <v>:NAME</v>
      </c>
      <c r="T318" s="286"/>
      <c r="U318" s="287"/>
      <c r="V318" s="287"/>
      <c r="W318" s="287"/>
      <c r="X318" s="287"/>
      <c r="Y318" s="287"/>
      <c r="Z318" s="288"/>
      <c r="AA318" s="289">
        <f t="shared" si="68"/>
        <v>0</v>
      </c>
      <c r="AB318" s="290"/>
      <c r="AC318" s="291"/>
      <c r="AD318" s="292"/>
      <c r="AE318" s="293"/>
      <c r="AG318" s="295"/>
    </row>
    <row r="319" spans="1:33" s="294" customFormat="1" x14ac:dyDescent="0.25">
      <c r="A319" s="487"/>
      <c r="B319" s="490"/>
      <c r="C319" s="493"/>
      <c r="D319" s="390">
        <v>13</v>
      </c>
      <c r="E319" s="399">
        <v>317</v>
      </c>
      <c r="F319" s="474"/>
      <c r="G319" s="283"/>
      <c r="H319" s="283"/>
      <c r="I319" s="283"/>
      <c r="J319" s="283"/>
      <c r="K319" s="300"/>
      <c r="L319" s="484" t="str">
        <f t="shared" si="71"/>
        <v/>
      </c>
      <c r="M319" s="285"/>
      <c r="N319" s="402" t="str">
        <f t="shared" si="76"/>
        <v/>
      </c>
      <c r="O319" s="286">
        <f t="shared" si="77"/>
        <v>0</v>
      </c>
      <c r="P319" s="406" t="str">
        <f t="shared" si="78"/>
        <v>0</v>
      </c>
      <c r="Q319" s="286"/>
      <c r="R319" s="413" t="str">
        <f t="shared" si="65"/>
        <v/>
      </c>
      <c r="S319" s="419" t="str">
        <f t="shared" si="66"/>
        <v>:NAME</v>
      </c>
      <c r="T319" s="286"/>
      <c r="U319" s="287"/>
      <c r="V319" s="287"/>
      <c r="W319" s="287"/>
      <c r="X319" s="287"/>
      <c r="Y319" s="287"/>
      <c r="Z319" s="288"/>
      <c r="AA319" s="289">
        <f t="shared" si="68"/>
        <v>0</v>
      </c>
      <c r="AB319" s="290"/>
      <c r="AC319" s="291"/>
      <c r="AD319" s="292"/>
      <c r="AE319" s="293"/>
      <c r="AG319" s="295"/>
    </row>
    <row r="320" spans="1:33" s="294" customFormat="1" x14ac:dyDescent="0.25">
      <c r="A320" s="487"/>
      <c r="B320" s="490"/>
      <c r="C320" s="493"/>
      <c r="D320" s="390">
        <v>14</v>
      </c>
      <c r="E320" s="399">
        <v>318</v>
      </c>
      <c r="F320" s="474"/>
      <c r="G320" s="283"/>
      <c r="H320" s="283"/>
      <c r="I320" s="283"/>
      <c r="J320" s="283"/>
      <c r="K320" s="300"/>
      <c r="L320" s="484" t="str">
        <f t="shared" si="71"/>
        <v/>
      </c>
      <c r="M320" s="285"/>
      <c r="N320" s="402" t="str">
        <f t="shared" si="76"/>
        <v/>
      </c>
      <c r="O320" s="286">
        <f t="shared" si="77"/>
        <v>0</v>
      </c>
      <c r="P320" s="406" t="str">
        <f t="shared" si="78"/>
        <v>0</v>
      </c>
      <c r="Q320" s="286"/>
      <c r="R320" s="413" t="str">
        <f t="shared" si="65"/>
        <v/>
      </c>
      <c r="S320" s="419" t="str">
        <f t="shared" si="66"/>
        <v>:NAME</v>
      </c>
      <c r="T320" s="286"/>
      <c r="U320" s="287"/>
      <c r="V320" s="287"/>
      <c r="W320" s="287"/>
      <c r="X320" s="287"/>
      <c r="Y320" s="287"/>
      <c r="Z320" s="288"/>
      <c r="AA320" s="289">
        <f t="shared" si="68"/>
        <v>0</v>
      </c>
      <c r="AB320" s="290"/>
      <c r="AC320" s="291"/>
      <c r="AD320" s="292"/>
      <c r="AE320" s="293"/>
      <c r="AG320" s="295"/>
    </row>
    <row r="321" spans="1:33" s="294" customFormat="1" ht="15.75" thickBot="1" x14ac:dyDescent="0.3">
      <c r="A321" s="488"/>
      <c r="B321" s="491"/>
      <c r="C321" s="494"/>
      <c r="D321" s="390">
        <v>15</v>
      </c>
      <c r="E321" s="399">
        <v>319</v>
      </c>
      <c r="F321" s="474"/>
      <c r="G321" s="283"/>
      <c r="H321" s="283"/>
      <c r="I321" s="283"/>
      <c r="J321" s="282"/>
      <c r="K321" s="300"/>
      <c r="L321" s="484" t="str">
        <f t="shared" si="71"/>
        <v/>
      </c>
      <c r="M321" s="285"/>
      <c r="N321" s="402" t="str">
        <f t="shared" si="76"/>
        <v/>
      </c>
      <c r="O321" s="286">
        <f t="shared" si="77"/>
        <v>0</v>
      </c>
      <c r="P321" s="406" t="str">
        <f t="shared" si="78"/>
        <v>0</v>
      </c>
      <c r="Q321" s="286"/>
      <c r="R321" s="413" t="str">
        <f t="shared" si="65"/>
        <v/>
      </c>
      <c r="S321" s="419" t="str">
        <f t="shared" si="66"/>
        <v>:NAME</v>
      </c>
      <c r="T321" s="286"/>
      <c r="U321" s="287"/>
      <c r="V321" s="287"/>
      <c r="W321" s="287"/>
      <c r="X321" s="287"/>
      <c r="Y321" s="287"/>
      <c r="Z321" s="288"/>
      <c r="AA321" s="289">
        <f t="shared" si="68"/>
        <v>0</v>
      </c>
      <c r="AB321" s="290"/>
      <c r="AC321" s="291"/>
      <c r="AD321" s="292"/>
      <c r="AE321" s="293"/>
      <c r="AG321" s="295"/>
    </row>
    <row r="322" spans="1:33" s="279" customFormat="1" ht="14.45" customHeight="1" x14ac:dyDescent="0.25">
      <c r="A322" s="486" t="s">
        <v>44</v>
      </c>
      <c r="B322" s="489" t="str">
        <f>LOOKUP(A322,Module,IO)</f>
        <v>.</v>
      </c>
      <c r="C322" s="492" t="s">
        <v>28</v>
      </c>
      <c r="D322" s="389" t="s">
        <v>160</v>
      </c>
      <c r="E322" s="398">
        <v>320</v>
      </c>
      <c r="F322" s="476"/>
      <c r="G322" s="267"/>
      <c r="H322" s="267"/>
      <c r="I322" s="267"/>
      <c r="J322" s="267"/>
      <c r="K322" s="269"/>
      <c r="L322" s="483" t="str">
        <f t="shared" si="71"/>
        <v/>
      </c>
      <c r="M322" s="270"/>
      <c r="N322" s="401" t="str">
        <f t="shared" ref="N322:N337" si="79">IF(F322&lt;&gt;"",IF($H$1&lt;&gt;"","IO"&amp;".","IO.")&amp;$C$322&amp;"."&amp;$B$322&amp;D322,"")</f>
        <v/>
      </c>
      <c r="O322" s="271">
        <f t="shared" ref="O322:O337" si="80">LOOKUP($A$322,Module,Type)</f>
        <v>0</v>
      </c>
      <c r="P322" s="405" t="str">
        <f>O322&amp;N322</f>
        <v>0</v>
      </c>
      <c r="Q322" s="271"/>
      <c r="R322" s="412" t="str">
        <f t="shared" ref="R322:R385" si="81">IF(G322&lt;&gt;"",G322&amp;"."&amp;H322&amp;"."&amp;I322&amp;"."&amp;J322&amp;IF(K322&lt;&gt;"","."&amp;K322,""),"")</f>
        <v/>
      </c>
      <c r="S322" s="418" t="str">
        <f t="shared" ref="S322:S385" si="82">L322&amp;":NAME"</f>
        <v>:NAME</v>
      </c>
      <c r="T322" s="271"/>
      <c r="U322" s="272"/>
      <c r="V322" s="272"/>
      <c r="W322" s="272"/>
      <c r="X322" s="272"/>
      <c r="Y322" s="297"/>
      <c r="Z322" s="273"/>
      <c r="AA322" s="274">
        <f t="shared" si="68"/>
        <v>0</v>
      </c>
      <c r="AB322" s="275"/>
      <c r="AC322" s="276"/>
      <c r="AD322" s="277"/>
      <c r="AE322" s="278"/>
      <c r="AG322" s="280"/>
    </row>
    <row r="323" spans="1:33" s="294" customFormat="1" x14ac:dyDescent="0.25">
      <c r="A323" s="487"/>
      <c r="B323" s="490"/>
      <c r="C323" s="493"/>
      <c r="D323" s="390">
        <v>1</v>
      </c>
      <c r="E323" s="399">
        <v>321</v>
      </c>
      <c r="F323" s="474"/>
      <c r="G323" s="282"/>
      <c r="H323" s="282"/>
      <c r="I323" s="282"/>
      <c r="J323" s="283"/>
      <c r="K323" s="284"/>
      <c r="L323" s="484" t="str">
        <f t="shared" si="71"/>
        <v/>
      </c>
      <c r="M323" s="285"/>
      <c r="N323" s="402" t="str">
        <f t="shared" si="79"/>
        <v/>
      </c>
      <c r="O323" s="286">
        <f t="shared" si="80"/>
        <v>0</v>
      </c>
      <c r="P323" s="406" t="str">
        <f t="shared" ref="P323:P337" si="83">O323&amp;N323</f>
        <v>0</v>
      </c>
      <c r="Q323" s="286"/>
      <c r="R323" s="413" t="str">
        <f t="shared" si="81"/>
        <v/>
      </c>
      <c r="S323" s="419" t="str">
        <f t="shared" si="82"/>
        <v>:NAME</v>
      </c>
      <c r="T323" s="286"/>
      <c r="U323" s="287"/>
      <c r="V323" s="287"/>
      <c r="W323" s="287"/>
      <c r="X323" s="287"/>
      <c r="Y323" s="298"/>
      <c r="Z323" s="288"/>
      <c r="AA323" s="289">
        <f t="shared" ref="AA323:AA386" si="84">LEN(L323)</f>
        <v>0</v>
      </c>
      <c r="AB323" s="290"/>
      <c r="AC323" s="291"/>
      <c r="AD323" s="292"/>
      <c r="AE323" s="293"/>
      <c r="AG323" s="295"/>
    </row>
    <row r="324" spans="1:33" s="294" customFormat="1" x14ac:dyDescent="0.25">
      <c r="A324" s="487"/>
      <c r="B324" s="490"/>
      <c r="C324" s="493"/>
      <c r="D324" s="390">
        <v>2</v>
      </c>
      <c r="E324" s="399">
        <v>322</v>
      </c>
      <c r="F324" s="474"/>
      <c r="G324" s="282"/>
      <c r="H324" s="282"/>
      <c r="I324" s="282"/>
      <c r="J324" s="283"/>
      <c r="K324" s="284"/>
      <c r="L324" s="484" t="str">
        <f t="shared" si="71"/>
        <v/>
      </c>
      <c r="M324" s="285"/>
      <c r="N324" s="402" t="str">
        <f t="shared" si="79"/>
        <v/>
      </c>
      <c r="O324" s="286">
        <f t="shared" si="80"/>
        <v>0</v>
      </c>
      <c r="P324" s="406" t="str">
        <f t="shared" si="83"/>
        <v>0</v>
      </c>
      <c r="Q324" s="286"/>
      <c r="R324" s="413" t="str">
        <f t="shared" si="81"/>
        <v/>
      </c>
      <c r="S324" s="419" t="str">
        <f t="shared" si="82"/>
        <v>:NAME</v>
      </c>
      <c r="T324" s="286"/>
      <c r="U324" s="287"/>
      <c r="V324" s="287"/>
      <c r="W324" s="287"/>
      <c r="X324" s="287"/>
      <c r="Y324" s="298"/>
      <c r="Z324" s="288"/>
      <c r="AA324" s="289">
        <f t="shared" si="84"/>
        <v>0</v>
      </c>
      <c r="AB324" s="290"/>
      <c r="AC324" s="291"/>
      <c r="AD324" s="292"/>
      <c r="AE324" s="293"/>
      <c r="AG324" s="295"/>
    </row>
    <row r="325" spans="1:33" s="294" customFormat="1" x14ac:dyDescent="0.25">
      <c r="A325" s="487"/>
      <c r="B325" s="490"/>
      <c r="C325" s="493"/>
      <c r="D325" s="390">
        <v>3</v>
      </c>
      <c r="E325" s="399">
        <v>323</v>
      </c>
      <c r="F325" s="474"/>
      <c r="G325" s="282"/>
      <c r="H325" s="282"/>
      <c r="I325" s="282"/>
      <c r="J325" s="283"/>
      <c r="K325" s="284"/>
      <c r="L325" s="484" t="str">
        <f t="shared" si="71"/>
        <v/>
      </c>
      <c r="M325" s="285"/>
      <c r="N325" s="402" t="str">
        <f t="shared" si="79"/>
        <v/>
      </c>
      <c r="O325" s="286">
        <f t="shared" si="80"/>
        <v>0</v>
      </c>
      <c r="P325" s="406" t="str">
        <f t="shared" si="83"/>
        <v>0</v>
      </c>
      <c r="Q325" s="286"/>
      <c r="R325" s="413" t="str">
        <f t="shared" si="81"/>
        <v/>
      </c>
      <c r="S325" s="419" t="str">
        <f t="shared" si="82"/>
        <v>:NAME</v>
      </c>
      <c r="T325" s="286"/>
      <c r="U325" s="287"/>
      <c r="V325" s="287"/>
      <c r="W325" s="287"/>
      <c r="X325" s="287"/>
      <c r="Y325" s="298"/>
      <c r="Z325" s="288"/>
      <c r="AA325" s="289">
        <f t="shared" si="84"/>
        <v>0</v>
      </c>
      <c r="AB325" s="290"/>
      <c r="AC325" s="291"/>
      <c r="AD325" s="292"/>
      <c r="AE325" s="293"/>
      <c r="AG325" s="295"/>
    </row>
    <row r="326" spans="1:33" s="294" customFormat="1" x14ac:dyDescent="0.25">
      <c r="A326" s="487"/>
      <c r="B326" s="490"/>
      <c r="C326" s="493"/>
      <c r="D326" s="390">
        <v>4</v>
      </c>
      <c r="E326" s="399">
        <v>324</v>
      </c>
      <c r="F326" s="474"/>
      <c r="G326" s="282"/>
      <c r="H326" s="282"/>
      <c r="I326" s="282"/>
      <c r="J326" s="283"/>
      <c r="K326" s="284"/>
      <c r="L326" s="484" t="str">
        <f t="shared" si="71"/>
        <v/>
      </c>
      <c r="M326" s="285"/>
      <c r="N326" s="402" t="str">
        <f t="shared" si="79"/>
        <v/>
      </c>
      <c r="O326" s="286">
        <f t="shared" si="80"/>
        <v>0</v>
      </c>
      <c r="P326" s="406" t="str">
        <f t="shared" si="83"/>
        <v>0</v>
      </c>
      <c r="Q326" s="286"/>
      <c r="R326" s="413" t="str">
        <f t="shared" si="81"/>
        <v/>
      </c>
      <c r="S326" s="419" t="str">
        <f t="shared" si="82"/>
        <v>:NAME</v>
      </c>
      <c r="T326" s="286"/>
      <c r="U326" s="287"/>
      <c r="V326" s="287"/>
      <c r="W326" s="287"/>
      <c r="X326" s="287"/>
      <c r="Y326" s="287"/>
      <c r="Z326" s="288"/>
      <c r="AA326" s="289">
        <f t="shared" si="84"/>
        <v>0</v>
      </c>
      <c r="AB326" s="290"/>
      <c r="AC326" s="291"/>
      <c r="AD326" s="292"/>
      <c r="AE326" s="293"/>
      <c r="AG326" s="295"/>
    </row>
    <row r="327" spans="1:33" s="294" customFormat="1" x14ac:dyDescent="0.25">
      <c r="A327" s="487"/>
      <c r="B327" s="490"/>
      <c r="C327" s="493"/>
      <c r="D327" s="390">
        <v>5</v>
      </c>
      <c r="E327" s="399">
        <v>325</v>
      </c>
      <c r="F327" s="474"/>
      <c r="G327" s="282"/>
      <c r="H327" s="282"/>
      <c r="I327" s="282"/>
      <c r="J327" s="283"/>
      <c r="K327" s="284"/>
      <c r="L327" s="484" t="str">
        <f t="shared" si="71"/>
        <v/>
      </c>
      <c r="M327" s="285"/>
      <c r="N327" s="402" t="str">
        <f t="shared" si="79"/>
        <v/>
      </c>
      <c r="O327" s="286">
        <f t="shared" si="80"/>
        <v>0</v>
      </c>
      <c r="P327" s="406" t="str">
        <f t="shared" si="83"/>
        <v>0</v>
      </c>
      <c r="Q327" s="286"/>
      <c r="R327" s="413" t="str">
        <f t="shared" si="81"/>
        <v/>
      </c>
      <c r="S327" s="419" t="str">
        <f t="shared" si="82"/>
        <v>:NAME</v>
      </c>
      <c r="T327" s="286"/>
      <c r="U327" s="287"/>
      <c r="V327" s="287"/>
      <c r="W327" s="287"/>
      <c r="X327" s="287"/>
      <c r="Y327" s="287"/>
      <c r="Z327" s="288"/>
      <c r="AA327" s="289">
        <f t="shared" si="84"/>
        <v>0</v>
      </c>
      <c r="AB327" s="290"/>
      <c r="AC327" s="291"/>
      <c r="AD327" s="292"/>
      <c r="AE327" s="293"/>
      <c r="AG327" s="295"/>
    </row>
    <row r="328" spans="1:33" s="294" customFormat="1" x14ac:dyDescent="0.25">
      <c r="A328" s="487"/>
      <c r="B328" s="490"/>
      <c r="C328" s="493"/>
      <c r="D328" s="390">
        <v>6</v>
      </c>
      <c r="E328" s="399">
        <v>326</v>
      </c>
      <c r="F328" s="474"/>
      <c r="G328" s="282"/>
      <c r="H328" s="282"/>
      <c r="I328" s="282"/>
      <c r="J328" s="283"/>
      <c r="K328" s="284"/>
      <c r="L328" s="484" t="str">
        <f t="shared" si="71"/>
        <v/>
      </c>
      <c r="M328" s="285"/>
      <c r="N328" s="402" t="str">
        <f t="shared" si="79"/>
        <v/>
      </c>
      <c r="O328" s="286">
        <f t="shared" si="80"/>
        <v>0</v>
      </c>
      <c r="P328" s="406" t="str">
        <f t="shared" si="83"/>
        <v>0</v>
      </c>
      <c r="Q328" s="286"/>
      <c r="R328" s="413" t="str">
        <f t="shared" si="81"/>
        <v/>
      </c>
      <c r="S328" s="419" t="str">
        <f t="shared" si="82"/>
        <v>:NAME</v>
      </c>
      <c r="T328" s="286"/>
      <c r="U328" s="287"/>
      <c r="V328" s="287"/>
      <c r="W328" s="287"/>
      <c r="X328" s="287"/>
      <c r="Y328" s="287"/>
      <c r="Z328" s="288"/>
      <c r="AA328" s="289">
        <f t="shared" si="84"/>
        <v>0</v>
      </c>
      <c r="AB328" s="290"/>
      <c r="AC328" s="291"/>
      <c r="AD328" s="292"/>
      <c r="AE328" s="293"/>
      <c r="AG328" s="295"/>
    </row>
    <row r="329" spans="1:33" s="294" customFormat="1" x14ac:dyDescent="0.25">
      <c r="A329" s="487"/>
      <c r="B329" s="490"/>
      <c r="C329" s="493"/>
      <c r="D329" s="390">
        <v>7</v>
      </c>
      <c r="E329" s="399">
        <v>327</v>
      </c>
      <c r="F329" s="474"/>
      <c r="G329" s="282"/>
      <c r="H329" s="282"/>
      <c r="I329" s="282"/>
      <c r="J329" s="283"/>
      <c r="K329" s="284"/>
      <c r="L329" s="484" t="str">
        <f t="shared" si="71"/>
        <v/>
      </c>
      <c r="M329" s="285"/>
      <c r="N329" s="402" t="str">
        <f t="shared" si="79"/>
        <v/>
      </c>
      <c r="O329" s="286">
        <f t="shared" si="80"/>
        <v>0</v>
      </c>
      <c r="P329" s="406" t="str">
        <f t="shared" si="83"/>
        <v>0</v>
      </c>
      <c r="Q329" s="286"/>
      <c r="R329" s="413" t="str">
        <f t="shared" si="81"/>
        <v/>
      </c>
      <c r="S329" s="419" t="str">
        <f t="shared" si="82"/>
        <v>:NAME</v>
      </c>
      <c r="T329" s="286"/>
      <c r="U329" s="287"/>
      <c r="V329" s="287"/>
      <c r="W329" s="287"/>
      <c r="X329" s="287"/>
      <c r="Y329" s="287"/>
      <c r="Z329" s="288"/>
      <c r="AA329" s="289">
        <f t="shared" si="84"/>
        <v>0</v>
      </c>
      <c r="AB329" s="290"/>
      <c r="AC329" s="291"/>
      <c r="AD329" s="292"/>
      <c r="AE329" s="293"/>
      <c r="AG329" s="295"/>
    </row>
    <row r="330" spans="1:33" s="294" customFormat="1" x14ac:dyDescent="0.25">
      <c r="A330" s="487"/>
      <c r="B330" s="490"/>
      <c r="C330" s="493"/>
      <c r="D330" s="390">
        <v>8</v>
      </c>
      <c r="E330" s="399">
        <v>328</v>
      </c>
      <c r="F330" s="474"/>
      <c r="G330" s="282"/>
      <c r="H330" s="282"/>
      <c r="I330" s="282"/>
      <c r="J330" s="283"/>
      <c r="K330" s="284"/>
      <c r="L330" s="484" t="str">
        <f t="shared" si="71"/>
        <v/>
      </c>
      <c r="M330" s="285"/>
      <c r="N330" s="402" t="str">
        <f t="shared" si="79"/>
        <v/>
      </c>
      <c r="O330" s="286">
        <f t="shared" si="80"/>
        <v>0</v>
      </c>
      <c r="P330" s="406" t="str">
        <f t="shared" si="83"/>
        <v>0</v>
      </c>
      <c r="Q330" s="286"/>
      <c r="R330" s="413" t="str">
        <f t="shared" si="81"/>
        <v/>
      </c>
      <c r="S330" s="419" t="str">
        <f t="shared" si="82"/>
        <v>:NAME</v>
      </c>
      <c r="T330" s="286"/>
      <c r="U330" s="287"/>
      <c r="V330" s="287"/>
      <c r="W330" s="287"/>
      <c r="X330" s="287"/>
      <c r="Y330" s="287"/>
      <c r="Z330" s="288"/>
      <c r="AA330" s="289">
        <f t="shared" si="84"/>
        <v>0</v>
      </c>
      <c r="AB330" s="290"/>
      <c r="AC330" s="291"/>
      <c r="AD330" s="292"/>
      <c r="AE330" s="293"/>
      <c r="AG330" s="295"/>
    </row>
    <row r="331" spans="1:33" s="294" customFormat="1" x14ac:dyDescent="0.25">
      <c r="A331" s="487"/>
      <c r="B331" s="490"/>
      <c r="C331" s="493"/>
      <c r="D331" s="390">
        <v>9</v>
      </c>
      <c r="E331" s="399">
        <v>329</v>
      </c>
      <c r="F331" s="474"/>
      <c r="G331" s="282"/>
      <c r="H331" s="282"/>
      <c r="I331" s="282"/>
      <c r="J331" s="283"/>
      <c r="K331" s="284"/>
      <c r="L331" s="484" t="str">
        <f t="shared" si="71"/>
        <v/>
      </c>
      <c r="M331" s="285"/>
      <c r="N331" s="402" t="str">
        <f t="shared" si="79"/>
        <v/>
      </c>
      <c r="O331" s="286">
        <f t="shared" si="80"/>
        <v>0</v>
      </c>
      <c r="P331" s="406" t="str">
        <f t="shared" si="83"/>
        <v>0</v>
      </c>
      <c r="Q331" s="286"/>
      <c r="R331" s="413" t="str">
        <f t="shared" si="81"/>
        <v/>
      </c>
      <c r="S331" s="419" t="str">
        <f t="shared" si="82"/>
        <v>:NAME</v>
      </c>
      <c r="T331" s="286"/>
      <c r="U331" s="287"/>
      <c r="V331" s="287"/>
      <c r="W331" s="287"/>
      <c r="X331" s="287"/>
      <c r="Y331" s="287"/>
      <c r="Z331" s="288"/>
      <c r="AA331" s="289">
        <f t="shared" si="84"/>
        <v>0</v>
      </c>
      <c r="AB331" s="290"/>
      <c r="AC331" s="291"/>
      <c r="AD331" s="292"/>
      <c r="AE331" s="293"/>
      <c r="AG331" s="295"/>
    </row>
    <row r="332" spans="1:33" s="294" customFormat="1" x14ac:dyDescent="0.25">
      <c r="A332" s="487"/>
      <c r="B332" s="490"/>
      <c r="C332" s="493"/>
      <c r="D332" s="390">
        <v>10</v>
      </c>
      <c r="E332" s="399">
        <v>330</v>
      </c>
      <c r="F332" s="474"/>
      <c r="G332" s="282"/>
      <c r="H332" s="282"/>
      <c r="I332" s="282"/>
      <c r="J332" s="283"/>
      <c r="K332" s="284"/>
      <c r="L332" s="484" t="str">
        <f t="shared" si="71"/>
        <v/>
      </c>
      <c r="M332" s="285"/>
      <c r="N332" s="402" t="str">
        <f t="shared" si="79"/>
        <v/>
      </c>
      <c r="O332" s="286">
        <f t="shared" si="80"/>
        <v>0</v>
      </c>
      <c r="P332" s="406" t="str">
        <f t="shared" si="83"/>
        <v>0</v>
      </c>
      <c r="Q332" s="286"/>
      <c r="R332" s="413" t="str">
        <f t="shared" si="81"/>
        <v/>
      </c>
      <c r="S332" s="419" t="str">
        <f t="shared" si="82"/>
        <v>:NAME</v>
      </c>
      <c r="T332" s="286"/>
      <c r="U332" s="287"/>
      <c r="V332" s="287"/>
      <c r="W332" s="287"/>
      <c r="X332" s="287"/>
      <c r="Y332" s="287"/>
      <c r="Z332" s="288"/>
      <c r="AA332" s="289">
        <f t="shared" si="84"/>
        <v>0</v>
      </c>
      <c r="AB332" s="290"/>
      <c r="AC332" s="291"/>
      <c r="AD332" s="292"/>
      <c r="AE332" s="293"/>
      <c r="AG332" s="295"/>
    </row>
    <row r="333" spans="1:33" s="294" customFormat="1" x14ac:dyDescent="0.25">
      <c r="A333" s="487"/>
      <c r="B333" s="490"/>
      <c r="C333" s="493"/>
      <c r="D333" s="390">
        <v>11</v>
      </c>
      <c r="E333" s="399">
        <v>331</v>
      </c>
      <c r="F333" s="474"/>
      <c r="G333" s="282"/>
      <c r="H333" s="282"/>
      <c r="I333" s="282"/>
      <c r="J333" s="283"/>
      <c r="K333" s="284"/>
      <c r="L333" s="484" t="str">
        <f t="shared" si="71"/>
        <v/>
      </c>
      <c r="M333" s="285"/>
      <c r="N333" s="402" t="str">
        <f t="shared" si="79"/>
        <v/>
      </c>
      <c r="O333" s="286">
        <f t="shared" si="80"/>
        <v>0</v>
      </c>
      <c r="P333" s="406" t="str">
        <f t="shared" si="83"/>
        <v>0</v>
      </c>
      <c r="Q333" s="286"/>
      <c r="R333" s="413" t="str">
        <f t="shared" si="81"/>
        <v/>
      </c>
      <c r="S333" s="419" t="str">
        <f t="shared" si="82"/>
        <v>:NAME</v>
      </c>
      <c r="T333" s="286"/>
      <c r="U333" s="287"/>
      <c r="V333" s="287"/>
      <c r="W333" s="287"/>
      <c r="X333" s="287"/>
      <c r="Y333" s="287"/>
      <c r="Z333" s="288"/>
      <c r="AA333" s="289">
        <f t="shared" si="84"/>
        <v>0</v>
      </c>
      <c r="AB333" s="290"/>
      <c r="AC333" s="291"/>
      <c r="AD333" s="292"/>
      <c r="AE333" s="293"/>
      <c r="AG333" s="295"/>
    </row>
    <row r="334" spans="1:33" s="294" customFormat="1" x14ac:dyDescent="0.25">
      <c r="A334" s="487"/>
      <c r="B334" s="490"/>
      <c r="C334" s="493"/>
      <c r="D334" s="390">
        <v>12</v>
      </c>
      <c r="E334" s="399">
        <v>332</v>
      </c>
      <c r="F334" s="474"/>
      <c r="G334" s="282"/>
      <c r="H334" s="282"/>
      <c r="I334" s="282"/>
      <c r="J334" s="283"/>
      <c r="K334" s="284"/>
      <c r="L334" s="484" t="str">
        <f t="shared" si="71"/>
        <v/>
      </c>
      <c r="M334" s="285"/>
      <c r="N334" s="402" t="str">
        <f t="shared" si="79"/>
        <v/>
      </c>
      <c r="O334" s="286">
        <f t="shared" si="80"/>
        <v>0</v>
      </c>
      <c r="P334" s="406" t="str">
        <f t="shared" si="83"/>
        <v>0</v>
      </c>
      <c r="Q334" s="286"/>
      <c r="R334" s="413" t="str">
        <f t="shared" si="81"/>
        <v/>
      </c>
      <c r="S334" s="419" t="str">
        <f t="shared" si="82"/>
        <v>:NAME</v>
      </c>
      <c r="T334" s="286"/>
      <c r="U334" s="287"/>
      <c r="V334" s="287"/>
      <c r="W334" s="287"/>
      <c r="X334" s="287"/>
      <c r="Y334" s="287"/>
      <c r="Z334" s="288"/>
      <c r="AA334" s="289">
        <f t="shared" si="84"/>
        <v>0</v>
      </c>
      <c r="AB334" s="290"/>
      <c r="AC334" s="291"/>
      <c r="AD334" s="292"/>
      <c r="AE334" s="293"/>
      <c r="AG334" s="295"/>
    </row>
    <row r="335" spans="1:33" s="294" customFormat="1" x14ac:dyDescent="0.25">
      <c r="A335" s="487"/>
      <c r="B335" s="490"/>
      <c r="C335" s="493"/>
      <c r="D335" s="390">
        <v>13</v>
      </c>
      <c r="E335" s="399">
        <v>333</v>
      </c>
      <c r="F335" s="474"/>
      <c r="G335" s="282"/>
      <c r="H335" s="282"/>
      <c r="I335" s="282"/>
      <c r="J335" s="283"/>
      <c r="K335" s="284"/>
      <c r="L335" s="484" t="str">
        <f t="shared" si="71"/>
        <v/>
      </c>
      <c r="M335" s="285"/>
      <c r="N335" s="402" t="str">
        <f t="shared" si="79"/>
        <v/>
      </c>
      <c r="O335" s="286">
        <f t="shared" si="80"/>
        <v>0</v>
      </c>
      <c r="P335" s="406" t="str">
        <f t="shared" si="83"/>
        <v>0</v>
      </c>
      <c r="Q335" s="286"/>
      <c r="R335" s="413" t="str">
        <f t="shared" si="81"/>
        <v/>
      </c>
      <c r="S335" s="419" t="str">
        <f t="shared" si="82"/>
        <v>:NAME</v>
      </c>
      <c r="T335" s="286"/>
      <c r="U335" s="287"/>
      <c r="V335" s="287"/>
      <c r="W335" s="287"/>
      <c r="X335" s="287"/>
      <c r="Y335" s="287"/>
      <c r="Z335" s="288"/>
      <c r="AA335" s="289">
        <f t="shared" si="84"/>
        <v>0</v>
      </c>
      <c r="AB335" s="290"/>
      <c r="AC335" s="291"/>
      <c r="AD335" s="292"/>
      <c r="AE335" s="293"/>
      <c r="AG335" s="295"/>
    </row>
    <row r="336" spans="1:33" s="294" customFormat="1" x14ac:dyDescent="0.25">
      <c r="A336" s="487"/>
      <c r="B336" s="490"/>
      <c r="C336" s="493"/>
      <c r="D336" s="390">
        <v>14</v>
      </c>
      <c r="E336" s="399">
        <v>334</v>
      </c>
      <c r="F336" s="474"/>
      <c r="G336" s="282"/>
      <c r="H336" s="282"/>
      <c r="I336" s="282"/>
      <c r="J336" s="283"/>
      <c r="K336" s="284"/>
      <c r="L336" s="484" t="str">
        <f t="shared" si="71"/>
        <v/>
      </c>
      <c r="M336" s="285"/>
      <c r="N336" s="402" t="str">
        <f t="shared" si="79"/>
        <v/>
      </c>
      <c r="O336" s="286">
        <f t="shared" si="80"/>
        <v>0</v>
      </c>
      <c r="P336" s="406" t="str">
        <f t="shared" si="83"/>
        <v>0</v>
      </c>
      <c r="Q336" s="286"/>
      <c r="R336" s="413" t="str">
        <f t="shared" si="81"/>
        <v/>
      </c>
      <c r="S336" s="419" t="str">
        <f t="shared" si="82"/>
        <v>:NAME</v>
      </c>
      <c r="T336" s="286"/>
      <c r="U336" s="287"/>
      <c r="V336" s="287"/>
      <c r="W336" s="287"/>
      <c r="X336" s="287"/>
      <c r="Y336" s="287"/>
      <c r="Z336" s="288"/>
      <c r="AA336" s="289">
        <f t="shared" si="84"/>
        <v>0</v>
      </c>
      <c r="AB336" s="290"/>
      <c r="AC336" s="291"/>
      <c r="AD336" s="292"/>
      <c r="AE336" s="293"/>
      <c r="AG336" s="295"/>
    </row>
    <row r="337" spans="1:33" s="294" customFormat="1" ht="15.75" thickBot="1" x14ac:dyDescent="0.3">
      <c r="A337" s="488"/>
      <c r="B337" s="491"/>
      <c r="C337" s="494"/>
      <c r="D337" s="390">
        <v>15</v>
      </c>
      <c r="E337" s="399">
        <v>335</v>
      </c>
      <c r="F337" s="474"/>
      <c r="G337" s="282"/>
      <c r="H337" s="282"/>
      <c r="I337" s="282"/>
      <c r="J337" s="282"/>
      <c r="K337" s="284"/>
      <c r="L337" s="484" t="str">
        <f t="shared" si="71"/>
        <v/>
      </c>
      <c r="M337" s="285"/>
      <c r="N337" s="402" t="str">
        <f t="shared" si="79"/>
        <v/>
      </c>
      <c r="O337" s="286">
        <f t="shared" si="80"/>
        <v>0</v>
      </c>
      <c r="P337" s="406" t="str">
        <f t="shared" si="83"/>
        <v>0</v>
      </c>
      <c r="Q337" s="286"/>
      <c r="R337" s="413" t="str">
        <f t="shared" si="81"/>
        <v/>
      </c>
      <c r="S337" s="419" t="str">
        <f t="shared" si="82"/>
        <v>:NAME</v>
      </c>
      <c r="T337" s="286"/>
      <c r="U337" s="287"/>
      <c r="V337" s="287"/>
      <c r="W337" s="287"/>
      <c r="X337" s="287"/>
      <c r="Y337" s="287"/>
      <c r="Z337" s="288"/>
      <c r="AA337" s="289">
        <f t="shared" si="84"/>
        <v>0</v>
      </c>
      <c r="AB337" s="290"/>
      <c r="AC337" s="291"/>
      <c r="AD337" s="292"/>
      <c r="AE337" s="293"/>
      <c r="AG337" s="295"/>
    </row>
    <row r="338" spans="1:33" s="279" customFormat="1" ht="14.45" customHeight="1" x14ac:dyDescent="0.25">
      <c r="A338" s="486" t="s">
        <v>44</v>
      </c>
      <c r="B338" s="489" t="str">
        <f>LOOKUP(A338,Module,IO)</f>
        <v>.</v>
      </c>
      <c r="C338" s="492" t="s">
        <v>29</v>
      </c>
      <c r="D338" s="389" t="s">
        <v>160</v>
      </c>
      <c r="E338" s="398">
        <v>336</v>
      </c>
      <c r="F338" s="476"/>
      <c r="G338" s="267"/>
      <c r="H338" s="267"/>
      <c r="I338" s="267"/>
      <c r="J338" s="267"/>
      <c r="K338" s="269"/>
      <c r="L338" s="483" t="str">
        <f t="shared" si="71"/>
        <v/>
      </c>
      <c r="M338" s="270"/>
      <c r="N338" s="401" t="str">
        <f t="shared" ref="N338:N353" si="85">IF(F338&lt;&gt;"",IF($H$1&lt;&gt;"","IO"&amp;".","IO.")&amp;$C$338&amp;"."&amp;$B$338&amp;D338,"")</f>
        <v/>
      </c>
      <c r="O338" s="271">
        <f t="shared" ref="O338:O353" si="86">LOOKUP($A$338,Module,Type)</f>
        <v>0</v>
      </c>
      <c r="P338" s="405" t="str">
        <f>O338&amp;N338</f>
        <v>0</v>
      </c>
      <c r="Q338" s="271"/>
      <c r="R338" s="412" t="str">
        <f t="shared" si="81"/>
        <v/>
      </c>
      <c r="S338" s="418" t="str">
        <f t="shared" si="82"/>
        <v>:NAME</v>
      </c>
      <c r="T338" s="271"/>
      <c r="U338" s="272"/>
      <c r="V338" s="272"/>
      <c r="W338" s="272"/>
      <c r="X338" s="272"/>
      <c r="Y338" s="297"/>
      <c r="Z338" s="273"/>
      <c r="AA338" s="274">
        <f t="shared" si="84"/>
        <v>0</v>
      </c>
      <c r="AB338" s="275"/>
      <c r="AC338" s="276"/>
      <c r="AD338" s="277"/>
      <c r="AE338" s="278"/>
      <c r="AG338" s="280"/>
    </row>
    <row r="339" spans="1:33" s="294" customFormat="1" x14ac:dyDescent="0.25">
      <c r="A339" s="487"/>
      <c r="B339" s="490"/>
      <c r="C339" s="493"/>
      <c r="D339" s="390">
        <v>1</v>
      </c>
      <c r="E339" s="399">
        <v>337</v>
      </c>
      <c r="F339" s="474"/>
      <c r="G339" s="282"/>
      <c r="H339" s="282"/>
      <c r="I339" s="282"/>
      <c r="J339" s="282"/>
      <c r="K339" s="284"/>
      <c r="L339" s="484" t="str">
        <f t="shared" ref="L339:L402" si="87">IF(G339&lt;&gt;"",$G$1&amp;":"&amp;G339&amp;":"&amp;H339&amp;":"&amp;I339&amp;":"&amp;(IF(K339&lt;&gt;"",J339&amp;":"&amp;K339,J339)),"")</f>
        <v/>
      </c>
      <c r="M339" s="285"/>
      <c r="N339" s="402" t="str">
        <f t="shared" si="85"/>
        <v/>
      </c>
      <c r="O339" s="286">
        <f t="shared" si="86"/>
        <v>0</v>
      </c>
      <c r="P339" s="406" t="str">
        <f t="shared" ref="P339:P353" si="88">O339&amp;N339</f>
        <v>0</v>
      </c>
      <c r="Q339" s="286"/>
      <c r="R339" s="413" t="str">
        <f t="shared" si="81"/>
        <v/>
      </c>
      <c r="S339" s="419" t="str">
        <f t="shared" si="82"/>
        <v>:NAME</v>
      </c>
      <c r="T339" s="286"/>
      <c r="U339" s="287"/>
      <c r="V339" s="287"/>
      <c r="W339" s="287"/>
      <c r="X339" s="287"/>
      <c r="Y339" s="298"/>
      <c r="Z339" s="288"/>
      <c r="AA339" s="289">
        <f t="shared" si="84"/>
        <v>0</v>
      </c>
      <c r="AB339" s="290"/>
      <c r="AC339" s="291"/>
      <c r="AD339" s="292"/>
      <c r="AE339" s="293"/>
      <c r="AG339" s="295"/>
    </row>
    <row r="340" spans="1:33" s="294" customFormat="1" x14ac:dyDescent="0.25">
      <c r="A340" s="487"/>
      <c r="B340" s="490"/>
      <c r="C340" s="493"/>
      <c r="D340" s="390">
        <v>2</v>
      </c>
      <c r="E340" s="399">
        <v>338</v>
      </c>
      <c r="F340" s="474"/>
      <c r="G340" s="282"/>
      <c r="H340" s="282"/>
      <c r="I340" s="282"/>
      <c r="J340" s="282"/>
      <c r="K340" s="284"/>
      <c r="L340" s="484" t="str">
        <f t="shared" si="87"/>
        <v/>
      </c>
      <c r="M340" s="285"/>
      <c r="N340" s="402" t="str">
        <f t="shared" si="85"/>
        <v/>
      </c>
      <c r="O340" s="286">
        <f t="shared" si="86"/>
        <v>0</v>
      </c>
      <c r="P340" s="406" t="str">
        <f t="shared" si="88"/>
        <v>0</v>
      </c>
      <c r="Q340" s="286"/>
      <c r="R340" s="413" t="str">
        <f t="shared" si="81"/>
        <v/>
      </c>
      <c r="S340" s="419" t="str">
        <f t="shared" si="82"/>
        <v>:NAME</v>
      </c>
      <c r="T340" s="286"/>
      <c r="U340" s="287"/>
      <c r="V340" s="287"/>
      <c r="W340" s="287"/>
      <c r="X340" s="287"/>
      <c r="Y340" s="298"/>
      <c r="Z340" s="288"/>
      <c r="AA340" s="289">
        <f t="shared" si="84"/>
        <v>0</v>
      </c>
      <c r="AB340" s="290"/>
      <c r="AC340" s="291"/>
      <c r="AD340" s="292"/>
      <c r="AE340" s="293"/>
      <c r="AG340" s="295"/>
    </row>
    <row r="341" spans="1:33" s="294" customFormat="1" x14ac:dyDescent="0.25">
      <c r="A341" s="487"/>
      <c r="B341" s="490"/>
      <c r="C341" s="493"/>
      <c r="D341" s="390">
        <v>3</v>
      </c>
      <c r="E341" s="399">
        <v>339</v>
      </c>
      <c r="F341" s="474"/>
      <c r="G341" s="282"/>
      <c r="H341" s="282"/>
      <c r="I341" s="282"/>
      <c r="J341" s="282"/>
      <c r="K341" s="284"/>
      <c r="L341" s="484" t="str">
        <f t="shared" si="87"/>
        <v/>
      </c>
      <c r="M341" s="285"/>
      <c r="N341" s="402" t="str">
        <f t="shared" si="85"/>
        <v/>
      </c>
      <c r="O341" s="286">
        <f t="shared" si="86"/>
        <v>0</v>
      </c>
      <c r="P341" s="406" t="str">
        <f t="shared" si="88"/>
        <v>0</v>
      </c>
      <c r="Q341" s="286"/>
      <c r="R341" s="413" t="str">
        <f t="shared" si="81"/>
        <v/>
      </c>
      <c r="S341" s="419" t="str">
        <f t="shared" si="82"/>
        <v>:NAME</v>
      </c>
      <c r="T341" s="286"/>
      <c r="U341" s="287"/>
      <c r="V341" s="287"/>
      <c r="W341" s="287"/>
      <c r="X341" s="287"/>
      <c r="Y341" s="298"/>
      <c r="Z341" s="288"/>
      <c r="AA341" s="289">
        <f t="shared" si="84"/>
        <v>0</v>
      </c>
      <c r="AB341" s="290"/>
      <c r="AC341" s="291"/>
      <c r="AD341" s="292"/>
      <c r="AE341" s="293"/>
      <c r="AG341" s="295"/>
    </row>
    <row r="342" spans="1:33" s="294" customFormat="1" x14ac:dyDescent="0.25">
      <c r="A342" s="487"/>
      <c r="B342" s="490"/>
      <c r="C342" s="493"/>
      <c r="D342" s="390">
        <v>4</v>
      </c>
      <c r="E342" s="399">
        <v>340</v>
      </c>
      <c r="F342" s="474"/>
      <c r="G342" s="282"/>
      <c r="H342" s="282"/>
      <c r="I342" s="282"/>
      <c r="J342" s="282"/>
      <c r="K342" s="284"/>
      <c r="L342" s="484" t="str">
        <f t="shared" si="87"/>
        <v/>
      </c>
      <c r="M342" s="285"/>
      <c r="N342" s="402" t="str">
        <f t="shared" si="85"/>
        <v/>
      </c>
      <c r="O342" s="286">
        <f t="shared" si="86"/>
        <v>0</v>
      </c>
      <c r="P342" s="406" t="str">
        <f t="shared" si="88"/>
        <v>0</v>
      </c>
      <c r="Q342" s="286"/>
      <c r="R342" s="413" t="str">
        <f t="shared" si="81"/>
        <v/>
      </c>
      <c r="S342" s="419" t="str">
        <f t="shared" si="82"/>
        <v>:NAME</v>
      </c>
      <c r="T342" s="286"/>
      <c r="U342" s="287"/>
      <c r="V342" s="287"/>
      <c r="W342" s="287"/>
      <c r="X342" s="287"/>
      <c r="Y342" s="298"/>
      <c r="Z342" s="288"/>
      <c r="AA342" s="289">
        <f t="shared" si="84"/>
        <v>0</v>
      </c>
      <c r="AB342" s="290"/>
      <c r="AC342" s="291"/>
      <c r="AD342" s="292"/>
      <c r="AE342" s="293"/>
      <c r="AG342" s="295"/>
    </row>
    <row r="343" spans="1:33" s="294" customFormat="1" x14ac:dyDescent="0.25">
      <c r="A343" s="487"/>
      <c r="B343" s="490"/>
      <c r="C343" s="493"/>
      <c r="D343" s="390">
        <v>5</v>
      </c>
      <c r="E343" s="399">
        <v>341</v>
      </c>
      <c r="F343" s="474"/>
      <c r="G343" s="282"/>
      <c r="H343" s="282"/>
      <c r="I343" s="282"/>
      <c r="J343" s="282"/>
      <c r="K343" s="284"/>
      <c r="L343" s="484" t="str">
        <f t="shared" si="87"/>
        <v/>
      </c>
      <c r="M343" s="285"/>
      <c r="N343" s="402" t="str">
        <f t="shared" si="85"/>
        <v/>
      </c>
      <c r="O343" s="286">
        <f t="shared" si="86"/>
        <v>0</v>
      </c>
      <c r="P343" s="406" t="str">
        <f t="shared" si="88"/>
        <v>0</v>
      </c>
      <c r="Q343" s="286"/>
      <c r="R343" s="413" t="str">
        <f t="shared" si="81"/>
        <v/>
      </c>
      <c r="S343" s="419" t="str">
        <f t="shared" si="82"/>
        <v>:NAME</v>
      </c>
      <c r="T343" s="286"/>
      <c r="U343" s="287"/>
      <c r="V343" s="287"/>
      <c r="W343" s="287"/>
      <c r="X343" s="287"/>
      <c r="Y343" s="298"/>
      <c r="Z343" s="288"/>
      <c r="AA343" s="289">
        <f t="shared" si="84"/>
        <v>0</v>
      </c>
      <c r="AB343" s="290"/>
      <c r="AC343" s="291"/>
      <c r="AD343" s="292"/>
      <c r="AE343" s="293"/>
      <c r="AG343" s="295"/>
    </row>
    <row r="344" spans="1:33" s="294" customFormat="1" x14ac:dyDescent="0.25">
      <c r="A344" s="487"/>
      <c r="B344" s="490"/>
      <c r="C344" s="493"/>
      <c r="D344" s="390">
        <v>6</v>
      </c>
      <c r="E344" s="399">
        <v>342</v>
      </c>
      <c r="F344" s="474"/>
      <c r="G344" s="282"/>
      <c r="H344" s="282"/>
      <c r="I344" s="282"/>
      <c r="J344" s="282"/>
      <c r="K344" s="284"/>
      <c r="L344" s="484" t="str">
        <f t="shared" si="87"/>
        <v/>
      </c>
      <c r="M344" s="285"/>
      <c r="N344" s="402" t="str">
        <f t="shared" si="85"/>
        <v/>
      </c>
      <c r="O344" s="286">
        <f t="shared" si="86"/>
        <v>0</v>
      </c>
      <c r="P344" s="406" t="str">
        <f t="shared" si="88"/>
        <v>0</v>
      </c>
      <c r="Q344" s="286"/>
      <c r="R344" s="413" t="str">
        <f t="shared" si="81"/>
        <v/>
      </c>
      <c r="S344" s="419" t="str">
        <f t="shared" si="82"/>
        <v>:NAME</v>
      </c>
      <c r="T344" s="286"/>
      <c r="U344" s="287"/>
      <c r="V344" s="287"/>
      <c r="W344" s="287"/>
      <c r="X344" s="287"/>
      <c r="Y344" s="298"/>
      <c r="Z344" s="288"/>
      <c r="AA344" s="289">
        <f t="shared" si="84"/>
        <v>0</v>
      </c>
      <c r="AB344" s="290"/>
      <c r="AC344" s="291"/>
      <c r="AD344" s="292"/>
      <c r="AE344" s="293"/>
      <c r="AG344" s="295"/>
    </row>
    <row r="345" spans="1:33" s="294" customFormat="1" x14ac:dyDescent="0.25">
      <c r="A345" s="487"/>
      <c r="B345" s="490"/>
      <c r="C345" s="493"/>
      <c r="D345" s="390">
        <v>7</v>
      </c>
      <c r="E345" s="399">
        <v>343</v>
      </c>
      <c r="F345" s="474"/>
      <c r="G345" s="282"/>
      <c r="H345" s="282"/>
      <c r="I345" s="282"/>
      <c r="J345" s="282"/>
      <c r="K345" s="284"/>
      <c r="L345" s="484" t="str">
        <f t="shared" si="87"/>
        <v/>
      </c>
      <c r="M345" s="285"/>
      <c r="N345" s="402" t="str">
        <f t="shared" si="85"/>
        <v/>
      </c>
      <c r="O345" s="286">
        <f t="shared" si="86"/>
        <v>0</v>
      </c>
      <c r="P345" s="406" t="str">
        <f t="shared" si="88"/>
        <v>0</v>
      </c>
      <c r="Q345" s="286"/>
      <c r="R345" s="413" t="str">
        <f t="shared" si="81"/>
        <v/>
      </c>
      <c r="S345" s="419" t="str">
        <f t="shared" si="82"/>
        <v>:NAME</v>
      </c>
      <c r="T345" s="286"/>
      <c r="U345" s="287"/>
      <c r="V345" s="287"/>
      <c r="W345" s="287"/>
      <c r="X345" s="287"/>
      <c r="Y345" s="298"/>
      <c r="Z345" s="288"/>
      <c r="AA345" s="289">
        <f t="shared" si="84"/>
        <v>0</v>
      </c>
      <c r="AB345" s="290"/>
      <c r="AC345" s="291"/>
      <c r="AD345" s="292"/>
      <c r="AE345" s="293"/>
      <c r="AG345" s="295"/>
    </row>
    <row r="346" spans="1:33" s="294" customFormat="1" x14ac:dyDescent="0.25">
      <c r="A346" s="487"/>
      <c r="B346" s="490"/>
      <c r="C346" s="493"/>
      <c r="D346" s="390">
        <v>8</v>
      </c>
      <c r="E346" s="399">
        <v>344</v>
      </c>
      <c r="F346" s="474"/>
      <c r="G346" s="283"/>
      <c r="H346" s="283"/>
      <c r="I346" s="283"/>
      <c r="J346" s="282"/>
      <c r="K346" s="300"/>
      <c r="L346" s="484" t="str">
        <f t="shared" si="87"/>
        <v/>
      </c>
      <c r="M346" s="285"/>
      <c r="N346" s="402" t="str">
        <f t="shared" si="85"/>
        <v/>
      </c>
      <c r="O346" s="286">
        <f t="shared" si="86"/>
        <v>0</v>
      </c>
      <c r="P346" s="406" t="str">
        <f t="shared" si="88"/>
        <v>0</v>
      </c>
      <c r="Q346" s="286"/>
      <c r="R346" s="413" t="str">
        <f t="shared" si="81"/>
        <v/>
      </c>
      <c r="S346" s="419" t="str">
        <f t="shared" si="82"/>
        <v>:NAME</v>
      </c>
      <c r="T346" s="286"/>
      <c r="U346" s="287"/>
      <c r="V346" s="287"/>
      <c r="W346" s="287"/>
      <c r="X346" s="287"/>
      <c r="Y346" s="287"/>
      <c r="Z346" s="288"/>
      <c r="AA346" s="289">
        <f t="shared" si="84"/>
        <v>0</v>
      </c>
      <c r="AB346" s="290"/>
      <c r="AC346" s="291"/>
      <c r="AD346" s="292"/>
      <c r="AE346" s="293"/>
      <c r="AG346" s="295"/>
    </row>
    <row r="347" spans="1:33" s="294" customFormat="1" x14ac:dyDescent="0.25">
      <c r="A347" s="487"/>
      <c r="B347" s="490"/>
      <c r="C347" s="493"/>
      <c r="D347" s="390">
        <v>9</v>
      </c>
      <c r="E347" s="399">
        <v>345</v>
      </c>
      <c r="F347" s="474"/>
      <c r="G347" s="283"/>
      <c r="H347" s="283"/>
      <c r="I347" s="283"/>
      <c r="J347" s="282"/>
      <c r="K347" s="300"/>
      <c r="L347" s="484" t="str">
        <f t="shared" si="87"/>
        <v/>
      </c>
      <c r="M347" s="285"/>
      <c r="N347" s="402" t="str">
        <f t="shared" si="85"/>
        <v/>
      </c>
      <c r="O347" s="286">
        <f t="shared" si="86"/>
        <v>0</v>
      </c>
      <c r="P347" s="406" t="str">
        <f t="shared" si="88"/>
        <v>0</v>
      </c>
      <c r="Q347" s="286"/>
      <c r="R347" s="413" t="str">
        <f t="shared" si="81"/>
        <v/>
      </c>
      <c r="S347" s="419" t="str">
        <f t="shared" si="82"/>
        <v>:NAME</v>
      </c>
      <c r="T347" s="286"/>
      <c r="U347" s="287"/>
      <c r="V347" s="287"/>
      <c r="W347" s="287"/>
      <c r="X347" s="287"/>
      <c r="Y347" s="287"/>
      <c r="Z347" s="288"/>
      <c r="AA347" s="289">
        <f t="shared" si="84"/>
        <v>0</v>
      </c>
      <c r="AB347" s="290"/>
      <c r="AC347" s="291"/>
      <c r="AD347" s="292"/>
      <c r="AE347" s="293"/>
      <c r="AG347" s="295"/>
    </row>
    <row r="348" spans="1:33" s="294" customFormat="1" x14ac:dyDescent="0.25">
      <c r="A348" s="487"/>
      <c r="B348" s="490"/>
      <c r="C348" s="493"/>
      <c r="D348" s="390">
        <v>10</v>
      </c>
      <c r="E348" s="399">
        <v>346</v>
      </c>
      <c r="F348" s="474"/>
      <c r="G348" s="283"/>
      <c r="H348" s="283"/>
      <c r="I348" s="283"/>
      <c r="J348" s="282"/>
      <c r="K348" s="300"/>
      <c r="L348" s="484" t="str">
        <f t="shared" si="87"/>
        <v/>
      </c>
      <c r="M348" s="285"/>
      <c r="N348" s="402" t="str">
        <f t="shared" si="85"/>
        <v/>
      </c>
      <c r="O348" s="286">
        <f t="shared" si="86"/>
        <v>0</v>
      </c>
      <c r="P348" s="406" t="str">
        <f t="shared" si="88"/>
        <v>0</v>
      </c>
      <c r="Q348" s="286"/>
      <c r="R348" s="413" t="str">
        <f t="shared" si="81"/>
        <v/>
      </c>
      <c r="S348" s="419" t="str">
        <f t="shared" si="82"/>
        <v>:NAME</v>
      </c>
      <c r="T348" s="286"/>
      <c r="U348" s="287"/>
      <c r="V348" s="287"/>
      <c r="W348" s="287"/>
      <c r="X348" s="287"/>
      <c r="Y348" s="287"/>
      <c r="Z348" s="288"/>
      <c r="AA348" s="289">
        <f t="shared" si="84"/>
        <v>0</v>
      </c>
      <c r="AB348" s="290"/>
      <c r="AC348" s="291"/>
      <c r="AD348" s="292"/>
      <c r="AE348" s="293"/>
      <c r="AG348" s="295"/>
    </row>
    <row r="349" spans="1:33" s="294" customFormat="1" x14ac:dyDescent="0.25">
      <c r="A349" s="487"/>
      <c r="B349" s="490"/>
      <c r="C349" s="493"/>
      <c r="D349" s="390">
        <v>11</v>
      </c>
      <c r="E349" s="399">
        <v>347</v>
      </c>
      <c r="F349" s="474"/>
      <c r="G349" s="283"/>
      <c r="H349" s="283"/>
      <c r="I349" s="283"/>
      <c r="J349" s="282"/>
      <c r="K349" s="300"/>
      <c r="L349" s="484" t="str">
        <f t="shared" si="87"/>
        <v/>
      </c>
      <c r="M349" s="285"/>
      <c r="N349" s="402" t="str">
        <f t="shared" si="85"/>
        <v/>
      </c>
      <c r="O349" s="286">
        <f t="shared" si="86"/>
        <v>0</v>
      </c>
      <c r="P349" s="406" t="str">
        <f t="shared" si="88"/>
        <v>0</v>
      </c>
      <c r="Q349" s="286"/>
      <c r="R349" s="413" t="str">
        <f t="shared" si="81"/>
        <v/>
      </c>
      <c r="S349" s="419" t="str">
        <f t="shared" si="82"/>
        <v>:NAME</v>
      </c>
      <c r="T349" s="286"/>
      <c r="U349" s="287"/>
      <c r="V349" s="287"/>
      <c r="W349" s="287"/>
      <c r="X349" s="287"/>
      <c r="Y349" s="287"/>
      <c r="Z349" s="288"/>
      <c r="AA349" s="289">
        <f t="shared" si="84"/>
        <v>0</v>
      </c>
      <c r="AB349" s="290"/>
      <c r="AC349" s="291"/>
      <c r="AD349" s="292"/>
      <c r="AE349" s="293"/>
      <c r="AG349" s="295"/>
    </row>
    <row r="350" spans="1:33" s="294" customFormat="1" x14ac:dyDescent="0.25">
      <c r="A350" s="487"/>
      <c r="B350" s="490"/>
      <c r="C350" s="493"/>
      <c r="D350" s="390">
        <v>12</v>
      </c>
      <c r="E350" s="399">
        <v>348</v>
      </c>
      <c r="F350" s="474"/>
      <c r="G350" s="283"/>
      <c r="H350" s="283"/>
      <c r="I350" s="283"/>
      <c r="J350" s="282"/>
      <c r="K350" s="300"/>
      <c r="L350" s="484" t="str">
        <f t="shared" si="87"/>
        <v/>
      </c>
      <c r="M350" s="285"/>
      <c r="N350" s="402" t="str">
        <f t="shared" si="85"/>
        <v/>
      </c>
      <c r="O350" s="286">
        <f t="shared" si="86"/>
        <v>0</v>
      </c>
      <c r="P350" s="406" t="str">
        <f t="shared" si="88"/>
        <v>0</v>
      </c>
      <c r="Q350" s="286"/>
      <c r="R350" s="413" t="str">
        <f t="shared" si="81"/>
        <v/>
      </c>
      <c r="S350" s="419" t="str">
        <f t="shared" si="82"/>
        <v>:NAME</v>
      </c>
      <c r="T350" s="286"/>
      <c r="U350" s="287"/>
      <c r="V350" s="287"/>
      <c r="W350" s="287"/>
      <c r="X350" s="287"/>
      <c r="Y350" s="287"/>
      <c r="Z350" s="288"/>
      <c r="AA350" s="289">
        <f t="shared" si="84"/>
        <v>0</v>
      </c>
      <c r="AB350" s="290"/>
      <c r="AC350" s="291"/>
      <c r="AD350" s="292"/>
      <c r="AE350" s="293"/>
      <c r="AG350" s="295"/>
    </row>
    <row r="351" spans="1:33" s="294" customFormat="1" x14ac:dyDescent="0.25">
      <c r="A351" s="487"/>
      <c r="B351" s="490"/>
      <c r="C351" s="493"/>
      <c r="D351" s="390">
        <v>13</v>
      </c>
      <c r="E351" s="399">
        <v>349</v>
      </c>
      <c r="F351" s="474"/>
      <c r="G351" s="283"/>
      <c r="H351" s="283"/>
      <c r="I351" s="283"/>
      <c r="J351" s="282"/>
      <c r="K351" s="300"/>
      <c r="L351" s="484" t="str">
        <f t="shared" si="87"/>
        <v/>
      </c>
      <c r="M351" s="285"/>
      <c r="N351" s="402" t="str">
        <f t="shared" si="85"/>
        <v/>
      </c>
      <c r="O351" s="286">
        <f t="shared" si="86"/>
        <v>0</v>
      </c>
      <c r="P351" s="406" t="str">
        <f t="shared" si="88"/>
        <v>0</v>
      </c>
      <c r="Q351" s="286"/>
      <c r="R351" s="413" t="str">
        <f t="shared" si="81"/>
        <v/>
      </c>
      <c r="S351" s="419" t="str">
        <f t="shared" si="82"/>
        <v>:NAME</v>
      </c>
      <c r="T351" s="286"/>
      <c r="U351" s="287"/>
      <c r="V351" s="287"/>
      <c r="W351" s="287"/>
      <c r="X351" s="287"/>
      <c r="Y351" s="287"/>
      <c r="Z351" s="288"/>
      <c r="AA351" s="289">
        <f t="shared" si="84"/>
        <v>0</v>
      </c>
      <c r="AB351" s="290"/>
      <c r="AC351" s="291"/>
      <c r="AD351" s="292"/>
      <c r="AE351" s="293"/>
      <c r="AG351" s="295"/>
    </row>
    <row r="352" spans="1:33" s="294" customFormat="1" x14ac:dyDescent="0.25">
      <c r="A352" s="487"/>
      <c r="B352" s="490"/>
      <c r="C352" s="493"/>
      <c r="D352" s="390">
        <v>14</v>
      </c>
      <c r="E352" s="399">
        <v>350</v>
      </c>
      <c r="F352" s="474"/>
      <c r="G352" s="283"/>
      <c r="H352" s="283"/>
      <c r="I352" s="283"/>
      <c r="J352" s="282"/>
      <c r="K352" s="300"/>
      <c r="L352" s="484" t="str">
        <f t="shared" si="87"/>
        <v/>
      </c>
      <c r="M352" s="285"/>
      <c r="N352" s="402" t="str">
        <f t="shared" si="85"/>
        <v/>
      </c>
      <c r="O352" s="286">
        <f t="shared" si="86"/>
        <v>0</v>
      </c>
      <c r="P352" s="406" t="str">
        <f t="shared" si="88"/>
        <v>0</v>
      </c>
      <c r="Q352" s="286"/>
      <c r="R352" s="413" t="str">
        <f t="shared" si="81"/>
        <v/>
      </c>
      <c r="S352" s="419" t="str">
        <f t="shared" si="82"/>
        <v>:NAME</v>
      </c>
      <c r="T352" s="286"/>
      <c r="U352" s="287"/>
      <c r="V352" s="287"/>
      <c r="W352" s="287"/>
      <c r="X352" s="287"/>
      <c r="Y352" s="287"/>
      <c r="Z352" s="288"/>
      <c r="AA352" s="289">
        <f t="shared" si="84"/>
        <v>0</v>
      </c>
      <c r="AB352" s="290"/>
      <c r="AC352" s="291"/>
      <c r="AD352" s="292"/>
      <c r="AE352" s="293"/>
      <c r="AG352" s="295"/>
    </row>
    <row r="353" spans="1:33" s="294" customFormat="1" ht="15.75" thickBot="1" x14ac:dyDescent="0.3">
      <c r="A353" s="488"/>
      <c r="B353" s="491"/>
      <c r="C353" s="494"/>
      <c r="D353" s="390">
        <v>15</v>
      </c>
      <c r="E353" s="399">
        <v>351</v>
      </c>
      <c r="F353" s="474"/>
      <c r="G353" s="283"/>
      <c r="H353" s="283"/>
      <c r="I353" s="283"/>
      <c r="J353" s="282"/>
      <c r="K353" s="300"/>
      <c r="L353" s="484" t="str">
        <f t="shared" si="87"/>
        <v/>
      </c>
      <c r="M353" s="285"/>
      <c r="N353" s="402" t="str">
        <f t="shared" si="85"/>
        <v/>
      </c>
      <c r="O353" s="286">
        <f t="shared" si="86"/>
        <v>0</v>
      </c>
      <c r="P353" s="406" t="str">
        <f t="shared" si="88"/>
        <v>0</v>
      </c>
      <c r="Q353" s="286"/>
      <c r="R353" s="413" t="str">
        <f t="shared" si="81"/>
        <v/>
      </c>
      <c r="S353" s="419" t="str">
        <f t="shared" si="82"/>
        <v>:NAME</v>
      </c>
      <c r="T353" s="286"/>
      <c r="U353" s="287"/>
      <c r="V353" s="287"/>
      <c r="W353" s="287"/>
      <c r="X353" s="287"/>
      <c r="Y353" s="287"/>
      <c r="Z353" s="288"/>
      <c r="AA353" s="289">
        <f t="shared" si="84"/>
        <v>0</v>
      </c>
      <c r="AB353" s="290"/>
      <c r="AC353" s="291"/>
      <c r="AD353" s="292"/>
      <c r="AE353" s="293"/>
      <c r="AG353" s="295"/>
    </row>
    <row r="354" spans="1:33" s="279" customFormat="1" ht="14.45" customHeight="1" x14ac:dyDescent="0.25">
      <c r="A354" s="486" t="s">
        <v>44</v>
      </c>
      <c r="B354" s="489" t="str">
        <f>LOOKUP(A354,Module,IO)</f>
        <v>.</v>
      </c>
      <c r="C354" s="492" t="s">
        <v>30</v>
      </c>
      <c r="D354" s="389" t="s">
        <v>160</v>
      </c>
      <c r="E354" s="398">
        <v>352</v>
      </c>
      <c r="F354" s="476"/>
      <c r="G354" s="316"/>
      <c r="H354" s="316"/>
      <c r="I354" s="316"/>
      <c r="J354" s="267"/>
      <c r="K354" s="317"/>
      <c r="L354" s="483" t="str">
        <f t="shared" si="87"/>
        <v/>
      </c>
      <c r="M354" s="270"/>
      <c r="N354" s="401" t="str">
        <f t="shared" ref="N354:N369" si="89">IF(F354&lt;&gt;"",IF($H$1&lt;&gt;"","IO"&amp;".","IO.")&amp;$C$354&amp;"."&amp;$B$354&amp;D354,"")</f>
        <v/>
      </c>
      <c r="O354" s="271">
        <f t="shared" ref="O354:O369" si="90">LOOKUP($A$354,Module,Type)</f>
        <v>0</v>
      </c>
      <c r="P354" s="405" t="str">
        <f>O354&amp;N354</f>
        <v>0</v>
      </c>
      <c r="Q354" s="271"/>
      <c r="R354" s="412" t="str">
        <f t="shared" si="81"/>
        <v/>
      </c>
      <c r="S354" s="418" t="str">
        <f t="shared" si="82"/>
        <v>:NAME</v>
      </c>
      <c r="T354" s="271"/>
      <c r="U354" s="272"/>
      <c r="V354" s="272"/>
      <c r="W354" s="272"/>
      <c r="X354" s="272"/>
      <c r="Y354" s="297"/>
      <c r="Z354" s="273"/>
      <c r="AA354" s="274">
        <f t="shared" si="84"/>
        <v>0</v>
      </c>
      <c r="AB354" s="275"/>
      <c r="AC354" s="276"/>
      <c r="AD354" s="277"/>
      <c r="AE354" s="278"/>
      <c r="AG354" s="280"/>
    </row>
    <row r="355" spans="1:33" s="294" customFormat="1" x14ac:dyDescent="0.25">
      <c r="A355" s="487"/>
      <c r="B355" s="490"/>
      <c r="C355" s="493"/>
      <c r="D355" s="390">
        <v>1</v>
      </c>
      <c r="E355" s="399">
        <v>353</v>
      </c>
      <c r="F355" s="474"/>
      <c r="G355" s="283"/>
      <c r="H355" s="283"/>
      <c r="I355" s="283"/>
      <c r="J355" s="282"/>
      <c r="K355" s="300"/>
      <c r="L355" s="484" t="str">
        <f t="shared" si="87"/>
        <v/>
      </c>
      <c r="M355" s="285"/>
      <c r="N355" s="402" t="str">
        <f t="shared" si="89"/>
        <v/>
      </c>
      <c r="O355" s="286">
        <f t="shared" si="90"/>
        <v>0</v>
      </c>
      <c r="P355" s="406" t="str">
        <f t="shared" ref="P355:P369" si="91">O355&amp;N355</f>
        <v>0</v>
      </c>
      <c r="Q355" s="286"/>
      <c r="R355" s="413" t="str">
        <f t="shared" si="81"/>
        <v/>
      </c>
      <c r="S355" s="419" t="str">
        <f t="shared" si="82"/>
        <v>:NAME</v>
      </c>
      <c r="T355" s="286"/>
      <c r="U355" s="287"/>
      <c r="V355" s="287"/>
      <c r="W355" s="287"/>
      <c r="X355" s="287"/>
      <c r="Y355" s="287"/>
      <c r="Z355" s="288"/>
      <c r="AA355" s="289">
        <f t="shared" si="84"/>
        <v>0</v>
      </c>
      <c r="AB355" s="290"/>
      <c r="AC355" s="291"/>
      <c r="AD355" s="292"/>
      <c r="AE355" s="293"/>
      <c r="AG355" s="295"/>
    </row>
    <row r="356" spans="1:33" s="294" customFormat="1" x14ac:dyDescent="0.25">
      <c r="A356" s="487"/>
      <c r="B356" s="490"/>
      <c r="C356" s="493"/>
      <c r="D356" s="390">
        <v>2</v>
      </c>
      <c r="E356" s="399">
        <v>354</v>
      </c>
      <c r="F356" s="474"/>
      <c r="G356" s="283"/>
      <c r="H356" s="283"/>
      <c r="I356" s="283"/>
      <c r="J356" s="282"/>
      <c r="K356" s="300"/>
      <c r="L356" s="484" t="str">
        <f t="shared" si="87"/>
        <v/>
      </c>
      <c r="M356" s="285"/>
      <c r="N356" s="402" t="str">
        <f t="shared" si="89"/>
        <v/>
      </c>
      <c r="O356" s="286">
        <f t="shared" si="90"/>
        <v>0</v>
      </c>
      <c r="P356" s="406" t="str">
        <f t="shared" si="91"/>
        <v>0</v>
      </c>
      <c r="Q356" s="286"/>
      <c r="R356" s="413" t="str">
        <f t="shared" si="81"/>
        <v/>
      </c>
      <c r="S356" s="419" t="str">
        <f t="shared" si="82"/>
        <v>:NAME</v>
      </c>
      <c r="T356" s="286"/>
      <c r="U356" s="287"/>
      <c r="V356" s="287"/>
      <c r="W356" s="287"/>
      <c r="X356" s="287"/>
      <c r="Y356" s="287"/>
      <c r="Z356" s="288"/>
      <c r="AA356" s="289">
        <f t="shared" si="84"/>
        <v>0</v>
      </c>
      <c r="AB356" s="290"/>
      <c r="AC356" s="291"/>
      <c r="AD356" s="292"/>
      <c r="AE356" s="293"/>
      <c r="AG356" s="295"/>
    </row>
    <row r="357" spans="1:33" s="294" customFormat="1" x14ac:dyDescent="0.25">
      <c r="A357" s="487"/>
      <c r="B357" s="490"/>
      <c r="C357" s="493"/>
      <c r="D357" s="390">
        <v>3</v>
      </c>
      <c r="E357" s="399">
        <v>355</v>
      </c>
      <c r="F357" s="474"/>
      <c r="G357" s="283"/>
      <c r="H357" s="283"/>
      <c r="I357" s="283"/>
      <c r="J357" s="282"/>
      <c r="K357" s="300"/>
      <c r="L357" s="484" t="str">
        <f t="shared" si="87"/>
        <v/>
      </c>
      <c r="M357" s="285"/>
      <c r="N357" s="402" t="str">
        <f t="shared" si="89"/>
        <v/>
      </c>
      <c r="O357" s="286">
        <f t="shared" si="90"/>
        <v>0</v>
      </c>
      <c r="P357" s="406" t="str">
        <f t="shared" si="91"/>
        <v>0</v>
      </c>
      <c r="Q357" s="286"/>
      <c r="R357" s="413" t="str">
        <f t="shared" si="81"/>
        <v/>
      </c>
      <c r="S357" s="419" t="str">
        <f t="shared" si="82"/>
        <v>:NAME</v>
      </c>
      <c r="T357" s="286"/>
      <c r="U357" s="287"/>
      <c r="V357" s="287"/>
      <c r="W357" s="287"/>
      <c r="X357" s="287"/>
      <c r="Y357" s="287"/>
      <c r="Z357" s="288"/>
      <c r="AA357" s="289">
        <f t="shared" si="84"/>
        <v>0</v>
      </c>
      <c r="AB357" s="290"/>
      <c r="AC357" s="291"/>
      <c r="AD357" s="292"/>
      <c r="AE357" s="293"/>
      <c r="AG357" s="295"/>
    </row>
    <row r="358" spans="1:33" s="294" customFormat="1" x14ac:dyDescent="0.25">
      <c r="A358" s="487"/>
      <c r="B358" s="490"/>
      <c r="C358" s="493"/>
      <c r="D358" s="390">
        <v>4</v>
      </c>
      <c r="E358" s="399">
        <v>356</v>
      </c>
      <c r="F358" s="474"/>
      <c r="G358" s="283"/>
      <c r="H358" s="283"/>
      <c r="I358" s="283"/>
      <c r="J358" s="282"/>
      <c r="K358" s="300"/>
      <c r="L358" s="484" t="str">
        <f t="shared" si="87"/>
        <v/>
      </c>
      <c r="M358" s="285"/>
      <c r="N358" s="402" t="str">
        <f t="shared" si="89"/>
        <v/>
      </c>
      <c r="O358" s="286">
        <f t="shared" si="90"/>
        <v>0</v>
      </c>
      <c r="P358" s="406" t="str">
        <f t="shared" si="91"/>
        <v>0</v>
      </c>
      <c r="Q358" s="286"/>
      <c r="R358" s="413" t="str">
        <f t="shared" si="81"/>
        <v/>
      </c>
      <c r="S358" s="419" t="str">
        <f t="shared" si="82"/>
        <v>:NAME</v>
      </c>
      <c r="T358" s="286"/>
      <c r="U358" s="287"/>
      <c r="V358" s="287"/>
      <c r="W358" s="287"/>
      <c r="X358" s="287"/>
      <c r="Y358" s="287"/>
      <c r="Z358" s="288"/>
      <c r="AA358" s="289">
        <f t="shared" si="84"/>
        <v>0</v>
      </c>
      <c r="AB358" s="290"/>
      <c r="AC358" s="291"/>
      <c r="AD358" s="292"/>
      <c r="AE358" s="293"/>
      <c r="AG358" s="295"/>
    </row>
    <row r="359" spans="1:33" s="294" customFormat="1" x14ac:dyDescent="0.25">
      <c r="A359" s="487"/>
      <c r="B359" s="490"/>
      <c r="C359" s="493"/>
      <c r="D359" s="390">
        <v>5</v>
      </c>
      <c r="E359" s="399">
        <v>357</v>
      </c>
      <c r="F359" s="474"/>
      <c r="G359" s="283"/>
      <c r="H359" s="283"/>
      <c r="I359" s="283"/>
      <c r="J359" s="282"/>
      <c r="K359" s="300"/>
      <c r="L359" s="484" t="str">
        <f t="shared" si="87"/>
        <v/>
      </c>
      <c r="M359" s="285"/>
      <c r="N359" s="402" t="str">
        <f t="shared" si="89"/>
        <v/>
      </c>
      <c r="O359" s="286">
        <f t="shared" si="90"/>
        <v>0</v>
      </c>
      <c r="P359" s="406" t="str">
        <f t="shared" si="91"/>
        <v>0</v>
      </c>
      <c r="Q359" s="286"/>
      <c r="R359" s="413" t="str">
        <f t="shared" si="81"/>
        <v/>
      </c>
      <c r="S359" s="419" t="str">
        <f t="shared" si="82"/>
        <v>:NAME</v>
      </c>
      <c r="T359" s="286"/>
      <c r="U359" s="287"/>
      <c r="V359" s="287"/>
      <c r="W359" s="287"/>
      <c r="X359" s="287"/>
      <c r="Y359" s="287"/>
      <c r="Z359" s="288"/>
      <c r="AA359" s="289">
        <f t="shared" si="84"/>
        <v>0</v>
      </c>
      <c r="AB359" s="290"/>
      <c r="AC359" s="291"/>
      <c r="AD359" s="292"/>
      <c r="AE359" s="293"/>
      <c r="AG359" s="295"/>
    </row>
    <row r="360" spans="1:33" s="294" customFormat="1" x14ac:dyDescent="0.25">
      <c r="A360" s="487"/>
      <c r="B360" s="490"/>
      <c r="C360" s="493"/>
      <c r="D360" s="390">
        <v>6</v>
      </c>
      <c r="E360" s="399">
        <v>358</v>
      </c>
      <c r="F360" s="474"/>
      <c r="G360" s="283"/>
      <c r="H360" s="283"/>
      <c r="I360" s="283"/>
      <c r="J360" s="282"/>
      <c r="K360" s="300"/>
      <c r="L360" s="484" t="str">
        <f t="shared" si="87"/>
        <v/>
      </c>
      <c r="M360" s="285"/>
      <c r="N360" s="402" t="str">
        <f t="shared" si="89"/>
        <v/>
      </c>
      <c r="O360" s="286">
        <f t="shared" si="90"/>
        <v>0</v>
      </c>
      <c r="P360" s="406" t="str">
        <f t="shared" si="91"/>
        <v>0</v>
      </c>
      <c r="Q360" s="286"/>
      <c r="R360" s="413" t="str">
        <f t="shared" si="81"/>
        <v/>
      </c>
      <c r="S360" s="419" t="str">
        <f t="shared" si="82"/>
        <v>:NAME</v>
      </c>
      <c r="T360" s="286"/>
      <c r="U360" s="287"/>
      <c r="V360" s="287"/>
      <c r="W360" s="287"/>
      <c r="X360" s="287"/>
      <c r="Y360" s="287"/>
      <c r="Z360" s="288"/>
      <c r="AA360" s="289">
        <f t="shared" si="84"/>
        <v>0</v>
      </c>
      <c r="AB360" s="290"/>
      <c r="AC360" s="291"/>
      <c r="AD360" s="292"/>
      <c r="AE360" s="293"/>
      <c r="AG360" s="295"/>
    </row>
    <row r="361" spans="1:33" s="294" customFormat="1" x14ac:dyDescent="0.25">
      <c r="A361" s="487"/>
      <c r="B361" s="490"/>
      <c r="C361" s="493"/>
      <c r="D361" s="390">
        <v>7</v>
      </c>
      <c r="E361" s="399">
        <v>359</v>
      </c>
      <c r="F361" s="474"/>
      <c r="G361" s="283"/>
      <c r="H361" s="283"/>
      <c r="I361" s="283"/>
      <c r="J361" s="283"/>
      <c r="K361" s="300"/>
      <c r="L361" s="484" t="str">
        <f t="shared" si="87"/>
        <v/>
      </c>
      <c r="M361" s="285"/>
      <c r="N361" s="402" t="str">
        <f t="shared" si="89"/>
        <v/>
      </c>
      <c r="O361" s="286">
        <f t="shared" si="90"/>
        <v>0</v>
      </c>
      <c r="P361" s="406" t="str">
        <f t="shared" si="91"/>
        <v>0</v>
      </c>
      <c r="Q361" s="286"/>
      <c r="R361" s="413" t="str">
        <f t="shared" si="81"/>
        <v/>
      </c>
      <c r="S361" s="419" t="str">
        <f t="shared" si="82"/>
        <v>:NAME</v>
      </c>
      <c r="T361" s="286"/>
      <c r="U361" s="287"/>
      <c r="V361" s="287"/>
      <c r="W361" s="287"/>
      <c r="X361" s="287"/>
      <c r="Y361" s="287"/>
      <c r="Z361" s="288"/>
      <c r="AA361" s="289">
        <f t="shared" si="84"/>
        <v>0</v>
      </c>
      <c r="AB361" s="290"/>
      <c r="AC361" s="291"/>
      <c r="AD361" s="292"/>
      <c r="AE361" s="293"/>
      <c r="AG361" s="295"/>
    </row>
    <row r="362" spans="1:33" s="294" customFormat="1" x14ac:dyDescent="0.25">
      <c r="A362" s="487"/>
      <c r="B362" s="490"/>
      <c r="C362" s="493"/>
      <c r="D362" s="390">
        <v>8</v>
      </c>
      <c r="E362" s="399">
        <v>360</v>
      </c>
      <c r="F362" s="474"/>
      <c r="G362" s="283"/>
      <c r="H362" s="283"/>
      <c r="I362" s="283"/>
      <c r="J362" s="283"/>
      <c r="K362" s="300"/>
      <c r="L362" s="484" t="str">
        <f t="shared" si="87"/>
        <v/>
      </c>
      <c r="M362" s="285"/>
      <c r="N362" s="402" t="str">
        <f t="shared" si="89"/>
        <v/>
      </c>
      <c r="O362" s="286">
        <f t="shared" si="90"/>
        <v>0</v>
      </c>
      <c r="P362" s="406" t="str">
        <f t="shared" si="91"/>
        <v>0</v>
      </c>
      <c r="Q362" s="286"/>
      <c r="R362" s="413" t="str">
        <f t="shared" si="81"/>
        <v/>
      </c>
      <c r="S362" s="419" t="str">
        <f t="shared" si="82"/>
        <v>:NAME</v>
      </c>
      <c r="T362" s="286"/>
      <c r="U362" s="287"/>
      <c r="V362" s="287"/>
      <c r="W362" s="287"/>
      <c r="X362" s="287"/>
      <c r="Y362" s="287"/>
      <c r="Z362" s="288"/>
      <c r="AA362" s="289">
        <f t="shared" si="84"/>
        <v>0</v>
      </c>
      <c r="AB362" s="290"/>
      <c r="AC362" s="291"/>
      <c r="AD362" s="292"/>
      <c r="AE362" s="293"/>
      <c r="AG362" s="295"/>
    </row>
    <row r="363" spans="1:33" s="294" customFormat="1" x14ac:dyDescent="0.25">
      <c r="A363" s="487"/>
      <c r="B363" s="490"/>
      <c r="C363" s="493"/>
      <c r="D363" s="390">
        <v>9</v>
      </c>
      <c r="E363" s="399">
        <v>361</v>
      </c>
      <c r="F363" s="474"/>
      <c r="G363" s="283"/>
      <c r="H363" s="283"/>
      <c r="I363" s="283"/>
      <c r="J363" s="283"/>
      <c r="K363" s="300"/>
      <c r="L363" s="484" t="str">
        <f t="shared" si="87"/>
        <v/>
      </c>
      <c r="M363" s="285"/>
      <c r="N363" s="402" t="str">
        <f t="shared" si="89"/>
        <v/>
      </c>
      <c r="O363" s="286">
        <f t="shared" si="90"/>
        <v>0</v>
      </c>
      <c r="P363" s="406" t="str">
        <f t="shared" si="91"/>
        <v>0</v>
      </c>
      <c r="Q363" s="286"/>
      <c r="R363" s="413" t="str">
        <f t="shared" si="81"/>
        <v/>
      </c>
      <c r="S363" s="419" t="str">
        <f t="shared" si="82"/>
        <v>:NAME</v>
      </c>
      <c r="T363" s="286"/>
      <c r="U363" s="287"/>
      <c r="V363" s="287"/>
      <c r="W363" s="287"/>
      <c r="X363" s="287"/>
      <c r="Y363" s="287"/>
      <c r="Z363" s="288"/>
      <c r="AA363" s="289">
        <f t="shared" si="84"/>
        <v>0</v>
      </c>
      <c r="AB363" s="290"/>
      <c r="AC363" s="291"/>
      <c r="AD363" s="292"/>
      <c r="AE363" s="293"/>
      <c r="AG363" s="295"/>
    </row>
    <row r="364" spans="1:33" s="294" customFormat="1" x14ac:dyDescent="0.25">
      <c r="A364" s="487"/>
      <c r="B364" s="490"/>
      <c r="C364" s="493"/>
      <c r="D364" s="390">
        <v>10</v>
      </c>
      <c r="E364" s="399">
        <v>362</v>
      </c>
      <c r="F364" s="474"/>
      <c r="G364" s="283"/>
      <c r="H364" s="283"/>
      <c r="I364" s="283"/>
      <c r="J364" s="283"/>
      <c r="K364" s="300"/>
      <c r="L364" s="484" t="str">
        <f t="shared" si="87"/>
        <v/>
      </c>
      <c r="M364" s="285"/>
      <c r="N364" s="402" t="str">
        <f t="shared" si="89"/>
        <v/>
      </c>
      <c r="O364" s="286">
        <f t="shared" si="90"/>
        <v>0</v>
      </c>
      <c r="P364" s="406" t="str">
        <f t="shared" si="91"/>
        <v>0</v>
      </c>
      <c r="Q364" s="286"/>
      <c r="R364" s="413" t="str">
        <f t="shared" si="81"/>
        <v/>
      </c>
      <c r="S364" s="419" t="str">
        <f t="shared" si="82"/>
        <v>:NAME</v>
      </c>
      <c r="T364" s="286"/>
      <c r="U364" s="287"/>
      <c r="V364" s="287"/>
      <c r="W364" s="287"/>
      <c r="X364" s="287"/>
      <c r="Y364" s="287"/>
      <c r="Z364" s="288"/>
      <c r="AA364" s="289">
        <f t="shared" si="84"/>
        <v>0</v>
      </c>
      <c r="AB364" s="290"/>
      <c r="AC364" s="291"/>
      <c r="AD364" s="292"/>
      <c r="AE364" s="293"/>
      <c r="AG364" s="295"/>
    </row>
    <row r="365" spans="1:33" s="294" customFormat="1" x14ac:dyDescent="0.25">
      <c r="A365" s="487"/>
      <c r="B365" s="490"/>
      <c r="C365" s="493"/>
      <c r="D365" s="390">
        <v>11</v>
      </c>
      <c r="E365" s="399">
        <v>363</v>
      </c>
      <c r="F365" s="474"/>
      <c r="G365" s="283"/>
      <c r="H365" s="283"/>
      <c r="I365" s="283"/>
      <c r="J365" s="283"/>
      <c r="K365" s="300"/>
      <c r="L365" s="484" t="str">
        <f t="shared" si="87"/>
        <v/>
      </c>
      <c r="M365" s="285"/>
      <c r="N365" s="402" t="str">
        <f t="shared" si="89"/>
        <v/>
      </c>
      <c r="O365" s="286">
        <f t="shared" si="90"/>
        <v>0</v>
      </c>
      <c r="P365" s="406" t="str">
        <f t="shared" si="91"/>
        <v>0</v>
      </c>
      <c r="Q365" s="286"/>
      <c r="R365" s="413" t="str">
        <f t="shared" si="81"/>
        <v/>
      </c>
      <c r="S365" s="419" t="str">
        <f t="shared" si="82"/>
        <v>:NAME</v>
      </c>
      <c r="T365" s="286"/>
      <c r="U365" s="287"/>
      <c r="V365" s="287"/>
      <c r="W365" s="287"/>
      <c r="X365" s="287"/>
      <c r="Y365" s="287"/>
      <c r="Z365" s="288"/>
      <c r="AA365" s="289">
        <f t="shared" si="84"/>
        <v>0</v>
      </c>
      <c r="AB365" s="290"/>
      <c r="AC365" s="291"/>
      <c r="AD365" s="292"/>
      <c r="AE365" s="293"/>
      <c r="AG365" s="295"/>
    </row>
    <row r="366" spans="1:33" s="294" customFormat="1" x14ac:dyDescent="0.25">
      <c r="A366" s="487"/>
      <c r="B366" s="490"/>
      <c r="C366" s="493"/>
      <c r="D366" s="390">
        <v>12</v>
      </c>
      <c r="E366" s="399">
        <v>364</v>
      </c>
      <c r="F366" s="474"/>
      <c r="G366" s="283"/>
      <c r="H366" s="283"/>
      <c r="I366" s="283"/>
      <c r="J366" s="283"/>
      <c r="K366" s="300"/>
      <c r="L366" s="484" t="str">
        <f t="shared" si="87"/>
        <v/>
      </c>
      <c r="M366" s="285"/>
      <c r="N366" s="402" t="str">
        <f t="shared" si="89"/>
        <v/>
      </c>
      <c r="O366" s="286">
        <f t="shared" si="90"/>
        <v>0</v>
      </c>
      <c r="P366" s="406" t="str">
        <f t="shared" si="91"/>
        <v>0</v>
      </c>
      <c r="Q366" s="286"/>
      <c r="R366" s="413" t="str">
        <f t="shared" si="81"/>
        <v/>
      </c>
      <c r="S366" s="419" t="str">
        <f t="shared" si="82"/>
        <v>:NAME</v>
      </c>
      <c r="T366" s="286"/>
      <c r="U366" s="287"/>
      <c r="V366" s="287"/>
      <c r="W366" s="287"/>
      <c r="X366" s="287"/>
      <c r="Y366" s="287"/>
      <c r="Z366" s="288"/>
      <c r="AA366" s="289">
        <f t="shared" si="84"/>
        <v>0</v>
      </c>
      <c r="AB366" s="290"/>
      <c r="AC366" s="291"/>
      <c r="AD366" s="292"/>
      <c r="AE366" s="293"/>
      <c r="AG366" s="295"/>
    </row>
    <row r="367" spans="1:33" s="294" customFormat="1" x14ac:dyDescent="0.25">
      <c r="A367" s="487"/>
      <c r="B367" s="490"/>
      <c r="C367" s="493"/>
      <c r="D367" s="390">
        <v>13</v>
      </c>
      <c r="E367" s="399">
        <v>365</v>
      </c>
      <c r="F367" s="474"/>
      <c r="G367" s="283"/>
      <c r="H367" s="283"/>
      <c r="I367" s="283"/>
      <c r="J367" s="283"/>
      <c r="K367" s="300"/>
      <c r="L367" s="484" t="str">
        <f t="shared" si="87"/>
        <v/>
      </c>
      <c r="M367" s="285"/>
      <c r="N367" s="402" t="str">
        <f t="shared" si="89"/>
        <v/>
      </c>
      <c r="O367" s="286">
        <f t="shared" si="90"/>
        <v>0</v>
      </c>
      <c r="P367" s="406" t="str">
        <f t="shared" si="91"/>
        <v>0</v>
      </c>
      <c r="Q367" s="286"/>
      <c r="R367" s="413" t="str">
        <f t="shared" si="81"/>
        <v/>
      </c>
      <c r="S367" s="419" t="str">
        <f t="shared" si="82"/>
        <v>:NAME</v>
      </c>
      <c r="T367" s="286"/>
      <c r="U367" s="287"/>
      <c r="V367" s="287"/>
      <c r="W367" s="287"/>
      <c r="X367" s="287"/>
      <c r="Y367" s="287"/>
      <c r="Z367" s="288"/>
      <c r="AA367" s="289">
        <f t="shared" si="84"/>
        <v>0</v>
      </c>
      <c r="AB367" s="290"/>
      <c r="AC367" s="291"/>
      <c r="AD367" s="292"/>
      <c r="AE367" s="293"/>
      <c r="AG367" s="295"/>
    </row>
    <row r="368" spans="1:33" s="294" customFormat="1" x14ac:dyDescent="0.25">
      <c r="A368" s="487"/>
      <c r="B368" s="490"/>
      <c r="C368" s="493"/>
      <c r="D368" s="390">
        <v>14</v>
      </c>
      <c r="E368" s="399">
        <v>366</v>
      </c>
      <c r="F368" s="474"/>
      <c r="G368" s="283"/>
      <c r="H368" s="283"/>
      <c r="I368" s="283"/>
      <c r="J368" s="283"/>
      <c r="K368" s="300"/>
      <c r="L368" s="484" t="str">
        <f t="shared" si="87"/>
        <v/>
      </c>
      <c r="M368" s="285"/>
      <c r="N368" s="402" t="str">
        <f t="shared" si="89"/>
        <v/>
      </c>
      <c r="O368" s="286">
        <f t="shared" si="90"/>
        <v>0</v>
      </c>
      <c r="P368" s="406" t="str">
        <f t="shared" si="91"/>
        <v>0</v>
      </c>
      <c r="Q368" s="286"/>
      <c r="R368" s="413" t="str">
        <f t="shared" si="81"/>
        <v/>
      </c>
      <c r="S368" s="419" t="str">
        <f t="shared" si="82"/>
        <v>:NAME</v>
      </c>
      <c r="T368" s="286"/>
      <c r="U368" s="287"/>
      <c r="V368" s="287"/>
      <c r="W368" s="287"/>
      <c r="X368" s="287"/>
      <c r="Y368" s="287"/>
      <c r="Z368" s="288"/>
      <c r="AA368" s="289">
        <f t="shared" si="84"/>
        <v>0</v>
      </c>
      <c r="AB368" s="290"/>
      <c r="AC368" s="291"/>
      <c r="AD368" s="292"/>
      <c r="AE368" s="293"/>
      <c r="AG368" s="295"/>
    </row>
    <row r="369" spans="1:33" s="294" customFormat="1" ht="15.75" thickBot="1" x14ac:dyDescent="0.3">
      <c r="A369" s="488"/>
      <c r="B369" s="491"/>
      <c r="C369" s="494"/>
      <c r="D369" s="390">
        <v>15</v>
      </c>
      <c r="E369" s="399">
        <v>367</v>
      </c>
      <c r="F369" s="474"/>
      <c r="G369" s="283"/>
      <c r="H369" s="283"/>
      <c r="I369" s="283"/>
      <c r="J369" s="306"/>
      <c r="K369" s="300"/>
      <c r="L369" s="484" t="str">
        <f t="shared" si="87"/>
        <v/>
      </c>
      <c r="M369" s="285"/>
      <c r="N369" s="402" t="str">
        <f t="shared" si="89"/>
        <v/>
      </c>
      <c r="O369" s="286">
        <f t="shared" si="90"/>
        <v>0</v>
      </c>
      <c r="P369" s="406" t="str">
        <f t="shared" si="91"/>
        <v>0</v>
      </c>
      <c r="Q369" s="286"/>
      <c r="R369" s="413" t="str">
        <f t="shared" si="81"/>
        <v/>
      </c>
      <c r="S369" s="419" t="str">
        <f t="shared" si="82"/>
        <v>:NAME</v>
      </c>
      <c r="T369" s="286"/>
      <c r="U369" s="287"/>
      <c r="V369" s="287"/>
      <c r="W369" s="287"/>
      <c r="X369" s="287"/>
      <c r="Y369" s="287"/>
      <c r="Z369" s="288"/>
      <c r="AA369" s="289">
        <f t="shared" si="84"/>
        <v>0</v>
      </c>
      <c r="AB369" s="290"/>
      <c r="AC369" s="291"/>
      <c r="AD369" s="292"/>
      <c r="AE369" s="293"/>
      <c r="AG369" s="295"/>
    </row>
    <row r="370" spans="1:33" s="279" customFormat="1" ht="14.45" customHeight="1" x14ac:dyDescent="0.25">
      <c r="A370" s="486" t="s">
        <v>44</v>
      </c>
      <c r="B370" s="489" t="str">
        <f>LOOKUP(A370,Module,IO)</f>
        <v>.</v>
      </c>
      <c r="C370" s="492" t="s">
        <v>31</v>
      </c>
      <c r="D370" s="389" t="s">
        <v>160</v>
      </c>
      <c r="E370" s="398">
        <v>368</v>
      </c>
      <c r="F370" s="476"/>
      <c r="G370" s="268"/>
      <c r="H370" s="268"/>
      <c r="I370" s="268"/>
      <c r="J370" s="268"/>
      <c r="K370" s="318"/>
      <c r="L370" s="483" t="str">
        <f t="shared" si="87"/>
        <v/>
      </c>
      <c r="M370" s="270"/>
      <c r="N370" s="401" t="str">
        <f t="shared" ref="N370:N385" si="92">IF(F370&lt;&gt;"",IF($H$1&lt;&gt;"","IO"&amp;".","IO.")&amp;$C$370&amp;"."&amp;$B$370&amp;D370,"")</f>
        <v/>
      </c>
      <c r="O370" s="271">
        <f t="shared" ref="O370:O385" si="93">LOOKUP($A$370,Module,Type)</f>
        <v>0</v>
      </c>
      <c r="P370" s="405" t="str">
        <f>O370&amp;N370</f>
        <v>0</v>
      </c>
      <c r="Q370" s="271"/>
      <c r="R370" s="412" t="str">
        <f t="shared" si="81"/>
        <v/>
      </c>
      <c r="S370" s="418" t="str">
        <f t="shared" si="82"/>
        <v>:NAME</v>
      </c>
      <c r="T370" s="271"/>
      <c r="U370" s="272"/>
      <c r="V370" s="272"/>
      <c r="W370" s="272"/>
      <c r="X370" s="272"/>
      <c r="Y370" s="272"/>
      <c r="Z370" s="273"/>
      <c r="AA370" s="274">
        <f t="shared" si="84"/>
        <v>0</v>
      </c>
      <c r="AB370" s="275"/>
      <c r="AC370" s="276"/>
      <c r="AD370" s="277"/>
      <c r="AE370" s="278"/>
      <c r="AG370" s="280"/>
    </row>
    <row r="371" spans="1:33" s="294" customFormat="1" x14ac:dyDescent="0.25">
      <c r="A371" s="487"/>
      <c r="B371" s="490"/>
      <c r="C371" s="493"/>
      <c r="D371" s="390">
        <v>1</v>
      </c>
      <c r="E371" s="399">
        <v>369</v>
      </c>
      <c r="F371" s="474"/>
      <c r="G371" s="283"/>
      <c r="H371" s="283"/>
      <c r="I371" s="283"/>
      <c r="J371" s="283"/>
      <c r="K371" s="300"/>
      <c r="L371" s="484" t="str">
        <f t="shared" si="87"/>
        <v/>
      </c>
      <c r="M371" s="285"/>
      <c r="N371" s="402" t="str">
        <f t="shared" si="92"/>
        <v/>
      </c>
      <c r="O371" s="286">
        <f t="shared" si="93"/>
        <v>0</v>
      </c>
      <c r="P371" s="406" t="str">
        <f t="shared" ref="P371:P385" si="94">O371&amp;N371</f>
        <v>0</v>
      </c>
      <c r="Q371" s="286"/>
      <c r="R371" s="413" t="str">
        <f t="shared" si="81"/>
        <v/>
      </c>
      <c r="S371" s="419" t="str">
        <f t="shared" si="82"/>
        <v>:NAME</v>
      </c>
      <c r="T371" s="286"/>
      <c r="U371" s="287"/>
      <c r="V371" s="287"/>
      <c r="W371" s="287"/>
      <c r="X371" s="287"/>
      <c r="Y371" s="287"/>
      <c r="Z371" s="288"/>
      <c r="AA371" s="289">
        <f t="shared" si="84"/>
        <v>0</v>
      </c>
      <c r="AB371" s="290"/>
      <c r="AC371" s="291"/>
      <c r="AD371" s="292"/>
      <c r="AE371" s="293"/>
      <c r="AG371" s="295"/>
    </row>
    <row r="372" spans="1:33" s="294" customFormat="1" x14ac:dyDescent="0.25">
      <c r="A372" s="487"/>
      <c r="B372" s="490"/>
      <c r="C372" s="493"/>
      <c r="D372" s="390">
        <v>2</v>
      </c>
      <c r="E372" s="399">
        <v>370</v>
      </c>
      <c r="F372" s="474"/>
      <c r="G372" s="283"/>
      <c r="H372" s="283"/>
      <c r="I372" s="283"/>
      <c r="J372" s="283"/>
      <c r="K372" s="300"/>
      <c r="L372" s="484" t="str">
        <f t="shared" si="87"/>
        <v/>
      </c>
      <c r="M372" s="285"/>
      <c r="N372" s="402" t="str">
        <f t="shared" si="92"/>
        <v/>
      </c>
      <c r="O372" s="286">
        <f t="shared" si="93"/>
        <v>0</v>
      </c>
      <c r="P372" s="406" t="str">
        <f t="shared" si="94"/>
        <v>0</v>
      </c>
      <c r="Q372" s="286"/>
      <c r="R372" s="413" t="str">
        <f t="shared" si="81"/>
        <v/>
      </c>
      <c r="S372" s="419" t="str">
        <f t="shared" si="82"/>
        <v>:NAME</v>
      </c>
      <c r="T372" s="286"/>
      <c r="U372" s="287"/>
      <c r="V372" s="287"/>
      <c r="W372" s="287"/>
      <c r="X372" s="287"/>
      <c r="Y372" s="287"/>
      <c r="Z372" s="288"/>
      <c r="AA372" s="289">
        <f t="shared" si="84"/>
        <v>0</v>
      </c>
      <c r="AB372" s="290"/>
      <c r="AC372" s="291"/>
      <c r="AD372" s="292"/>
      <c r="AE372" s="293"/>
      <c r="AG372" s="295"/>
    </row>
    <row r="373" spans="1:33" s="294" customFormat="1" x14ac:dyDescent="0.25">
      <c r="A373" s="487"/>
      <c r="B373" s="490"/>
      <c r="C373" s="493"/>
      <c r="D373" s="390">
        <v>3</v>
      </c>
      <c r="E373" s="399">
        <v>371</v>
      </c>
      <c r="F373" s="474"/>
      <c r="G373" s="283"/>
      <c r="H373" s="283"/>
      <c r="I373" s="283"/>
      <c r="J373" s="283"/>
      <c r="K373" s="300"/>
      <c r="L373" s="484" t="str">
        <f t="shared" si="87"/>
        <v/>
      </c>
      <c r="M373" s="285"/>
      <c r="N373" s="402" t="str">
        <f t="shared" si="92"/>
        <v/>
      </c>
      <c r="O373" s="286">
        <f t="shared" si="93"/>
        <v>0</v>
      </c>
      <c r="P373" s="406" t="str">
        <f t="shared" si="94"/>
        <v>0</v>
      </c>
      <c r="Q373" s="286"/>
      <c r="R373" s="413" t="str">
        <f t="shared" si="81"/>
        <v/>
      </c>
      <c r="S373" s="419" t="str">
        <f t="shared" si="82"/>
        <v>:NAME</v>
      </c>
      <c r="T373" s="286"/>
      <c r="U373" s="287"/>
      <c r="V373" s="287"/>
      <c r="W373" s="287"/>
      <c r="X373" s="287"/>
      <c r="Y373" s="287"/>
      <c r="Z373" s="288"/>
      <c r="AA373" s="289">
        <f t="shared" si="84"/>
        <v>0</v>
      </c>
      <c r="AB373" s="290"/>
      <c r="AC373" s="291"/>
      <c r="AD373" s="292"/>
      <c r="AE373" s="293"/>
      <c r="AG373" s="295"/>
    </row>
    <row r="374" spans="1:33" s="294" customFormat="1" x14ac:dyDescent="0.25">
      <c r="A374" s="487"/>
      <c r="B374" s="490"/>
      <c r="C374" s="493"/>
      <c r="D374" s="390">
        <v>4</v>
      </c>
      <c r="E374" s="399">
        <v>372</v>
      </c>
      <c r="F374" s="474"/>
      <c r="G374" s="283"/>
      <c r="H374" s="283"/>
      <c r="I374" s="283"/>
      <c r="J374" s="283"/>
      <c r="K374" s="300"/>
      <c r="L374" s="484" t="str">
        <f t="shared" si="87"/>
        <v/>
      </c>
      <c r="M374" s="285"/>
      <c r="N374" s="402" t="str">
        <f t="shared" si="92"/>
        <v/>
      </c>
      <c r="O374" s="286">
        <f t="shared" si="93"/>
        <v>0</v>
      </c>
      <c r="P374" s="406" t="str">
        <f t="shared" si="94"/>
        <v>0</v>
      </c>
      <c r="Q374" s="286"/>
      <c r="R374" s="413" t="str">
        <f t="shared" si="81"/>
        <v/>
      </c>
      <c r="S374" s="419" t="str">
        <f t="shared" si="82"/>
        <v>:NAME</v>
      </c>
      <c r="T374" s="286"/>
      <c r="U374" s="287"/>
      <c r="V374" s="287"/>
      <c r="W374" s="287"/>
      <c r="X374" s="287"/>
      <c r="Y374" s="287"/>
      <c r="Z374" s="288"/>
      <c r="AA374" s="289">
        <f t="shared" si="84"/>
        <v>0</v>
      </c>
      <c r="AB374" s="290"/>
      <c r="AC374" s="291"/>
      <c r="AD374" s="292"/>
      <c r="AE374" s="293"/>
      <c r="AG374" s="295"/>
    </row>
    <row r="375" spans="1:33" s="294" customFormat="1" x14ac:dyDescent="0.25">
      <c r="A375" s="487"/>
      <c r="B375" s="490"/>
      <c r="C375" s="493"/>
      <c r="D375" s="390">
        <v>5</v>
      </c>
      <c r="E375" s="399">
        <v>373</v>
      </c>
      <c r="F375" s="474"/>
      <c r="G375" s="283"/>
      <c r="H375" s="283"/>
      <c r="I375" s="283"/>
      <c r="J375" s="283"/>
      <c r="K375" s="300"/>
      <c r="L375" s="484" t="str">
        <f t="shared" si="87"/>
        <v/>
      </c>
      <c r="M375" s="285"/>
      <c r="N375" s="402" t="str">
        <f t="shared" si="92"/>
        <v/>
      </c>
      <c r="O375" s="286">
        <f t="shared" si="93"/>
        <v>0</v>
      </c>
      <c r="P375" s="406" t="str">
        <f t="shared" si="94"/>
        <v>0</v>
      </c>
      <c r="Q375" s="286"/>
      <c r="R375" s="413" t="str">
        <f t="shared" si="81"/>
        <v/>
      </c>
      <c r="S375" s="419" t="str">
        <f t="shared" si="82"/>
        <v>:NAME</v>
      </c>
      <c r="T375" s="286"/>
      <c r="U375" s="287"/>
      <c r="V375" s="287"/>
      <c r="W375" s="287"/>
      <c r="X375" s="287"/>
      <c r="Y375" s="287"/>
      <c r="Z375" s="288"/>
      <c r="AA375" s="289">
        <f t="shared" si="84"/>
        <v>0</v>
      </c>
      <c r="AB375" s="290"/>
      <c r="AC375" s="291"/>
      <c r="AD375" s="292"/>
      <c r="AE375" s="293"/>
      <c r="AG375" s="295"/>
    </row>
    <row r="376" spans="1:33" s="294" customFormat="1" x14ac:dyDescent="0.25">
      <c r="A376" s="487"/>
      <c r="B376" s="490"/>
      <c r="C376" s="493"/>
      <c r="D376" s="390">
        <v>6</v>
      </c>
      <c r="E376" s="399">
        <v>374</v>
      </c>
      <c r="F376" s="474"/>
      <c r="G376" s="283"/>
      <c r="H376" s="283"/>
      <c r="I376" s="283"/>
      <c r="J376" s="283"/>
      <c r="K376" s="300"/>
      <c r="L376" s="484" t="str">
        <f t="shared" si="87"/>
        <v/>
      </c>
      <c r="M376" s="285"/>
      <c r="N376" s="402" t="str">
        <f t="shared" si="92"/>
        <v/>
      </c>
      <c r="O376" s="286">
        <f t="shared" si="93"/>
        <v>0</v>
      </c>
      <c r="P376" s="406" t="str">
        <f t="shared" si="94"/>
        <v>0</v>
      </c>
      <c r="Q376" s="286"/>
      <c r="R376" s="413" t="str">
        <f t="shared" si="81"/>
        <v/>
      </c>
      <c r="S376" s="419" t="str">
        <f t="shared" si="82"/>
        <v>:NAME</v>
      </c>
      <c r="T376" s="286"/>
      <c r="U376" s="287"/>
      <c r="V376" s="287"/>
      <c r="W376" s="287"/>
      <c r="X376" s="287"/>
      <c r="Y376" s="287"/>
      <c r="Z376" s="288"/>
      <c r="AA376" s="289">
        <f t="shared" si="84"/>
        <v>0</v>
      </c>
      <c r="AB376" s="290"/>
      <c r="AC376" s="291"/>
      <c r="AD376" s="292"/>
      <c r="AE376" s="293"/>
      <c r="AG376" s="295"/>
    </row>
    <row r="377" spans="1:33" s="294" customFormat="1" x14ac:dyDescent="0.25">
      <c r="A377" s="487"/>
      <c r="B377" s="490"/>
      <c r="C377" s="493"/>
      <c r="D377" s="390">
        <v>7</v>
      </c>
      <c r="E377" s="399">
        <v>375</v>
      </c>
      <c r="F377" s="474"/>
      <c r="G377" s="283"/>
      <c r="H377" s="283"/>
      <c r="I377" s="283"/>
      <c r="J377" s="283"/>
      <c r="K377" s="300"/>
      <c r="L377" s="484" t="str">
        <f t="shared" si="87"/>
        <v/>
      </c>
      <c r="M377" s="285"/>
      <c r="N377" s="402" t="str">
        <f t="shared" si="92"/>
        <v/>
      </c>
      <c r="O377" s="286">
        <f t="shared" si="93"/>
        <v>0</v>
      </c>
      <c r="P377" s="406" t="str">
        <f t="shared" si="94"/>
        <v>0</v>
      </c>
      <c r="Q377" s="286"/>
      <c r="R377" s="413" t="str">
        <f t="shared" si="81"/>
        <v/>
      </c>
      <c r="S377" s="419" t="str">
        <f t="shared" si="82"/>
        <v>:NAME</v>
      </c>
      <c r="T377" s="286"/>
      <c r="U377" s="287"/>
      <c r="V377" s="287"/>
      <c r="W377" s="287"/>
      <c r="X377" s="287"/>
      <c r="Y377" s="287"/>
      <c r="Z377" s="288"/>
      <c r="AA377" s="289">
        <f t="shared" si="84"/>
        <v>0</v>
      </c>
      <c r="AB377" s="290"/>
      <c r="AC377" s="291"/>
      <c r="AD377" s="292"/>
      <c r="AE377" s="293"/>
      <c r="AG377" s="295"/>
    </row>
    <row r="378" spans="1:33" s="294" customFormat="1" x14ac:dyDescent="0.25">
      <c r="A378" s="487"/>
      <c r="B378" s="490"/>
      <c r="C378" s="493"/>
      <c r="D378" s="390">
        <v>8</v>
      </c>
      <c r="E378" s="399">
        <v>376</v>
      </c>
      <c r="F378" s="474"/>
      <c r="G378" s="283"/>
      <c r="H378" s="283"/>
      <c r="I378" s="283"/>
      <c r="J378" s="283"/>
      <c r="K378" s="300"/>
      <c r="L378" s="484" t="str">
        <f t="shared" si="87"/>
        <v/>
      </c>
      <c r="M378" s="285"/>
      <c r="N378" s="402" t="str">
        <f t="shared" si="92"/>
        <v/>
      </c>
      <c r="O378" s="286">
        <f t="shared" si="93"/>
        <v>0</v>
      </c>
      <c r="P378" s="406" t="str">
        <f t="shared" si="94"/>
        <v>0</v>
      </c>
      <c r="Q378" s="286"/>
      <c r="R378" s="413" t="str">
        <f t="shared" si="81"/>
        <v/>
      </c>
      <c r="S378" s="419" t="str">
        <f t="shared" si="82"/>
        <v>:NAME</v>
      </c>
      <c r="T378" s="286"/>
      <c r="U378" s="287"/>
      <c r="V378" s="287"/>
      <c r="W378" s="287"/>
      <c r="X378" s="287"/>
      <c r="Y378" s="287"/>
      <c r="Z378" s="288"/>
      <c r="AA378" s="289">
        <f t="shared" si="84"/>
        <v>0</v>
      </c>
      <c r="AB378" s="290"/>
      <c r="AC378" s="291"/>
      <c r="AD378" s="292"/>
      <c r="AE378" s="293"/>
      <c r="AG378" s="295"/>
    </row>
    <row r="379" spans="1:33" s="294" customFormat="1" x14ac:dyDescent="0.25">
      <c r="A379" s="487"/>
      <c r="B379" s="490"/>
      <c r="C379" s="493"/>
      <c r="D379" s="390">
        <v>9</v>
      </c>
      <c r="E379" s="399">
        <v>377</v>
      </c>
      <c r="F379" s="474"/>
      <c r="G379" s="283"/>
      <c r="H379" s="283"/>
      <c r="I379" s="283"/>
      <c r="J379" s="283"/>
      <c r="K379" s="300"/>
      <c r="L379" s="484" t="str">
        <f t="shared" si="87"/>
        <v/>
      </c>
      <c r="M379" s="285"/>
      <c r="N379" s="402" t="str">
        <f t="shared" si="92"/>
        <v/>
      </c>
      <c r="O379" s="286">
        <f t="shared" si="93"/>
        <v>0</v>
      </c>
      <c r="P379" s="406" t="str">
        <f t="shared" si="94"/>
        <v>0</v>
      </c>
      <c r="Q379" s="286"/>
      <c r="R379" s="413" t="str">
        <f t="shared" si="81"/>
        <v/>
      </c>
      <c r="S379" s="419" t="str">
        <f t="shared" si="82"/>
        <v>:NAME</v>
      </c>
      <c r="T379" s="286"/>
      <c r="U379" s="287"/>
      <c r="V379" s="287"/>
      <c r="W379" s="287"/>
      <c r="X379" s="287"/>
      <c r="Y379" s="287"/>
      <c r="Z379" s="288"/>
      <c r="AA379" s="289">
        <f t="shared" si="84"/>
        <v>0</v>
      </c>
      <c r="AB379" s="290"/>
      <c r="AC379" s="291"/>
      <c r="AD379" s="292"/>
      <c r="AE379" s="293"/>
      <c r="AG379" s="295"/>
    </row>
    <row r="380" spans="1:33" s="294" customFormat="1" x14ac:dyDescent="0.25">
      <c r="A380" s="487"/>
      <c r="B380" s="490"/>
      <c r="C380" s="493"/>
      <c r="D380" s="390">
        <v>10</v>
      </c>
      <c r="E380" s="399">
        <v>378</v>
      </c>
      <c r="F380" s="474"/>
      <c r="G380" s="283"/>
      <c r="H380" s="283"/>
      <c r="I380" s="283"/>
      <c r="J380" s="283"/>
      <c r="K380" s="300"/>
      <c r="L380" s="484" t="str">
        <f t="shared" si="87"/>
        <v/>
      </c>
      <c r="M380" s="285"/>
      <c r="N380" s="402" t="str">
        <f t="shared" si="92"/>
        <v/>
      </c>
      <c r="O380" s="286">
        <f t="shared" si="93"/>
        <v>0</v>
      </c>
      <c r="P380" s="406" t="str">
        <f t="shared" si="94"/>
        <v>0</v>
      </c>
      <c r="Q380" s="286"/>
      <c r="R380" s="413" t="str">
        <f t="shared" si="81"/>
        <v/>
      </c>
      <c r="S380" s="419" t="str">
        <f t="shared" si="82"/>
        <v>:NAME</v>
      </c>
      <c r="T380" s="286"/>
      <c r="U380" s="287"/>
      <c r="V380" s="287"/>
      <c r="W380" s="287"/>
      <c r="X380" s="287"/>
      <c r="Y380" s="287"/>
      <c r="Z380" s="288"/>
      <c r="AA380" s="289">
        <f t="shared" si="84"/>
        <v>0</v>
      </c>
      <c r="AB380" s="290"/>
      <c r="AC380" s="291"/>
      <c r="AD380" s="292"/>
      <c r="AE380" s="293"/>
      <c r="AG380" s="295"/>
    </row>
    <row r="381" spans="1:33" s="294" customFormat="1" x14ac:dyDescent="0.25">
      <c r="A381" s="487"/>
      <c r="B381" s="490"/>
      <c r="C381" s="493"/>
      <c r="D381" s="390">
        <v>11</v>
      </c>
      <c r="E381" s="399">
        <v>379</v>
      </c>
      <c r="F381" s="474"/>
      <c r="G381" s="283"/>
      <c r="H381" s="283"/>
      <c r="I381" s="283"/>
      <c r="J381" s="283"/>
      <c r="K381" s="300"/>
      <c r="L381" s="484" t="str">
        <f t="shared" si="87"/>
        <v/>
      </c>
      <c r="M381" s="285"/>
      <c r="N381" s="402" t="str">
        <f t="shared" si="92"/>
        <v/>
      </c>
      <c r="O381" s="286">
        <f t="shared" si="93"/>
        <v>0</v>
      </c>
      <c r="P381" s="406" t="str">
        <f t="shared" si="94"/>
        <v>0</v>
      </c>
      <c r="Q381" s="286"/>
      <c r="R381" s="413" t="str">
        <f t="shared" si="81"/>
        <v/>
      </c>
      <c r="S381" s="419" t="str">
        <f t="shared" si="82"/>
        <v>:NAME</v>
      </c>
      <c r="T381" s="286"/>
      <c r="U381" s="287"/>
      <c r="V381" s="287"/>
      <c r="W381" s="287"/>
      <c r="X381" s="287"/>
      <c r="Y381" s="287"/>
      <c r="Z381" s="288"/>
      <c r="AA381" s="289">
        <f t="shared" si="84"/>
        <v>0</v>
      </c>
      <c r="AB381" s="290"/>
      <c r="AC381" s="291"/>
      <c r="AD381" s="292"/>
      <c r="AE381" s="293"/>
      <c r="AG381" s="295"/>
    </row>
    <row r="382" spans="1:33" s="294" customFormat="1" x14ac:dyDescent="0.25">
      <c r="A382" s="487"/>
      <c r="B382" s="490"/>
      <c r="C382" s="493"/>
      <c r="D382" s="390">
        <v>12</v>
      </c>
      <c r="E382" s="399">
        <v>380</v>
      </c>
      <c r="F382" s="474"/>
      <c r="G382" s="283"/>
      <c r="H382" s="283"/>
      <c r="I382" s="283"/>
      <c r="J382" s="283"/>
      <c r="K382" s="300"/>
      <c r="L382" s="484" t="str">
        <f t="shared" si="87"/>
        <v/>
      </c>
      <c r="M382" s="285"/>
      <c r="N382" s="402" t="str">
        <f t="shared" si="92"/>
        <v/>
      </c>
      <c r="O382" s="286">
        <f t="shared" si="93"/>
        <v>0</v>
      </c>
      <c r="P382" s="406" t="str">
        <f t="shared" si="94"/>
        <v>0</v>
      </c>
      <c r="Q382" s="286"/>
      <c r="R382" s="413" t="str">
        <f t="shared" si="81"/>
        <v/>
      </c>
      <c r="S382" s="419" t="str">
        <f t="shared" si="82"/>
        <v>:NAME</v>
      </c>
      <c r="T382" s="286"/>
      <c r="U382" s="287"/>
      <c r="V382" s="287"/>
      <c r="W382" s="287"/>
      <c r="X382" s="287"/>
      <c r="Y382" s="287"/>
      <c r="Z382" s="288"/>
      <c r="AA382" s="289">
        <f t="shared" si="84"/>
        <v>0</v>
      </c>
      <c r="AB382" s="290"/>
      <c r="AC382" s="291"/>
      <c r="AD382" s="292"/>
      <c r="AE382" s="293"/>
      <c r="AG382" s="295"/>
    </row>
    <row r="383" spans="1:33" s="294" customFormat="1" x14ac:dyDescent="0.25">
      <c r="A383" s="487"/>
      <c r="B383" s="490"/>
      <c r="C383" s="493"/>
      <c r="D383" s="390">
        <v>13</v>
      </c>
      <c r="E383" s="399">
        <v>381</v>
      </c>
      <c r="F383" s="474"/>
      <c r="G383" s="283"/>
      <c r="H383" s="283"/>
      <c r="I383" s="283"/>
      <c r="J383" s="283"/>
      <c r="K383" s="300"/>
      <c r="L383" s="484" t="str">
        <f t="shared" si="87"/>
        <v/>
      </c>
      <c r="M383" s="285"/>
      <c r="N383" s="402" t="str">
        <f t="shared" si="92"/>
        <v/>
      </c>
      <c r="O383" s="286">
        <f t="shared" si="93"/>
        <v>0</v>
      </c>
      <c r="P383" s="406" t="str">
        <f t="shared" si="94"/>
        <v>0</v>
      </c>
      <c r="Q383" s="286"/>
      <c r="R383" s="413" t="str">
        <f t="shared" si="81"/>
        <v/>
      </c>
      <c r="S383" s="419" t="str">
        <f t="shared" si="82"/>
        <v>:NAME</v>
      </c>
      <c r="T383" s="286"/>
      <c r="U383" s="287"/>
      <c r="V383" s="287"/>
      <c r="W383" s="287"/>
      <c r="X383" s="287"/>
      <c r="Y383" s="287"/>
      <c r="Z383" s="288"/>
      <c r="AA383" s="289">
        <f t="shared" si="84"/>
        <v>0</v>
      </c>
      <c r="AB383" s="290"/>
      <c r="AC383" s="291"/>
      <c r="AD383" s="292"/>
      <c r="AE383" s="293"/>
      <c r="AG383" s="295"/>
    </row>
    <row r="384" spans="1:33" s="294" customFormat="1" x14ac:dyDescent="0.25">
      <c r="A384" s="487"/>
      <c r="B384" s="490"/>
      <c r="C384" s="493"/>
      <c r="D384" s="390">
        <v>14</v>
      </c>
      <c r="E384" s="399">
        <v>382</v>
      </c>
      <c r="F384" s="474"/>
      <c r="G384" s="283"/>
      <c r="H384" s="283"/>
      <c r="I384" s="283"/>
      <c r="J384" s="283"/>
      <c r="K384" s="300"/>
      <c r="L384" s="484" t="str">
        <f t="shared" si="87"/>
        <v/>
      </c>
      <c r="M384" s="285"/>
      <c r="N384" s="402" t="str">
        <f t="shared" si="92"/>
        <v/>
      </c>
      <c r="O384" s="286">
        <f t="shared" si="93"/>
        <v>0</v>
      </c>
      <c r="P384" s="406" t="str">
        <f t="shared" si="94"/>
        <v>0</v>
      </c>
      <c r="Q384" s="286"/>
      <c r="R384" s="413" t="str">
        <f t="shared" si="81"/>
        <v/>
      </c>
      <c r="S384" s="419" t="str">
        <f t="shared" si="82"/>
        <v>:NAME</v>
      </c>
      <c r="T384" s="286"/>
      <c r="U384" s="287"/>
      <c r="V384" s="287"/>
      <c r="W384" s="287"/>
      <c r="X384" s="287"/>
      <c r="Y384" s="287"/>
      <c r="Z384" s="288"/>
      <c r="AA384" s="289">
        <f t="shared" si="84"/>
        <v>0</v>
      </c>
      <c r="AB384" s="290"/>
      <c r="AC384" s="291"/>
      <c r="AD384" s="292"/>
      <c r="AE384" s="293"/>
      <c r="AG384" s="295"/>
    </row>
    <row r="385" spans="1:33" s="294" customFormat="1" ht="15.75" thickBot="1" x14ac:dyDescent="0.3">
      <c r="A385" s="488"/>
      <c r="B385" s="491"/>
      <c r="C385" s="494"/>
      <c r="D385" s="390">
        <v>15</v>
      </c>
      <c r="E385" s="399">
        <v>383</v>
      </c>
      <c r="F385" s="474"/>
      <c r="G385" s="283"/>
      <c r="H385" s="283"/>
      <c r="I385" s="283"/>
      <c r="J385" s="283"/>
      <c r="K385" s="300"/>
      <c r="L385" s="484" t="str">
        <f t="shared" si="87"/>
        <v/>
      </c>
      <c r="M385" s="285"/>
      <c r="N385" s="402" t="str">
        <f t="shared" si="92"/>
        <v/>
      </c>
      <c r="O385" s="286">
        <f t="shared" si="93"/>
        <v>0</v>
      </c>
      <c r="P385" s="406" t="str">
        <f t="shared" si="94"/>
        <v>0</v>
      </c>
      <c r="Q385" s="286"/>
      <c r="R385" s="413" t="str">
        <f t="shared" si="81"/>
        <v/>
      </c>
      <c r="S385" s="419" t="str">
        <f t="shared" si="82"/>
        <v>:NAME</v>
      </c>
      <c r="T385" s="286"/>
      <c r="U385" s="287"/>
      <c r="V385" s="287"/>
      <c r="W385" s="287"/>
      <c r="X385" s="287"/>
      <c r="Y385" s="287"/>
      <c r="Z385" s="288"/>
      <c r="AA385" s="289">
        <f t="shared" si="84"/>
        <v>0</v>
      </c>
      <c r="AB385" s="290"/>
      <c r="AC385" s="291"/>
      <c r="AD385" s="292"/>
      <c r="AE385" s="293"/>
      <c r="AG385" s="295"/>
    </row>
    <row r="386" spans="1:33" s="322" customFormat="1" ht="14.45" customHeight="1" x14ac:dyDescent="0.25">
      <c r="A386" s="486" t="s">
        <v>44</v>
      </c>
      <c r="B386" s="489" t="str">
        <f>LOOKUP(A386,Module,IO)</f>
        <v>.</v>
      </c>
      <c r="C386" s="492" t="s">
        <v>32</v>
      </c>
      <c r="D386" s="389" t="s">
        <v>160</v>
      </c>
      <c r="E386" s="398">
        <v>384</v>
      </c>
      <c r="F386" s="476"/>
      <c r="G386" s="268"/>
      <c r="H386" s="268"/>
      <c r="I386" s="268"/>
      <c r="J386" s="268"/>
      <c r="K386" s="318"/>
      <c r="L386" s="483" t="str">
        <f t="shared" si="87"/>
        <v/>
      </c>
      <c r="M386" s="270"/>
      <c r="N386" s="401"/>
      <c r="O386" s="271"/>
      <c r="P386" s="405"/>
      <c r="Q386" s="271"/>
      <c r="R386" s="412" t="str">
        <f t="shared" ref="R386:R449" si="95">IF(G386&lt;&gt;"",G386&amp;"."&amp;H386&amp;"."&amp;I386&amp;"."&amp;J386&amp;IF(K386&lt;&gt;"","."&amp;K386,""),"")</f>
        <v/>
      </c>
      <c r="S386" s="418" t="str">
        <f t="shared" ref="S386:S449" si="96">L386&amp;":NAME"</f>
        <v>:NAME</v>
      </c>
      <c r="T386" s="273"/>
      <c r="U386" s="319"/>
      <c r="V386" s="319"/>
      <c r="W386" s="319"/>
      <c r="X386" s="319"/>
      <c r="Y386" s="272"/>
      <c r="Z386" s="273"/>
      <c r="AA386" s="274">
        <f t="shared" si="84"/>
        <v>0</v>
      </c>
      <c r="AB386" s="320"/>
      <c r="AC386" s="321"/>
      <c r="AD386" s="277"/>
      <c r="AE386" s="278"/>
      <c r="AG386" s="323"/>
    </row>
    <row r="387" spans="1:33" s="294" customFormat="1" x14ac:dyDescent="0.25">
      <c r="A387" s="487"/>
      <c r="B387" s="490"/>
      <c r="C387" s="493"/>
      <c r="D387" s="390">
        <v>1</v>
      </c>
      <c r="E387" s="399">
        <v>385</v>
      </c>
      <c r="F387" s="474"/>
      <c r="G387" s="283"/>
      <c r="H387" s="283"/>
      <c r="I387" s="283"/>
      <c r="J387" s="283"/>
      <c r="K387" s="300"/>
      <c r="L387" s="484" t="str">
        <f t="shared" si="87"/>
        <v/>
      </c>
      <c r="M387" s="285"/>
      <c r="N387" s="402"/>
      <c r="O387" s="286"/>
      <c r="P387" s="406"/>
      <c r="Q387" s="286"/>
      <c r="R387" s="413" t="str">
        <f t="shared" si="95"/>
        <v/>
      </c>
      <c r="S387" s="419" t="str">
        <f t="shared" si="96"/>
        <v>:NAME</v>
      </c>
      <c r="T387" s="286"/>
      <c r="U387" s="287"/>
      <c r="V387" s="287"/>
      <c r="W387" s="287"/>
      <c r="X387" s="287"/>
      <c r="Y387" s="287"/>
      <c r="Z387" s="288"/>
      <c r="AA387" s="289">
        <f t="shared" ref="AA387:AA450" si="97">LEN(L387)</f>
        <v>0</v>
      </c>
      <c r="AB387" s="290"/>
      <c r="AC387" s="291"/>
      <c r="AD387" s="292"/>
      <c r="AE387" s="293"/>
      <c r="AG387" s="295"/>
    </row>
    <row r="388" spans="1:33" s="294" customFormat="1" x14ac:dyDescent="0.25">
      <c r="A388" s="487"/>
      <c r="B388" s="490"/>
      <c r="C388" s="493"/>
      <c r="D388" s="390">
        <v>2</v>
      </c>
      <c r="E388" s="399">
        <v>386</v>
      </c>
      <c r="F388" s="474"/>
      <c r="G388" s="283"/>
      <c r="H388" s="283"/>
      <c r="I388" s="283"/>
      <c r="J388" s="283"/>
      <c r="K388" s="300"/>
      <c r="L388" s="484" t="str">
        <f t="shared" si="87"/>
        <v/>
      </c>
      <c r="M388" s="285"/>
      <c r="N388" s="402"/>
      <c r="O388" s="286"/>
      <c r="P388" s="406"/>
      <c r="Q388" s="286"/>
      <c r="R388" s="413" t="str">
        <f t="shared" si="95"/>
        <v/>
      </c>
      <c r="S388" s="419" t="str">
        <f t="shared" si="96"/>
        <v>:NAME</v>
      </c>
      <c r="T388" s="286"/>
      <c r="U388" s="287"/>
      <c r="V388" s="287"/>
      <c r="W388" s="287"/>
      <c r="X388" s="287"/>
      <c r="Y388" s="287"/>
      <c r="Z388" s="288"/>
      <c r="AA388" s="289">
        <f t="shared" si="97"/>
        <v>0</v>
      </c>
      <c r="AB388" s="290"/>
      <c r="AC388" s="291"/>
      <c r="AD388" s="292"/>
      <c r="AE388" s="293"/>
      <c r="AG388" s="295"/>
    </row>
    <row r="389" spans="1:33" s="294" customFormat="1" x14ac:dyDescent="0.25">
      <c r="A389" s="487"/>
      <c r="B389" s="490"/>
      <c r="C389" s="493"/>
      <c r="D389" s="390">
        <v>3</v>
      </c>
      <c r="E389" s="399">
        <v>387</v>
      </c>
      <c r="F389" s="474"/>
      <c r="G389" s="283"/>
      <c r="H389" s="283"/>
      <c r="I389" s="283"/>
      <c r="J389" s="283"/>
      <c r="K389" s="300"/>
      <c r="L389" s="484" t="str">
        <f t="shared" si="87"/>
        <v/>
      </c>
      <c r="M389" s="285"/>
      <c r="N389" s="402"/>
      <c r="O389" s="286"/>
      <c r="P389" s="406"/>
      <c r="Q389" s="286"/>
      <c r="R389" s="413" t="str">
        <f t="shared" si="95"/>
        <v/>
      </c>
      <c r="S389" s="419" t="str">
        <f t="shared" si="96"/>
        <v>:NAME</v>
      </c>
      <c r="T389" s="286"/>
      <c r="U389" s="287"/>
      <c r="V389" s="287"/>
      <c r="W389" s="287"/>
      <c r="X389" s="287"/>
      <c r="Y389" s="287"/>
      <c r="Z389" s="288"/>
      <c r="AA389" s="289">
        <f t="shared" si="97"/>
        <v>0</v>
      </c>
      <c r="AB389" s="290"/>
      <c r="AC389" s="291"/>
      <c r="AD389" s="292"/>
      <c r="AE389" s="293"/>
      <c r="AG389" s="295"/>
    </row>
    <row r="390" spans="1:33" s="294" customFormat="1" x14ac:dyDescent="0.25">
      <c r="A390" s="487"/>
      <c r="B390" s="490"/>
      <c r="C390" s="493"/>
      <c r="D390" s="390">
        <v>4</v>
      </c>
      <c r="E390" s="399">
        <v>388</v>
      </c>
      <c r="F390" s="474"/>
      <c r="G390" s="283"/>
      <c r="H390" s="283"/>
      <c r="I390" s="283"/>
      <c r="J390" s="283"/>
      <c r="K390" s="300"/>
      <c r="L390" s="484" t="str">
        <f t="shared" si="87"/>
        <v/>
      </c>
      <c r="M390" s="285"/>
      <c r="N390" s="402"/>
      <c r="O390" s="286"/>
      <c r="P390" s="406"/>
      <c r="Q390" s="286"/>
      <c r="R390" s="413" t="str">
        <f t="shared" si="95"/>
        <v/>
      </c>
      <c r="S390" s="419" t="str">
        <f t="shared" si="96"/>
        <v>:NAME</v>
      </c>
      <c r="T390" s="286"/>
      <c r="U390" s="287"/>
      <c r="V390" s="287"/>
      <c r="W390" s="287"/>
      <c r="X390" s="287"/>
      <c r="Y390" s="287"/>
      <c r="Z390" s="288"/>
      <c r="AA390" s="289">
        <f t="shared" si="97"/>
        <v>0</v>
      </c>
      <c r="AB390" s="290"/>
      <c r="AC390" s="291"/>
      <c r="AD390" s="292"/>
      <c r="AE390" s="293"/>
      <c r="AG390" s="295"/>
    </row>
    <row r="391" spans="1:33" s="294" customFormat="1" x14ac:dyDescent="0.25">
      <c r="A391" s="487"/>
      <c r="B391" s="490"/>
      <c r="C391" s="493"/>
      <c r="D391" s="390">
        <v>5</v>
      </c>
      <c r="E391" s="399">
        <v>389</v>
      </c>
      <c r="F391" s="474"/>
      <c r="G391" s="283"/>
      <c r="H391" s="283"/>
      <c r="I391" s="283"/>
      <c r="J391" s="283"/>
      <c r="K391" s="300"/>
      <c r="L391" s="484" t="str">
        <f t="shared" si="87"/>
        <v/>
      </c>
      <c r="M391" s="285"/>
      <c r="N391" s="402"/>
      <c r="O391" s="286"/>
      <c r="P391" s="406"/>
      <c r="Q391" s="286"/>
      <c r="R391" s="413" t="str">
        <f t="shared" si="95"/>
        <v/>
      </c>
      <c r="S391" s="419" t="str">
        <f t="shared" si="96"/>
        <v>:NAME</v>
      </c>
      <c r="T391" s="286"/>
      <c r="U391" s="287"/>
      <c r="V391" s="287"/>
      <c r="W391" s="287"/>
      <c r="X391" s="287"/>
      <c r="Y391" s="287"/>
      <c r="Z391" s="288"/>
      <c r="AA391" s="289">
        <f t="shared" si="97"/>
        <v>0</v>
      </c>
      <c r="AB391" s="290"/>
      <c r="AC391" s="291"/>
      <c r="AD391" s="292"/>
      <c r="AE391" s="293"/>
      <c r="AG391" s="295"/>
    </row>
    <row r="392" spans="1:33" s="294" customFormat="1" x14ac:dyDescent="0.25">
      <c r="A392" s="487"/>
      <c r="B392" s="490"/>
      <c r="C392" s="493"/>
      <c r="D392" s="390">
        <v>6</v>
      </c>
      <c r="E392" s="399">
        <v>390</v>
      </c>
      <c r="F392" s="474"/>
      <c r="G392" s="283"/>
      <c r="H392" s="283"/>
      <c r="I392" s="283"/>
      <c r="J392" s="283"/>
      <c r="K392" s="300"/>
      <c r="L392" s="484" t="str">
        <f t="shared" si="87"/>
        <v/>
      </c>
      <c r="M392" s="285"/>
      <c r="N392" s="402"/>
      <c r="O392" s="286"/>
      <c r="P392" s="406"/>
      <c r="Q392" s="286"/>
      <c r="R392" s="413" t="str">
        <f t="shared" si="95"/>
        <v/>
      </c>
      <c r="S392" s="419" t="str">
        <f t="shared" si="96"/>
        <v>:NAME</v>
      </c>
      <c r="T392" s="286"/>
      <c r="U392" s="287"/>
      <c r="V392" s="287"/>
      <c r="W392" s="287"/>
      <c r="X392" s="287"/>
      <c r="Y392" s="287"/>
      <c r="Z392" s="288"/>
      <c r="AA392" s="289">
        <f t="shared" si="97"/>
        <v>0</v>
      </c>
      <c r="AB392" s="290"/>
      <c r="AC392" s="291"/>
      <c r="AD392" s="292"/>
      <c r="AE392" s="293"/>
      <c r="AG392" s="295"/>
    </row>
    <row r="393" spans="1:33" s="294" customFormat="1" x14ac:dyDescent="0.25">
      <c r="A393" s="487"/>
      <c r="B393" s="490"/>
      <c r="C393" s="493"/>
      <c r="D393" s="390">
        <v>7</v>
      </c>
      <c r="E393" s="399">
        <v>391</v>
      </c>
      <c r="F393" s="474"/>
      <c r="G393" s="283"/>
      <c r="H393" s="283"/>
      <c r="I393" s="283"/>
      <c r="J393" s="283"/>
      <c r="K393" s="300"/>
      <c r="L393" s="484" t="str">
        <f t="shared" si="87"/>
        <v/>
      </c>
      <c r="M393" s="285"/>
      <c r="N393" s="402"/>
      <c r="O393" s="286"/>
      <c r="P393" s="408"/>
      <c r="Q393" s="286"/>
      <c r="R393" s="413" t="str">
        <f t="shared" si="95"/>
        <v/>
      </c>
      <c r="S393" s="419" t="str">
        <f t="shared" si="96"/>
        <v>:NAME</v>
      </c>
      <c r="T393" s="286"/>
      <c r="U393" s="287"/>
      <c r="V393" s="287"/>
      <c r="W393" s="287"/>
      <c r="X393" s="287"/>
      <c r="Y393" s="287"/>
      <c r="Z393" s="288"/>
      <c r="AA393" s="289">
        <f t="shared" si="97"/>
        <v>0</v>
      </c>
      <c r="AB393" s="290"/>
      <c r="AC393" s="291"/>
      <c r="AD393" s="292"/>
      <c r="AE393" s="293"/>
      <c r="AG393" s="295"/>
    </row>
    <row r="394" spans="1:33" s="294" customFormat="1" x14ac:dyDescent="0.25">
      <c r="A394" s="487"/>
      <c r="B394" s="490"/>
      <c r="C394" s="493"/>
      <c r="D394" s="390">
        <v>8</v>
      </c>
      <c r="E394" s="399">
        <v>392</v>
      </c>
      <c r="F394" s="474"/>
      <c r="G394" s="283"/>
      <c r="H394" s="283"/>
      <c r="I394" s="283"/>
      <c r="J394" s="283"/>
      <c r="K394" s="300"/>
      <c r="L394" s="484" t="str">
        <f t="shared" si="87"/>
        <v/>
      </c>
      <c r="M394" s="285"/>
      <c r="N394" s="402"/>
      <c r="O394" s="286"/>
      <c r="P394" s="408"/>
      <c r="Q394" s="286"/>
      <c r="R394" s="413" t="str">
        <f t="shared" si="95"/>
        <v/>
      </c>
      <c r="S394" s="419" t="str">
        <f t="shared" si="96"/>
        <v>:NAME</v>
      </c>
      <c r="T394" s="286"/>
      <c r="U394" s="287"/>
      <c r="V394" s="287"/>
      <c r="W394" s="287"/>
      <c r="X394" s="287"/>
      <c r="Y394" s="287"/>
      <c r="Z394" s="288"/>
      <c r="AA394" s="289">
        <f t="shared" si="97"/>
        <v>0</v>
      </c>
      <c r="AB394" s="290"/>
      <c r="AC394" s="291"/>
      <c r="AD394" s="292"/>
      <c r="AE394" s="293"/>
      <c r="AG394" s="295"/>
    </row>
    <row r="395" spans="1:33" s="294" customFormat="1" x14ac:dyDescent="0.25">
      <c r="A395" s="487"/>
      <c r="B395" s="490"/>
      <c r="C395" s="493"/>
      <c r="D395" s="390">
        <v>9</v>
      </c>
      <c r="E395" s="399">
        <v>393</v>
      </c>
      <c r="F395" s="474"/>
      <c r="G395" s="283"/>
      <c r="H395" s="283"/>
      <c r="I395" s="283"/>
      <c r="J395" s="283"/>
      <c r="K395" s="300"/>
      <c r="L395" s="484" t="str">
        <f t="shared" si="87"/>
        <v/>
      </c>
      <c r="M395" s="285"/>
      <c r="N395" s="402"/>
      <c r="O395" s="286"/>
      <c r="P395" s="408"/>
      <c r="Q395" s="286"/>
      <c r="R395" s="413" t="str">
        <f t="shared" si="95"/>
        <v/>
      </c>
      <c r="S395" s="419" t="str">
        <f t="shared" si="96"/>
        <v>:NAME</v>
      </c>
      <c r="T395" s="286"/>
      <c r="U395" s="287"/>
      <c r="V395" s="287"/>
      <c r="W395" s="287"/>
      <c r="X395" s="287"/>
      <c r="Y395" s="287"/>
      <c r="Z395" s="288"/>
      <c r="AA395" s="289">
        <f t="shared" si="97"/>
        <v>0</v>
      </c>
      <c r="AB395" s="290"/>
      <c r="AC395" s="291"/>
      <c r="AD395" s="292"/>
      <c r="AE395" s="293"/>
      <c r="AG395" s="295"/>
    </row>
    <row r="396" spans="1:33" s="294" customFormat="1" x14ac:dyDescent="0.25">
      <c r="A396" s="487"/>
      <c r="B396" s="490"/>
      <c r="C396" s="493"/>
      <c r="D396" s="390">
        <v>10</v>
      </c>
      <c r="E396" s="399">
        <v>394</v>
      </c>
      <c r="F396" s="474"/>
      <c r="G396" s="283"/>
      <c r="H396" s="283"/>
      <c r="I396" s="283"/>
      <c r="J396" s="283"/>
      <c r="K396" s="300"/>
      <c r="L396" s="484" t="str">
        <f t="shared" si="87"/>
        <v/>
      </c>
      <c r="M396" s="285"/>
      <c r="N396" s="402"/>
      <c r="O396" s="286"/>
      <c r="P396" s="408"/>
      <c r="Q396" s="286"/>
      <c r="R396" s="413" t="str">
        <f t="shared" si="95"/>
        <v/>
      </c>
      <c r="S396" s="419" t="str">
        <f t="shared" si="96"/>
        <v>:NAME</v>
      </c>
      <c r="T396" s="286"/>
      <c r="U396" s="287"/>
      <c r="V396" s="287"/>
      <c r="W396" s="287"/>
      <c r="X396" s="287"/>
      <c r="Y396" s="287"/>
      <c r="Z396" s="288"/>
      <c r="AA396" s="289">
        <f t="shared" si="97"/>
        <v>0</v>
      </c>
      <c r="AB396" s="290"/>
      <c r="AC396" s="291"/>
      <c r="AD396" s="292"/>
      <c r="AE396" s="293"/>
      <c r="AG396" s="295"/>
    </row>
    <row r="397" spans="1:33" s="294" customFormat="1" x14ac:dyDescent="0.25">
      <c r="A397" s="487"/>
      <c r="B397" s="490"/>
      <c r="C397" s="493"/>
      <c r="D397" s="390">
        <v>11</v>
      </c>
      <c r="E397" s="399">
        <v>395</v>
      </c>
      <c r="F397" s="474"/>
      <c r="G397" s="283"/>
      <c r="H397" s="283"/>
      <c r="I397" s="283"/>
      <c r="J397" s="283"/>
      <c r="K397" s="300"/>
      <c r="L397" s="484" t="str">
        <f t="shared" si="87"/>
        <v/>
      </c>
      <c r="M397" s="285"/>
      <c r="N397" s="402"/>
      <c r="O397" s="286"/>
      <c r="P397" s="408"/>
      <c r="Q397" s="286"/>
      <c r="R397" s="413" t="str">
        <f t="shared" si="95"/>
        <v/>
      </c>
      <c r="S397" s="419" t="str">
        <f t="shared" si="96"/>
        <v>:NAME</v>
      </c>
      <c r="T397" s="286"/>
      <c r="U397" s="287"/>
      <c r="V397" s="287"/>
      <c r="W397" s="287"/>
      <c r="X397" s="287"/>
      <c r="Y397" s="287"/>
      <c r="Z397" s="288"/>
      <c r="AA397" s="289">
        <f t="shared" si="97"/>
        <v>0</v>
      </c>
      <c r="AB397" s="290"/>
      <c r="AC397" s="291"/>
      <c r="AD397" s="292"/>
      <c r="AE397" s="293"/>
      <c r="AG397" s="295"/>
    </row>
    <row r="398" spans="1:33" s="294" customFormat="1" x14ac:dyDescent="0.25">
      <c r="A398" s="487"/>
      <c r="B398" s="490"/>
      <c r="C398" s="493"/>
      <c r="D398" s="390">
        <v>12</v>
      </c>
      <c r="E398" s="399">
        <v>396</v>
      </c>
      <c r="F398" s="474"/>
      <c r="G398" s="283"/>
      <c r="H398" s="283"/>
      <c r="I398" s="283"/>
      <c r="J398" s="283"/>
      <c r="K398" s="300"/>
      <c r="L398" s="484" t="str">
        <f t="shared" si="87"/>
        <v/>
      </c>
      <c r="M398" s="285"/>
      <c r="N398" s="402"/>
      <c r="O398" s="286"/>
      <c r="P398" s="408"/>
      <c r="Q398" s="286"/>
      <c r="R398" s="413" t="str">
        <f t="shared" si="95"/>
        <v/>
      </c>
      <c r="S398" s="419" t="str">
        <f t="shared" si="96"/>
        <v>:NAME</v>
      </c>
      <c r="T398" s="286"/>
      <c r="U398" s="287"/>
      <c r="V398" s="287"/>
      <c r="W398" s="287"/>
      <c r="X398" s="287"/>
      <c r="Y398" s="287"/>
      <c r="Z398" s="288"/>
      <c r="AA398" s="289">
        <f t="shared" si="97"/>
        <v>0</v>
      </c>
      <c r="AB398" s="290"/>
      <c r="AC398" s="291"/>
      <c r="AD398" s="292"/>
      <c r="AE398" s="293"/>
      <c r="AG398" s="295"/>
    </row>
    <row r="399" spans="1:33" s="294" customFormat="1" x14ac:dyDescent="0.25">
      <c r="A399" s="487"/>
      <c r="B399" s="490"/>
      <c r="C399" s="493"/>
      <c r="D399" s="390">
        <v>13</v>
      </c>
      <c r="E399" s="399">
        <v>397</v>
      </c>
      <c r="F399" s="474"/>
      <c r="G399" s="283"/>
      <c r="H399" s="283"/>
      <c r="I399" s="283"/>
      <c r="J399" s="283"/>
      <c r="K399" s="300"/>
      <c r="L399" s="484" t="str">
        <f t="shared" si="87"/>
        <v/>
      </c>
      <c r="M399" s="285"/>
      <c r="N399" s="402"/>
      <c r="O399" s="286"/>
      <c r="P399" s="408"/>
      <c r="Q399" s="286"/>
      <c r="R399" s="413" t="str">
        <f t="shared" si="95"/>
        <v/>
      </c>
      <c r="S399" s="419" t="str">
        <f t="shared" si="96"/>
        <v>:NAME</v>
      </c>
      <c r="T399" s="286"/>
      <c r="U399" s="287"/>
      <c r="V399" s="287"/>
      <c r="W399" s="287"/>
      <c r="X399" s="287"/>
      <c r="Y399" s="287"/>
      <c r="Z399" s="288"/>
      <c r="AA399" s="289">
        <f t="shared" si="97"/>
        <v>0</v>
      </c>
      <c r="AB399" s="290"/>
      <c r="AC399" s="291"/>
      <c r="AD399" s="292"/>
      <c r="AE399" s="293"/>
      <c r="AG399" s="295"/>
    </row>
    <row r="400" spans="1:33" s="294" customFormat="1" x14ac:dyDescent="0.25">
      <c r="A400" s="487"/>
      <c r="B400" s="490"/>
      <c r="C400" s="493"/>
      <c r="D400" s="390">
        <v>14</v>
      </c>
      <c r="E400" s="399">
        <v>398</v>
      </c>
      <c r="F400" s="474"/>
      <c r="G400" s="283"/>
      <c r="H400" s="283"/>
      <c r="I400" s="283"/>
      <c r="J400" s="283"/>
      <c r="K400" s="300"/>
      <c r="L400" s="484" t="str">
        <f t="shared" si="87"/>
        <v/>
      </c>
      <c r="M400" s="285"/>
      <c r="N400" s="402"/>
      <c r="O400" s="286"/>
      <c r="P400" s="408"/>
      <c r="Q400" s="286"/>
      <c r="R400" s="413" t="str">
        <f t="shared" si="95"/>
        <v/>
      </c>
      <c r="S400" s="419" t="str">
        <f t="shared" si="96"/>
        <v>:NAME</v>
      </c>
      <c r="T400" s="286"/>
      <c r="U400" s="287"/>
      <c r="V400" s="287"/>
      <c r="W400" s="287"/>
      <c r="X400" s="287"/>
      <c r="Y400" s="287"/>
      <c r="Z400" s="288"/>
      <c r="AA400" s="289">
        <f t="shared" si="97"/>
        <v>0</v>
      </c>
      <c r="AB400" s="290"/>
      <c r="AC400" s="291"/>
      <c r="AD400" s="292"/>
      <c r="AE400" s="293"/>
      <c r="AG400" s="295"/>
    </row>
    <row r="401" spans="1:33" s="326" customFormat="1" ht="15.75" thickBot="1" x14ac:dyDescent="0.3">
      <c r="A401" s="488"/>
      <c r="B401" s="491"/>
      <c r="C401" s="494"/>
      <c r="D401" s="390">
        <v>15</v>
      </c>
      <c r="E401" s="399">
        <v>399</v>
      </c>
      <c r="F401" s="474"/>
      <c r="G401" s="283"/>
      <c r="H401" s="283"/>
      <c r="I401" s="283"/>
      <c r="J401" s="283"/>
      <c r="K401" s="300"/>
      <c r="L401" s="484" t="str">
        <f t="shared" si="87"/>
        <v/>
      </c>
      <c r="M401" s="285"/>
      <c r="N401" s="402"/>
      <c r="O401" s="286"/>
      <c r="P401" s="408"/>
      <c r="Q401" s="286"/>
      <c r="R401" s="413" t="str">
        <f t="shared" si="95"/>
        <v/>
      </c>
      <c r="S401" s="419" t="str">
        <f t="shared" si="96"/>
        <v>:NAME</v>
      </c>
      <c r="T401" s="288"/>
      <c r="U401" s="324"/>
      <c r="V401" s="324"/>
      <c r="W401" s="324"/>
      <c r="X401" s="324"/>
      <c r="Y401" s="287"/>
      <c r="Z401" s="288"/>
      <c r="AA401" s="289">
        <f t="shared" si="97"/>
        <v>0</v>
      </c>
      <c r="AB401" s="325"/>
      <c r="AC401" s="296"/>
      <c r="AD401" s="292"/>
      <c r="AE401" s="293"/>
      <c r="AG401" s="327"/>
    </row>
    <row r="402" spans="1:33" s="322" customFormat="1" ht="14.45" customHeight="1" x14ac:dyDescent="0.25">
      <c r="A402" s="486" t="s">
        <v>44</v>
      </c>
      <c r="B402" s="489" t="str">
        <f>LOOKUP(A402,Module,IO)</f>
        <v>.</v>
      </c>
      <c r="C402" s="492" t="s">
        <v>33</v>
      </c>
      <c r="D402" s="389" t="s">
        <v>160</v>
      </c>
      <c r="E402" s="398">
        <v>400</v>
      </c>
      <c r="F402" s="476"/>
      <c r="G402" s="268"/>
      <c r="H402" s="268"/>
      <c r="I402" s="268"/>
      <c r="J402" s="268"/>
      <c r="K402" s="318"/>
      <c r="L402" s="483" t="str">
        <f t="shared" si="87"/>
        <v/>
      </c>
      <c r="M402" s="270"/>
      <c r="N402" s="401"/>
      <c r="O402" s="271"/>
      <c r="P402" s="405"/>
      <c r="Q402" s="271"/>
      <c r="R402" s="412" t="str">
        <f t="shared" si="95"/>
        <v/>
      </c>
      <c r="S402" s="418" t="str">
        <f t="shared" si="96"/>
        <v>:NAME</v>
      </c>
      <c r="T402" s="273"/>
      <c r="U402" s="319"/>
      <c r="V402" s="319"/>
      <c r="W402" s="319"/>
      <c r="X402" s="319"/>
      <c r="Y402" s="272"/>
      <c r="Z402" s="273"/>
      <c r="AA402" s="274">
        <f t="shared" si="97"/>
        <v>0</v>
      </c>
      <c r="AB402" s="320"/>
      <c r="AC402" s="321"/>
      <c r="AD402" s="277"/>
      <c r="AE402" s="278"/>
      <c r="AG402" s="323"/>
    </row>
    <row r="403" spans="1:33" s="294" customFormat="1" x14ac:dyDescent="0.25">
      <c r="A403" s="487"/>
      <c r="B403" s="490"/>
      <c r="C403" s="493"/>
      <c r="D403" s="390">
        <v>1</v>
      </c>
      <c r="E403" s="399">
        <v>401</v>
      </c>
      <c r="F403" s="474"/>
      <c r="G403" s="283"/>
      <c r="H403" s="283"/>
      <c r="I403" s="283"/>
      <c r="J403" s="283"/>
      <c r="K403" s="300"/>
      <c r="L403" s="484" t="str">
        <f t="shared" ref="L403:L466" si="98">IF(G403&lt;&gt;"",$G$1&amp;":"&amp;G403&amp;":"&amp;H403&amp;":"&amp;I403&amp;":"&amp;(IF(K403&lt;&gt;"",J403&amp;":"&amp;K403,J403)),"")</f>
        <v/>
      </c>
      <c r="M403" s="285"/>
      <c r="N403" s="402"/>
      <c r="O403" s="286"/>
      <c r="P403" s="406"/>
      <c r="Q403" s="286"/>
      <c r="R403" s="413" t="str">
        <f t="shared" si="95"/>
        <v/>
      </c>
      <c r="S403" s="419" t="str">
        <f t="shared" si="96"/>
        <v>:NAME</v>
      </c>
      <c r="T403" s="286"/>
      <c r="U403" s="287"/>
      <c r="V403" s="287"/>
      <c r="W403" s="287"/>
      <c r="X403" s="287"/>
      <c r="Y403" s="287"/>
      <c r="Z403" s="288"/>
      <c r="AA403" s="289">
        <f t="shared" si="97"/>
        <v>0</v>
      </c>
      <c r="AB403" s="290"/>
      <c r="AC403" s="291"/>
      <c r="AD403" s="292"/>
      <c r="AE403" s="293"/>
      <c r="AG403" s="295"/>
    </row>
    <row r="404" spans="1:33" s="294" customFormat="1" x14ac:dyDescent="0.25">
      <c r="A404" s="487"/>
      <c r="B404" s="490"/>
      <c r="C404" s="493"/>
      <c r="D404" s="390">
        <v>2</v>
      </c>
      <c r="E404" s="399">
        <v>402</v>
      </c>
      <c r="F404" s="474"/>
      <c r="G404" s="283"/>
      <c r="H404" s="283"/>
      <c r="I404" s="283"/>
      <c r="J404" s="283"/>
      <c r="K404" s="300"/>
      <c r="L404" s="484" t="str">
        <f t="shared" si="98"/>
        <v/>
      </c>
      <c r="M404" s="285"/>
      <c r="N404" s="402"/>
      <c r="O404" s="286"/>
      <c r="P404" s="406"/>
      <c r="Q404" s="286"/>
      <c r="R404" s="413" t="str">
        <f t="shared" si="95"/>
        <v/>
      </c>
      <c r="S404" s="419" t="str">
        <f t="shared" si="96"/>
        <v>:NAME</v>
      </c>
      <c r="T404" s="286"/>
      <c r="U404" s="287"/>
      <c r="V404" s="287"/>
      <c r="W404" s="287"/>
      <c r="X404" s="287"/>
      <c r="Y404" s="287"/>
      <c r="Z404" s="288"/>
      <c r="AA404" s="289">
        <f t="shared" si="97"/>
        <v>0</v>
      </c>
      <c r="AB404" s="290"/>
      <c r="AC404" s="291"/>
      <c r="AD404" s="292"/>
      <c r="AE404" s="293"/>
      <c r="AG404" s="295"/>
    </row>
    <row r="405" spans="1:33" s="294" customFormat="1" x14ac:dyDescent="0.25">
      <c r="A405" s="487"/>
      <c r="B405" s="490"/>
      <c r="C405" s="493"/>
      <c r="D405" s="390">
        <v>3</v>
      </c>
      <c r="E405" s="399">
        <v>403</v>
      </c>
      <c r="F405" s="474"/>
      <c r="G405" s="283"/>
      <c r="H405" s="283"/>
      <c r="I405" s="283"/>
      <c r="J405" s="283"/>
      <c r="K405" s="300"/>
      <c r="L405" s="484" t="str">
        <f t="shared" si="98"/>
        <v/>
      </c>
      <c r="M405" s="285"/>
      <c r="N405" s="402"/>
      <c r="O405" s="286"/>
      <c r="P405" s="406"/>
      <c r="Q405" s="286"/>
      <c r="R405" s="413" t="str">
        <f t="shared" si="95"/>
        <v/>
      </c>
      <c r="S405" s="419" t="str">
        <f t="shared" si="96"/>
        <v>:NAME</v>
      </c>
      <c r="T405" s="286"/>
      <c r="U405" s="287"/>
      <c r="V405" s="287"/>
      <c r="W405" s="287"/>
      <c r="X405" s="287"/>
      <c r="Y405" s="287"/>
      <c r="Z405" s="288"/>
      <c r="AA405" s="289">
        <f t="shared" si="97"/>
        <v>0</v>
      </c>
      <c r="AB405" s="290"/>
      <c r="AC405" s="291"/>
      <c r="AD405" s="292"/>
      <c r="AE405" s="293"/>
      <c r="AG405" s="295"/>
    </row>
    <row r="406" spans="1:33" s="294" customFormat="1" x14ac:dyDescent="0.25">
      <c r="A406" s="487"/>
      <c r="B406" s="490"/>
      <c r="C406" s="493"/>
      <c r="D406" s="390">
        <v>4</v>
      </c>
      <c r="E406" s="399">
        <v>404</v>
      </c>
      <c r="F406" s="474"/>
      <c r="G406" s="283"/>
      <c r="H406" s="283"/>
      <c r="I406" s="283"/>
      <c r="J406" s="283"/>
      <c r="K406" s="300"/>
      <c r="L406" s="484" t="str">
        <f t="shared" si="98"/>
        <v/>
      </c>
      <c r="M406" s="285"/>
      <c r="N406" s="402"/>
      <c r="O406" s="286"/>
      <c r="P406" s="406"/>
      <c r="Q406" s="286"/>
      <c r="R406" s="413" t="str">
        <f t="shared" si="95"/>
        <v/>
      </c>
      <c r="S406" s="419" t="str">
        <f t="shared" si="96"/>
        <v>:NAME</v>
      </c>
      <c r="T406" s="286"/>
      <c r="U406" s="287"/>
      <c r="V406" s="287"/>
      <c r="W406" s="287"/>
      <c r="X406" s="287"/>
      <c r="Y406" s="287"/>
      <c r="Z406" s="288"/>
      <c r="AA406" s="289">
        <f t="shared" si="97"/>
        <v>0</v>
      </c>
      <c r="AB406" s="290"/>
      <c r="AC406" s="291"/>
      <c r="AD406" s="292"/>
      <c r="AE406" s="293"/>
      <c r="AG406" s="295"/>
    </row>
    <row r="407" spans="1:33" s="294" customFormat="1" x14ac:dyDescent="0.25">
      <c r="A407" s="487"/>
      <c r="B407" s="490"/>
      <c r="C407" s="493"/>
      <c r="D407" s="390">
        <v>5</v>
      </c>
      <c r="E407" s="399">
        <v>405</v>
      </c>
      <c r="F407" s="474"/>
      <c r="G407" s="283"/>
      <c r="H407" s="283"/>
      <c r="I407" s="283"/>
      <c r="J407" s="283"/>
      <c r="K407" s="300"/>
      <c r="L407" s="484" t="str">
        <f t="shared" si="98"/>
        <v/>
      </c>
      <c r="M407" s="285"/>
      <c r="N407" s="402"/>
      <c r="O407" s="286"/>
      <c r="P407" s="406"/>
      <c r="Q407" s="286"/>
      <c r="R407" s="413" t="str">
        <f t="shared" si="95"/>
        <v/>
      </c>
      <c r="S407" s="419" t="str">
        <f t="shared" si="96"/>
        <v>:NAME</v>
      </c>
      <c r="T407" s="286"/>
      <c r="U407" s="287"/>
      <c r="V407" s="287"/>
      <c r="W407" s="287"/>
      <c r="X407" s="287"/>
      <c r="Y407" s="287"/>
      <c r="Z407" s="288"/>
      <c r="AA407" s="289">
        <f t="shared" si="97"/>
        <v>0</v>
      </c>
      <c r="AB407" s="290"/>
      <c r="AC407" s="291"/>
      <c r="AD407" s="292"/>
      <c r="AE407" s="293"/>
      <c r="AG407" s="295"/>
    </row>
    <row r="408" spans="1:33" s="294" customFormat="1" x14ac:dyDescent="0.25">
      <c r="A408" s="487"/>
      <c r="B408" s="490"/>
      <c r="C408" s="493"/>
      <c r="D408" s="390">
        <v>6</v>
      </c>
      <c r="E408" s="399">
        <v>406</v>
      </c>
      <c r="F408" s="474"/>
      <c r="G408" s="283"/>
      <c r="H408" s="283"/>
      <c r="I408" s="283"/>
      <c r="J408" s="283"/>
      <c r="K408" s="300"/>
      <c r="L408" s="484" t="str">
        <f t="shared" si="98"/>
        <v/>
      </c>
      <c r="M408" s="285"/>
      <c r="N408" s="402"/>
      <c r="O408" s="286"/>
      <c r="P408" s="406"/>
      <c r="Q408" s="286"/>
      <c r="R408" s="413" t="str">
        <f t="shared" si="95"/>
        <v/>
      </c>
      <c r="S408" s="419" t="str">
        <f t="shared" si="96"/>
        <v>:NAME</v>
      </c>
      <c r="T408" s="286"/>
      <c r="U408" s="287"/>
      <c r="V408" s="287"/>
      <c r="W408" s="287"/>
      <c r="X408" s="287"/>
      <c r="Y408" s="287"/>
      <c r="Z408" s="288"/>
      <c r="AA408" s="289">
        <f t="shared" si="97"/>
        <v>0</v>
      </c>
      <c r="AB408" s="290"/>
      <c r="AC408" s="291"/>
      <c r="AD408" s="292"/>
      <c r="AE408" s="293"/>
      <c r="AG408" s="295"/>
    </row>
    <row r="409" spans="1:33" s="294" customFormat="1" x14ac:dyDescent="0.25">
      <c r="A409" s="487"/>
      <c r="B409" s="490"/>
      <c r="C409" s="493"/>
      <c r="D409" s="390">
        <v>7</v>
      </c>
      <c r="E409" s="399">
        <v>407</v>
      </c>
      <c r="F409" s="474"/>
      <c r="G409" s="283"/>
      <c r="H409" s="283"/>
      <c r="I409" s="283"/>
      <c r="J409" s="283"/>
      <c r="K409" s="300"/>
      <c r="L409" s="484" t="str">
        <f t="shared" si="98"/>
        <v/>
      </c>
      <c r="M409" s="285"/>
      <c r="N409" s="402"/>
      <c r="O409" s="286"/>
      <c r="P409" s="406"/>
      <c r="Q409" s="286"/>
      <c r="R409" s="413" t="str">
        <f t="shared" si="95"/>
        <v/>
      </c>
      <c r="S409" s="419" t="str">
        <f t="shared" si="96"/>
        <v>:NAME</v>
      </c>
      <c r="T409" s="286"/>
      <c r="U409" s="287"/>
      <c r="V409" s="287"/>
      <c r="W409" s="287"/>
      <c r="X409" s="287"/>
      <c r="Y409" s="287"/>
      <c r="Z409" s="288"/>
      <c r="AA409" s="289">
        <f t="shared" si="97"/>
        <v>0</v>
      </c>
      <c r="AB409" s="290"/>
      <c r="AC409" s="291"/>
      <c r="AD409" s="292"/>
      <c r="AE409" s="293"/>
      <c r="AG409" s="295"/>
    </row>
    <row r="410" spans="1:33" s="294" customFormat="1" x14ac:dyDescent="0.25">
      <c r="A410" s="487"/>
      <c r="B410" s="490"/>
      <c r="C410" s="493"/>
      <c r="D410" s="390">
        <v>8</v>
      </c>
      <c r="E410" s="399">
        <v>408</v>
      </c>
      <c r="F410" s="474"/>
      <c r="G410" s="283"/>
      <c r="H410" s="283"/>
      <c r="I410" s="283"/>
      <c r="J410" s="283"/>
      <c r="K410" s="300"/>
      <c r="L410" s="484" t="str">
        <f t="shared" si="98"/>
        <v/>
      </c>
      <c r="M410" s="285"/>
      <c r="N410" s="402"/>
      <c r="O410" s="286"/>
      <c r="P410" s="408"/>
      <c r="Q410" s="286"/>
      <c r="R410" s="413" t="str">
        <f t="shared" si="95"/>
        <v/>
      </c>
      <c r="S410" s="419" t="str">
        <f t="shared" si="96"/>
        <v>:NAME</v>
      </c>
      <c r="T410" s="286"/>
      <c r="U410" s="287"/>
      <c r="V410" s="287"/>
      <c r="W410" s="287"/>
      <c r="X410" s="287"/>
      <c r="Y410" s="287"/>
      <c r="Z410" s="288"/>
      <c r="AA410" s="289">
        <f t="shared" si="97"/>
        <v>0</v>
      </c>
      <c r="AB410" s="290"/>
      <c r="AC410" s="291"/>
      <c r="AD410" s="292"/>
      <c r="AE410" s="293"/>
      <c r="AG410" s="295"/>
    </row>
    <row r="411" spans="1:33" s="294" customFormat="1" x14ac:dyDescent="0.25">
      <c r="A411" s="487"/>
      <c r="B411" s="490"/>
      <c r="C411" s="493"/>
      <c r="D411" s="390">
        <v>9</v>
      </c>
      <c r="E411" s="399">
        <v>409</v>
      </c>
      <c r="F411" s="474"/>
      <c r="G411" s="283"/>
      <c r="H411" s="283"/>
      <c r="I411" s="283"/>
      <c r="J411" s="283"/>
      <c r="K411" s="300"/>
      <c r="L411" s="484" t="str">
        <f t="shared" si="98"/>
        <v/>
      </c>
      <c r="M411" s="285"/>
      <c r="N411" s="402"/>
      <c r="O411" s="286"/>
      <c r="P411" s="408"/>
      <c r="Q411" s="286"/>
      <c r="R411" s="413" t="str">
        <f t="shared" si="95"/>
        <v/>
      </c>
      <c r="S411" s="419" t="str">
        <f t="shared" si="96"/>
        <v>:NAME</v>
      </c>
      <c r="T411" s="286"/>
      <c r="U411" s="287"/>
      <c r="V411" s="287"/>
      <c r="W411" s="287"/>
      <c r="X411" s="287"/>
      <c r="Y411" s="287"/>
      <c r="Z411" s="288"/>
      <c r="AA411" s="289">
        <f t="shared" si="97"/>
        <v>0</v>
      </c>
      <c r="AB411" s="290"/>
      <c r="AC411" s="291"/>
      <c r="AD411" s="292"/>
      <c r="AE411" s="293"/>
      <c r="AG411" s="295"/>
    </row>
    <row r="412" spans="1:33" s="294" customFormat="1" x14ac:dyDescent="0.25">
      <c r="A412" s="487"/>
      <c r="B412" s="490"/>
      <c r="C412" s="493"/>
      <c r="D412" s="390">
        <v>10</v>
      </c>
      <c r="E412" s="399">
        <v>410</v>
      </c>
      <c r="F412" s="474"/>
      <c r="G412" s="283"/>
      <c r="H412" s="283"/>
      <c r="I412" s="283"/>
      <c r="J412" s="283"/>
      <c r="K412" s="300"/>
      <c r="L412" s="484" t="str">
        <f t="shared" si="98"/>
        <v/>
      </c>
      <c r="M412" s="285"/>
      <c r="N412" s="402"/>
      <c r="O412" s="286"/>
      <c r="P412" s="408"/>
      <c r="Q412" s="286"/>
      <c r="R412" s="413" t="str">
        <f t="shared" si="95"/>
        <v/>
      </c>
      <c r="S412" s="419" t="str">
        <f t="shared" si="96"/>
        <v>:NAME</v>
      </c>
      <c r="T412" s="286"/>
      <c r="U412" s="287"/>
      <c r="V412" s="287"/>
      <c r="W412" s="287"/>
      <c r="X412" s="287"/>
      <c r="Y412" s="287"/>
      <c r="Z412" s="288"/>
      <c r="AA412" s="289">
        <f t="shared" si="97"/>
        <v>0</v>
      </c>
      <c r="AB412" s="290"/>
      <c r="AC412" s="291"/>
      <c r="AD412" s="292"/>
      <c r="AE412" s="293"/>
      <c r="AG412" s="295"/>
    </row>
    <row r="413" spans="1:33" s="294" customFormat="1" x14ac:dyDescent="0.25">
      <c r="A413" s="487"/>
      <c r="B413" s="490"/>
      <c r="C413" s="493"/>
      <c r="D413" s="390">
        <v>11</v>
      </c>
      <c r="E413" s="399">
        <v>411</v>
      </c>
      <c r="F413" s="474"/>
      <c r="G413" s="283"/>
      <c r="H413" s="283"/>
      <c r="I413" s="283"/>
      <c r="J413" s="283"/>
      <c r="K413" s="300"/>
      <c r="L413" s="484" t="str">
        <f t="shared" si="98"/>
        <v/>
      </c>
      <c r="M413" s="285"/>
      <c r="N413" s="402"/>
      <c r="O413" s="286"/>
      <c r="P413" s="408"/>
      <c r="Q413" s="286"/>
      <c r="R413" s="413" t="str">
        <f t="shared" si="95"/>
        <v/>
      </c>
      <c r="S413" s="419" t="str">
        <f t="shared" si="96"/>
        <v>:NAME</v>
      </c>
      <c r="T413" s="286"/>
      <c r="U413" s="287"/>
      <c r="V413" s="287"/>
      <c r="W413" s="287"/>
      <c r="X413" s="287"/>
      <c r="Y413" s="287"/>
      <c r="Z413" s="288"/>
      <c r="AA413" s="289">
        <f t="shared" si="97"/>
        <v>0</v>
      </c>
      <c r="AB413" s="290"/>
      <c r="AC413" s="291"/>
      <c r="AD413" s="292"/>
      <c r="AE413" s="293"/>
      <c r="AG413" s="295"/>
    </row>
    <row r="414" spans="1:33" s="294" customFormat="1" x14ac:dyDescent="0.25">
      <c r="A414" s="487"/>
      <c r="B414" s="490"/>
      <c r="C414" s="493"/>
      <c r="D414" s="390">
        <v>12</v>
      </c>
      <c r="E414" s="399">
        <v>412</v>
      </c>
      <c r="F414" s="474"/>
      <c r="G414" s="283"/>
      <c r="H414" s="283"/>
      <c r="I414" s="283"/>
      <c r="J414" s="283"/>
      <c r="K414" s="300"/>
      <c r="L414" s="484" t="str">
        <f t="shared" si="98"/>
        <v/>
      </c>
      <c r="M414" s="285"/>
      <c r="N414" s="402"/>
      <c r="O414" s="286"/>
      <c r="P414" s="408"/>
      <c r="Q414" s="286"/>
      <c r="R414" s="413" t="str">
        <f t="shared" si="95"/>
        <v/>
      </c>
      <c r="S414" s="419" t="str">
        <f t="shared" si="96"/>
        <v>:NAME</v>
      </c>
      <c r="T414" s="286"/>
      <c r="U414" s="287"/>
      <c r="V414" s="287"/>
      <c r="W414" s="287"/>
      <c r="X414" s="287"/>
      <c r="Y414" s="287"/>
      <c r="Z414" s="288"/>
      <c r="AA414" s="289">
        <f t="shared" si="97"/>
        <v>0</v>
      </c>
      <c r="AB414" s="290"/>
      <c r="AC414" s="291"/>
      <c r="AD414" s="292"/>
      <c r="AE414" s="293"/>
      <c r="AG414" s="295"/>
    </row>
    <row r="415" spans="1:33" s="294" customFormat="1" x14ac:dyDescent="0.25">
      <c r="A415" s="487"/>
      <c r="B415" s="490"/>
      <c r="C415" s="493"/>
      <c r="D415" s="390">
        <v>13</v>
      </c>
      <c r="E415" s="399">
        <v>413</v>
      </c>
      <c r="F415" s="474"/>
      <c r="G415" s="283"/>
      <c r="H415" s="283"/>
      <c r="I415" s="283"/>
      <c r="J415" s="283"/>
      <c r="K415" s="300"/>
      <c r="L415" s="484" t="str">
        <f t="shared" si="98"/>
        <v/>
      </c>
      <c r="M415" s="285"/>
      <c r="N415" s="402"/>
      <c r="O415" s="286"/>
      <c r="P415" s="408"/>
      <c r="Q415" s="286"/>
      <c r="R415" s="413" t="str">
        <f t="shared" si="95"/>
        <v/>
      </c>
      <c r="S415" s="419" t="str">
        <f t="shared" si="96"/>
        <v>:NAME</v>
      </c>
      <c r="T415" s="286"/>
      <c r="U415" s="287"/>
      <c r="V415" s="287"/>
      <c r="W415" s="287"/>
      <c r="X415" s="287"/>
      <c r="Y415" s="287"/>
      <c r="Z415" s="288"/>
      <c r="AA415" s="289">
        <f t="shared" si="97"/>
        <v>0</v>
      </c>
      <c r="AB415" s="290"/>
      <c r="AC415" s="291"/>
      <c r="AD415" s="292"/>
      <c r="AE415" s="293"/>
      <c r="AG415" s="295"/>
    </row>
    <row r="416" spans="1:33" s="294" customFormat="1" x14ac:dyDescent="0.25">
      <c r="A416" s="487"/>
      <c r="B416" s="490"/>
      <c r="C416" s="493"/>
      <c r="D416" s="390">
        <v>14</v>
      </c>
      <c r="E416" s="399">
        <v>414</v>
      </c>
      <c r="F416" s="474"/>
      <c r="G416" s="283"/>
      <c r="H416" s="283"/>
      <c r="I416" s="283"/>
      <c r="J416" s="283"/>
      <c r="K416" s="300"/>
      <c r="L416" s="484" t="str">
        <f t="shared" si="98"/>
        <v/>
      </c>
      <c r="M416" s="285"/>
      <c r="N416" s="402"/>
      <c r="O416" s="286"/>
      <c r="P416" s="408"/>
      <c r="Q416" s="286"/>
      <c r="R416" s="413" t="str">
        <f t="shared" si="95"/>
        <v/>
      </c>
      <c r="S416" s="419" t="str">
        <f t="shared" si="96"/>
        <v>:NAME</v>
      </c>
      <c r="T416" s="286"/>
      <c r="U416" s="287"/>
      <c r="V416" s="287"/>
      <c r="W416" s="287"/>
      <c r="X416" s="287"/>
      <c r="Y416" s="287"/>
      <c r="Z416" s="288"/>
      <c r="AA416" s="289">
        <f t="shared" si="97"/>
        <v>0</v>
      </c>
      <c r="AB416" s="290"/>
      <c r="AC416" s="291"/>
      <c r="AD416" s="292"/>
      <c r="AE416" s="293"/>
      <c r="AG416" s="295"/>
    </row>
    <row r="417" spans="1:33" s="326" customFormat="1" ht="15.75" thickBot="1" x14ac:dyDescent="0.3">
      <c r="A417" s="488"/>
      <c r="B417" s="491"/>
      <c r="C417" s="494"/>
      <c r="D417" s="390">
        <v>15</v>
      </c>
      <c r="E417" s="399">
        <v>415</v>
      </c>
      <c r="F417" s="474"/>
      <c r="G417" s="283"/>
      <c r="H417" s="283"/>
      <c r="I417" s="283"/>
      <c r="J417" s="283"/>
      <c r="K417" s="300"/>
      <c r="L417" s="484" t="str">
        <f t="shared" si="98"/>
        <v/>
      </c>
      <c r="M417" s="285"/>
      <c r="N417" s="402"/>
      <c r="O417" s="286"/>
      <c r="P417" s="408"/>
      <c r="Q417" s="286"/>
      <c r="R417" s="413" t="str">
        <f t="shared" si="95"/>
        <v/>
      </c>
      <c r="S417" s="419" t="str">
        <f t="shared" si="96"/>
        <v>:NAME</v>
      </c>
      <c r="T417" s="288"/>
      <c r="U417" s="324"/>
      <c r="V417" s="324"/>
      <c r="W417" s="324"/>
      <c r="X417" s="324"/>
      <c r="Y417" s="287"/>
      <c r="Z417" s="288"/>
      <c r="AA417" s="289">
        <f t="shared" si="97"/>
        <v>0</v>
      </c>
      <c r="AB417" s="325"/>
      <c r="AC417" s="296"/>
      <c r="AD417" s="292"/>
      <c r="AE417" s="293"/>
      <c r="AG417" s="327"/>
    </row>
    <row r="418" spans="1:33" s="322" customFormat="1" ht="14.45" customHeight="1" x14ac:dyDescent="0.25">
      <c r="A418" s="486" t="s">
        <v>44</v>
      </c>
      <c r="B418" s="489" t="str">
        <f>LOOKUP(A418,Module,IO)</f>
        <v>.</v>
      </c>
      <c r="C418" s="492" t="s">
        <v>34</v>
      </c>
      <c r="D418" s="389" t="s">
        <v>160</v>
      </c>
      <c r="E418" s="398">
        <v>416</v>
      </c>
      <c r="F418" s="476"/>
      <c r="G418" s="268"/>
      <c r="H418" s="268"/>
      <c r="I418" s="268"/>
      <c r="J418" s="268"/>
      <c r="K418" s="318"/>
      <c r="L418" s="483" t="str">
        <f t="shared" si="98"/>
        <v/>
      </c>
      <c r="M418" s="270"/>
      <c r="N418" s="401"/>
      <c r="O418" s="271"/>
      <c r="P418" s="405"/>
      <c r="Q418" s="271"/>
      <c r="R418" s="412" t="str">
        <f t="shared" si="95"/>
        <v/>
      </c>
      <c r="S418" s="418" t="str">
        <f t="shared" si="96"/>
        <v>:NAME</v>
      </c>
      <c r="T418" s="273"/>
      <c r="U418" s="319"/>
      <c r="V418" s="319"/>
      <c r="W418" s="319"/>
      <c r="X418" s="319"/>
      <c r="Y418" s="272"/>
      <c r="Z418" s="273"/>
      <c r="AA418" s="274">
        <f t="shared" si="97"/>
        <v>0</v>
      </c>
      <c r="AB418" s="320"/>
      <c r="AC418" s="321"/>
      <c r="AD418" s="277"/>
      <c r="AE418" s="278"/>
      <c r="AG418" s="323"/>
    </row>
    <row r="419" spans="1:33" s="294" customFormat="1" x14ac:dyDescent="0.25">
      <c r="A419" s="487"/>
      <c r="B419" s="490"/>
      <c r="C419" s="493"/>
      <c r="D419" s="390">
        <v>1</v>
      </c>
      <c r="E419" s="399">
        <v>417</v>
      </c>
      <c r="F419" s="474"/>
      <c r="G419" s="283"/>
      <c r="H419" s="283"/>
      <c r="I419" s="283"/>
      <c r="J419" s="283"/>
      <c r="K419" s="300"/>
      <c r="L419" s="484" t="str">
        <f t="shared" si="98"/>
        <v/>
      </c>
      <c r="M419" s="285"/>
      <c r="N419" s="402"/>
      <c r="O419" s="286"/>
      <c r="P419" s="406"/>
      <c r="Q419" s="286"/>
      <c r="R419" s="413" t="str">
        <f t="shared" si="95"/>
        <v/>
      </c>
      <c r="S419" s="419" t="str">
        <f t="shared" si="96"/>
        <v>:NAME</v>
      </c>
      <c r="T419" s="286"/>
      <c r="U419" s="287"/>
      <c r="V419" s="287"/>
      <c r="W419" s="287"/>
      <c r="X419" s="287"/>
      <c r="Y419" s="287"/>
      <c r="Z419" s="288"/>
      <c r="AA419" s="289">
        <f t="shared" si="97"/>
        <v>0</v>
      </c>
      <c r="AB419" s="290"/>
      <c r="AC419" s="291"/>
      <c r="AD419" s="292"/>
      <c r="AE419" s="293"/>
      <c r="AG419" s="295"/>
    </row>
    <row r="420" spans="1:33" s="294" customFormat="1" x14ac:dyDescent="0.25">
      <c r="A420" s="487"/>
      <c r="B420" s="490"/>
      <c r="C420" s="493"/>
      <c r="D420" s="390">
        <v>2</v>
      </c>
      <c r="E420" s="399">
        <v>418</v>
      </c>
      <c r="F420" s="474"/>
      <c r="G420" s="283"/>
      <c r="H420" s="283"/>
      <c r="I420" s="283"/>
      <c r="J420" s="283"/>
      <c r="K420" s="300"/>
      <c r="L420" s="484" t="str">
        <f t="shared" si="98"/>
        <v/>
      </c>
      <c r="M420" s="285"/>
      <c r="N420" s="402"/>
      <c r="O420" s="286"/>
      <c r="P420" s="406"/>
      <c r="Q420" s="286"/>
      <c r="R420" s="413" t="str">
        <f t="shared" si="95"/>
        <v/>
      </c>
      <c r="S420" s="419" t="str">
        <f t="shared" si="96"/>
        <v>:NAME</v>
      </c>
      <c r="T420" s="286"/>
      <c r="U420" s="287"/>
      <c r="V420" s="287"/>
      <c r="W420" s="287"/>
      <c r="X420" s="287"/>
      <c r="Y420" s="287"/>
      <c r="Z420" s="288"/>
      <c r="AA420" s="289">
        <f t="shared" si="97"/>
        <v>0</v>
      </c>
      <c r="AB420" s="290"/>
      <c r="AC420" s="291"/>
      <c r="AD420" s="292"/>
      <c r="AE420" s="293"/>
      <c r="AG420" s="295"/>
    </row>
    <row r="421" spans="1:33" s="294" customFormat="1" x14ac:dyDescent="0.25">
      <c r="A421" s="487"/>
      <c r="B421" s="490"/>
      <c r="C421" s="493"/>
      <c r="D421" s="390">
        <v>3</v>
      </c>
      <c r="E421" s="399">
        <v>419</v>
      </c>
      <c r="F421" s="474"/>
      <c r="G421" s="283"/>
      <c r="H421" s="283"/>
      <c r="I421" s="283"/>
      <c r="J421" s="283"/>
      <c r="K421" s="300"/>
      <c r="L421" s="484" t="str">
        <f t="shared" si="98"/>
        <v/>
      </c>
      <c r="M421" s="285"/>
      <c r="N421" s="402"/>
      <c r="O421" s="286"/>
      <c r="P421" s="406"/>
      <c r="Q421" s="286"/>
      <c r="R421" s="413" t="str">
        <f t="shared" si="95"/>
        <v/>
      </c>
      <c r="S421" s="419" t="str">
        <f t="shared" si="96"/>
        <v>:NAME</v>
      </c>
      <c r="T421" s="286"/>
      <c r="U421" s="287"/>
      <c r="V421" s="287"/>
      <c r="W421" s="287"/>
      <c r="X421" s="287"/>
      <c r="Y421" s="287"/>
      <c r="Z421" s="288"/>
      <c r="AA421" s="289">
        <f t="shared" si="97"/>
        <v>0</v>
      </c>
      <c r="AB421" s="290"/>
      <c r="AC421" s="291"/>
      <c r="AD421" s="292"/>
      <c r="AE421" s="293"/>
      <c r="AG421" s="295"/>
    </row>
    <row r="422" spans="1:33" s="294" customFormat="1" x14ac:dyDescent="0.25">
      <c r="A422" s="487"/>
      <c r="B422" s="490"/>
      <c r="C422" s="493"/>
      <c r="D422" s="390">
        <v>4</v>
      </c>
      <c r="E422" s="399">
        <v>420</v>
      </c>
      <c r="F422" s="474"/>
      <c r="G422" s="283"/>
      <c r="H422" s="283"/>
      <c r="I422" s="283"/>
      <c r="J422" s="283"/>
      <c r="K422" s="300"/>
      <c r="L422" s="484" t="str">
        <f t="shared" si="98"/>
        <v/>
      </c>
      <c r="M422" s="285"/>
      <c r="N422" s="402"/>
      <c r="O422" s="286"/>
      <c r="P422" s="406"/>
      <c r="Q422" s="286"/>
      <c r="R422" s="413" t="str">
        <f t="shared" si="95"/>
        <v/>
      </c>
      <c r="S422" s="419" t="str">
        <f t="shared" si="96"/>
        <v>:NAME</v>
      </c>
      <c r="T422" s="286"/>
      <c r="U422" s="287"/>
      <c r="V422" s="287"/>
      <c r="W422" s="287"/>
      <c r="X422" s="287"/>
      <c r="Y422" s="287"/>
      <c r="Z422" s="288"/>
      <c r="AA422" s="289">
        <f t="shared" si="97"/>
        <v>0</v>
      </c>
      <c r="AB422" s="290"/>
      <c r="AC422" s="291"/>
      <c r="AD422" s="292"/>
      <c r="AE422" s="293"/>
      <c r="AG422" s="295"/>
    </row>
    <row r="423" spans="1:33" s="294" customFormat="1" x14ac:dyDescent="0.25">
      <c r="A423" s="487"/>
      <c r="B423" s="490"/>
      <c r="C423" s="493"/>
      <c r="D423" s="390">
        <v>5</v>
      </c>
      <c r="E423" s="399">
        <v>421</v>
      </c>
      <c r="F423" s="474"/>
      <c r="G423" s="283"/>
      <c r="H423" s="283"/>
      <c r="I423" s="283"/>
      <c r="J423" s="283"/>
      <c r="K423" s="300"/>
      <c r="L423" s="484" t="str">
        <f t="shared" si="98"/>
        <v/>
      </c>
      <c r="M423" s="285"/>
      <c r="N423" s="402"/>
      <c r="O423" s="286"/>
      <c r="P423" s="406"/>
      <c r="Q423" s="286"/>
      <c r="R423" s="413" t="str">
        <f t="shared" si="95"/>
        <v/>
      </c>
      <c r="S423" s="419" t="str">
        <f t="shared" si="96"/>
        <v>:NAME</v>
      </c>
      <c r="T423" s="286"/>
      <c r="U423" s="287"/>
      <c r="V423" s="287"/>
      <c r="W423" s="287"/>
      <c r="X423" s="287"/>
      <c r="Y423" s="287"/>
      <c r="Z423" s="288"/>
      <c r="AA423" s="289">
        <f t="shared" si="97"/>
        <v>0</v>
      </c>
      <c r="AB423" s="290"/>
      <c r="AC423" s="291"/>
      <c r="AD423" s="292"/>
      <c r="AE423" s="293"/>
      <c r="AG423" s="295"/>
    </row>
    <row r="424" spans="1:33" s="294" customFormat="1" x14ac:dyDescent="0.25">
      <c r="A424" s="487"/>
      <c r="B424" s="490"/>
      <c r="C424" s="493"/>
      <c r="D424" s="390">
        <v>6</v>
      </c>
      <c r="E424" s="399">
        <v>422</v>
      </c>
      <c r="F424" s="474"/>
      <c r="G424" s="283"/>
      <c r="H424" s="283"/>
      <c r="I424" s="283"/>
      <c r="J424" s="283"/>
      <c r="K424" s="300"/>
      <c r="L424" s="484" t="str">
        <f t="shared" si="98"/>
        <v/>
      </c>
      <c r="M424" s="285"/>
      <c r="N424" s="402"/>
      <c r="O424" s="286"/>
      <c r="P424" s="406"/>
      <c r="Q424" s="286"/>
      <c r="R424" s="413" t="str">
        <f t="shared" si="95"/>
        <v/>
      </c>
      <c r="S424" s="419" t="str">
        <f t="shared" si="96"/>
        <v>:NAME</v>
      </c>
      <c r="T424" s="286"/>
      <c r="U424" s="287"/>
      <c r="V424" s="287"/>
      <c r="W424" s="287"/>
      <c r="X424" s="287"/>
      <c r="Y424" s="287"/>
      <c r="Z424" s="288"/>
      <c r="AA424" s="289">
        <f t="shared" si="97"/>
        <v>0</v>
      </c>
      <c r="AB424" s="290"/>
      <c r="AC424" s="291"/>
      <c r="AD424" s="292"/>
      <c r="AE424" s="293"/>
      <c r="AG424" s="295"/>
    </row>
    <row r="425" spans="1:33" s="294" customFormat="1" x14ac:dyDescent="0.25">
      <c r="A425" s="487"/>
      <c r="B425" s="490"/>
      <c r="C425" s="493"/>
      <c r="D425" s="390">
        <v>7</v>
      </c>
      <c r="E425" s="399">
        <v>423</v>
      </c>
      <c r="F425" s="474"/>
      <c r="G425" s="283"/>
      <c r="H425" s="283"/>
      <c r="I425" s="283"/>
      <c r="J425" s="283"/>
      <c r="K425" s="300"/>
      <c r="L425" s="484" t="str">
        <f t="shared" si="98"/>
        <v/>
      </c>
      <c r="M425" s="285"/>
      <c r="N425" s="402"/>
      <c r="O425" s="286"/>
      <c r="P425" s="406"/>
      <c r="Q425" s="286"/>
      <c r="R425" s="413" t="str">
        <f t="shared" si="95"/>
        <v/>
      </c>
      <c r="S425" s="419" t="str">
        <f t="shared" si="96"/>
        <v>:NAME</v>
      </c>
      <c r="T425" s="286"/>
      <c r="U425" s="287"/>
      <c r="V425" s="287"/>
      <c r="W425" s="287"/>
      <c r="X425" s="287"/>
      <c r="Y425" s="287"/>
      <c r="Z425" s="288"/>
      <c r="AA425" s="289">
        <f t="shared" si="97"/>
        <v>0</v>
      </c>
      <c r="AB425" s="290"/>
      <c r="AC425" s="291"/>
      <c r="AD425" s="292"/>
      <c r="AE425" s="293"/>
      <c r="AG425" s="295"/>
    </row>
    <row r="426" spans="1:33" s="294" customFormat="1" x14ac:dyDescent="0.25">
      <c r="A426" s="487"/>
      <c r="B426" s="490"/>
      <c r="C426" s="493"/>
      <c r="D426" s="390">
        <v>8</v>
      </c>
      <c r="E426" s="399">
        <v>424</v>
      </c>
      <c r="F426" s="474"/>
      <c r="G426" s="283"/>
      <c r="H426" s="283"/>
      <c r="I426" s="283"/>
      <c r="J426" s="283"/>
      <c r="K426" s="300"/>
      <c r="L426" s="484" t="str">
        <f t="shared" si="98"/>
        <v/>
      </c>
      <c r="M426" s="285"/>
      <c r="N426" s="402"/>
      <c r="O426" s="286"/>
      <c r="P426" s="408"/>
      <c r="Q426" s="286"/>
      <c r="R426" s="413" t="str">
        <f t="shared" si="95"/>
        <v/>
      </c>
      <c r="S426" s="419" t="str">
        <f t="shared" si="96"/>
        <v>:NAME</v>
      </c>
      <c r="T426" s="286"/>
      <c r="U426" s="287"/>
      <c r="V426" s="287"/>
      <c r="W426" s="287"/>
      <c r="X426" s="287"/>
      <c r="Y426" s="287"/>
      <c r="Z426" s="288"/>
      <c r="AA426" s="289">
        <f t="shared" si="97"/>
        <v>0</v>
      </c>
      <c r="AB426" s="290"/>
      <c r="AC426" s="291"/>
      <c r="AD426" s="292"/>
      <c r="AE426" s="293"/>
      <c r="AG426" s="295"/>
    </row>
    <row r="427" spans="1:33" s="294" customFormat="1" x14ac:dyDescent="0.25">
      <c r="A427" s="487"/>
      <c r="B427" s="490"/>
      <c r="C427" s="493"/>
      <c r="D427" s="390">
        <v>9</v>
      </c>
      <c r="E427" s="399">
        <v>425</v>
      </c>
      <c r="F427" s="474"/>
      <c r="G427" s="283"/>
      <c r="H427" s="283"/>
      <c r="I427" s="283"/>
      <c r="J427" s="283"/>
      <c r="K427" s="300"/>
      <c r="L427" s="484" t="str">
        <f t="shared" si="98"/>
        <v/>
      </c>
      <c r="M427" s="285"/>
      <c r="N427" s="402"/>
      <c r="O427" s="286"/>
      <c r="P427" s="408"/>
      <c r="Q427" s="286"/>
      <c r="R427" s="413" t="str">
        <f t="shared" si="95"/>
        <v/>
      </c>
      <c r="S427" s="419" t="str">
        <f t="shared" si="96"/>
        <v>:NAME</v>
      </c>
      <c r="T427" s="286"/>
      <c r="U427" s="287"/>
      <c r="V427" s="287"/>
      <c r="W427" s="287"/>
      <c r="X427" s="287"/>
      <c r="Y427" s="287"/>
      <c r="Z427" s="288"/>
      <c r="AA427" s="289">
        <f t="shared" si="97"/>
        <v>0</v>
      </c>
      <c r="AB427" s="290"/>
      <c r="AC427" s="291"/>
      <c r="AD427" s="292"/>
      <c r="AE427" s="293"/>
      <c r="AG427" s="295"/>
    </row>
    <row r="428" spans="1:33" s="294" customFormat="1" x14ac:dyDescent="0.25">
      <c r="A428" s="487"/>
      <c r="B428" s="490"/>
      <c r="C428" s="493"/>
      <c r="D428" s="390">
        <v>10</v>
      </c>
      <c r="E428" s="399">
        <v>426</v>
      </c>
      <c r="F428" s="474"/>
      <c r="G428" s="283"/>
      <c r="H428" s="283"/>
      <c r="I428" s="283"/>
      <c r="J428" s="283"/>
      <c r="K428" s="300"/>
      <c r="L428" s="484" t="str">
        <f t="shared" si="98"/>
        <v/>
      </c>
      <c r="M428" s="285"/>
      <c r="N428" s="402"/>
      <c r="O428" s="286"/>
      <c r="P428" s="408"/>
      <c r="Q428" s="286"/>
      <c r="R428" s="413" t="str">
        <f t="shared" si="95"/>
        <v/>
      </c>
      <c r="S428" s="419" t="str">
        <f t="shared" si="96"/>
        <v>:NAME</v>
      </c>
      <c r="T428" s="286"/>
      <c r="U428" s="287"/>
      <c r="V428" s="287"/>
      <c r="W428" s="287"/>
      <c r="X428" s="287"/>
      <c r="Y428" s="287"/>
      <c r="Z428" s="288"/>
      <c r="AA428" s="289">
        <f t="shared" si="97"/>
        <v>0</v>
      </c>
      <c r="AB428" s="290"/>
      <c r="AC428" s="291"/>
      <c r="AD428" s="292"/>
      <c r="AE428" s="293"/>
      <c r="AG428" s="295"/>
    </row>
    <row r="429" spans="1:33" s="294" customFormat="1" x14ac:dyDescent="0.25">
      <c r="A429" s="487"/>
      <c r="B429" s="490"/>
      <c r="C429" s="493"/>
      <c r="D429" s="390">
        <v>11</v>
      </c>
      <c r="E429" s="399">
        <v>427</v>
      </c>
      <c r="F429" s="474"/>
      <c r="G429" s="283"/>
      <c r="H429" s="283"/>
      <c r="I429" s="283"/>
      <c r="J429" s="283"/>
      <c r="K429" s="300"/>
      <c r="L429" s="484" t="str">
        <f t="shared" si="98"/>
        <v/>
      </c>
      <c r="M429" s="285"/>
      <c r="N429" s="402"/>
      <c r="O429" s="286"/>
      <c r="P429" s="408"/>
      <c r="Q429" s="286"/>
      <c r="R429" s="413" t="str">
        <f t="shared" si="95"/>
        <v/>
      </c>
      <c r="S429" s="419" t="str">
        <f t="shared" si="96"/>
        <v>:NAME</v>
      </c>
      <c r="T429" s="286"/>
      <c r="U429" s="287"/>
      <c r="V429" s="287"/>
      <c r="W429" s="287"/>
      <c r="X429" s="287"/>
      <c r="Y429" s="287"/>
      <c r="Z429" s="288"/>
      <c r="AA429" s="289">
        <f t="shared" si="97"/>
        <v>0</v>
      </c>
      <c r="AB429" s="290"/>
      <c r="AC429" s="291"/>
      <c r="AD429" s="292"/>
      <c r="AE429" s="293"/>
      <c r="AG429" s="295"/>
    </row>
    <row r="430" spans="1:33" s="294" customFormat="1" x14ac:dyDescent="0.25">
      <c r="A430" s="487"/>
      <c r="B430" s="490"/>
      <c r="C430" s="493"/>
      <c r="D430" s="390">
        <v>12</v>
      </c>
      <c r="E430" s="399">
        <v>428</v>
      </c>
      <c r="F430" s="474"/>
      <c r="G430" s="283"/>
      <c r="H430" s="283"/>
      <c r="I430" s="283"/>
      <c r="J430" s="283"/>
      <c r="K430" s="300"/>
      <c r="L430" s="484" t="str">
        <f t="shared" si="98"/>
        <v/>
      </c>
      <c r="M430" s="285"/>
      <c r="N430" s="402"/>
      <c r="O430" s="286"/>
      <c r="P430" s="408"/>
      <c r="Q430" s="286"/>
      <c r="R430" s="413" t="str">
        <f t="shared" si="95"/>
        <v/>
      </c>
      <c r="S430" s="419" t="str">
        <f t="shared" si="96"/>
        <v>:NAME</v>
      </c>
      <c r="T430" s="286"/>
      <c r="U430" s="287"/>
      <c r="V430" s="287"/>
      <c r="W430" s="287"/>
      <c r="X430" s="287"/>
      <c r="Y430" s="287"/>
      <c r="Z430" s="288"/>
      <c r="AA430" s="289">
        <f t="shared" si="97"/>
        <v>0</v>
      </c>
      <c r="AB430" s="290"/>
      <c r="AC430" s="291"/>
      <c r="AD430" s="292"/>
      <c r="AE430" s="293"/>
      <c r="AG430" s="295"/>
    </row>
    <row r="431" spans="1:33" s="294" customFormat="1" x14ac:dyDescent="0.25">
      <c r="A431" s="487"/>
      <c r="B431" s="490"/>
      <c r="C431" s="493"/>
      <c r="D431" s="390">
        <v>13</v>
      </c>
      <c r="E431" s="399">
        <v>429</v>
      </c>
      <c r="F431" s="474"/>
      <c r="G431" s="283"/>
      <c r="H431" s="283"/>
      <c r="I431" s="283"/>
      <c r="J431" s="283"/>
      <c r="K431" s="300"/>
      <c r="L431" s="484" t="str">
        <f t="shared" si="98"/>
        <v/>
      </c>
      <c r="M431" s="285"/>
      <c r="N431" s="402"/>
      <c r="O431" s="286"/>
      <c r="P431" s="408"/>
      <c r="Q431" s="286"/>
      <c r="R431" s="413" t="str">
        <f t="shared" si="95"/>
        <v/>
      </c>
      <c r="S431" s="419" t="str">
        <f t="shared" si="96"/>
        <v>:NAME</v>
      </c>
      <c r="T431" s="286"/>
      <c r="U431" s="287"/>
      <c r="V431" s="287"/>
      <c r="W431" s="287"/>
      <c r="X431" s="287"/>
      <c r="Y431" s="287"/>
      <c r="Z431" s="288"/>
      <c r="AA431" s="289">
        <f t="shared" si="97"/>
        <v>0</v>
      </c>
      <c r="AB431" s="290"/>
      <c r="AC431" s="291"/>
      <c r="AD431" s="292"/>
      <c r="AE431" s="293"/>
      <c r="AG431" s="295"/>
    </row>
    <row r="432" spans="1:33" s="294" customFormat="1" x14ac:dyDescent="0.25">
      <c r="A432" s="487"/>
      <c r="B432" s="490"/>
      <c r="C432" s="493"/>
      <c r="D432" s="390">
        <v>14</v>
      </c>
      <c r="E432" s="399">
        <v>430</v>
      </c>
      <c r="F432" s="474"/>
      <c r="G432" s="283"/>
      <c r="H432" s="283"/>
      <c r="I432" s="283"/>
      <c r="J432" s="283"/>
      <c r="K432" s="300"/>
      <c r="L432" s="484" t="str">
        <f t="shared" si="98"/>
        <v/>
      </c>
      <c r="M432" s="285"/>
      <c r="N432" s="402"/>
      <c r="O432" s="286"/>
      <c r="P432" s="408"/>
      <c r="Q432" s="286"/>
      <c r="R432" s="413" t="str">
        <f t="shared" si="95"/>
        <v/>
      </c>
      <c r="S432" s="419" t="str">
        <f t="shared" si="96"/>
        <v>:NAME</v>
      </c>
      <c r="T432" s="286"/>
      <c r="U432" s="287"/>
      <c r="V432" s="287"/>
      <c r="W432" s="287"/>
      <c r="X432" s="287"/>
      <c r="Y432" s="287"/>
      <c r="Z432" s="288"/>
      <c r="AA432" s="289">
        <f t="shared" si="97"/>
        <v>0</v>
      </c>
      <c r="AB432" s="290"/>
      <c r="AC432" s="291"/>
      <c r="AD432" s="292"/>
      <c r="AE432" s="293"/>
      <c r="AG432" s="295"/>
    </row>
    <row r="433" spans="1:33" s="326" customFormat="1" ht="15.75" thickBot="1" x14ac:dyDescent="0.3">
      <c r="A433" s="488"/>
      <c r="B433" s="491"/>
      <c r="C433" s="494"/>
      <c r="D433" s="390">
        <v>15</v>
      </c>
      <c r="E433" s="399">
        <v>431</v>
      </c>
      <c r="F433" s="474"/>
      <c r="G433" s="283"/>
      <c r="H433" s="283"/>
      <c r="I433" s="283"/>
      <c r="J433" s="283"/>
      <c r="K433" s="300"/>
      <c r="L433" s="484" t="str">
        <f t="shared" si="98"/>
        <v/>
      </c>
      <c r="M433" s="285"/>
      <c r="N433" s="402"/>
      <c r="O433" s="286"/>
      <c r="P433" s="408"/>
      <c r="Q433" s="286"/>
      <c r="R433" s="413" t="str">
        <f t="shared" si="95"/>
        <v/>
      </c>
      <c r="S433" s="419" t="str">
        <f t="shared" si="96"/>
        <v>:NAME</v>
      </c>
      <c r="T433" s="288"/>
      <c r="U433" s="324"/>
      <c r="V433" s="324"/>
      <c r="W433" s="324"/>
      <c r="X433" s="324"/>
      <c r="Y433" s="287"/>
      <c r="Z433" s="288"/>
      <c r="AA433" s="289">
        <f t="shared" si="97"/>
        <v>0</v>
      </c>
      <c r="AB433" s="325"/>
      <c r="AC433" s="296"/>
      <c r="AD433" s="292"/>
      <c r="AE433" s="293"/>
      <c r="AG433" s="327"/>
    </row>
    <row r="434" spans="1:33" s="322" customFormat="1" ht="14.45" customHeight="1" x14ac:dyDescent="0.25">
      <c r="A434" s="486" t="s">
        <v>44</v>
      </c>
      <c r="B434" s="489" t="str">
        <f>LOOKUP(A434,Module,IO)</f>
        <v>.</v>
      </c>
      <c r="C434" s="492" t="s">
        <v>35</v>
      </c>
      <c r="D434" s="389" t="s">
        <v>160</v>
      </c>
      <c r="E434" s="398">
        <v>432</v>
      </c>
      <c r="F434" s="476"/>
      <c r="G434" s="268"/>
      <c r="H434" s="268"/>
      <c r="I434" s="268"/>
      <c r="J434" s="268"/>
      <c r="K434" s="318"/>
      <c r="L434" s="483" t="str">
        <f t="shared" si="98"/>
        <v/>
      </c>
      <c r="M434" s="270"/>
      <c r="N434" s="401"/>
      <c r="O434" s="271"/>
      <c r="P434" s="405"/>
      <c r="Q434" s="271"/>
      <c r="R434" s="412" t="str">
        <f t="shared" si="95"/>
        <v/>
      </c>
      <c r="S434" s="418" t="str">
        <f t="shared" si="96"/>
        <v>:NAME</v>
      </c>
      <c r="T434" s="273"/>
      <c r="U434" s="319"/>
      <c r="V434" s="319"/>
      <c r="W434" s="319"/>
      <c r="X434" s="319"/>
      <c r="Y434" s="272"/>
      <c r="Z434" s="273"/>
      <c r="AA434" s="274">
        <f t="shared" si="97"/>
        <v>0</v>
      </c>
      <c r="AB434" s="320"/>
      <c r="AC434" s="321"/>
      <c r="AD434" s="277"/>
      <c r="AE434" s="278"/>
      <c r="AG434" s="323"/>
    </row>
    <row r="435" spans="1:33" s="294" customFormat="1" x14ac:dyDescent="0.25">
      <c r="A435" s="487"/>
      <c r="B435" s="490"/>
      <c r="C435" s="493"/>
      <c r="D435" s="390">
        <v>1</v>
      </c>
      <c r="E435" s="399">
        <v>433</v>
      </c>
      <c r="F435" s="474"/>
      <c r="G435" s="283"/>
      <c r="H435" s="283"/>
      <c r="I435" s="283"/>
      <c r="J435" s="283"/>
      <c r="K435" s="300"/>
      <c r="L435" s="484" t="str">
        <f t="shared" si="98"/>
        <v/>
      </c>
      <c r="M435" s="285"/>
      <c r="N435" s="402"/>
      <c r="O435" s="286"/>
      <c r="P435" s="406"/>
      <c r="Q435" s="286"/>
      <c r="R435" s="413" t="str">
        <f t="shared" si="95"/>
        <v/>
      </c>
      <c r="S435" s="419" t="str">
        <f t="shared" si="96"/>
        <v>:NAME</v>
      </c>
      <c r="T435" s="286"/>
      <c r="U435" s="287"/>
      <c r="V435" s="287"/>
      <c r="W435" s="287"/>
      <c r="X435" s="287"/>
      <c r="Y435" s="287"/>
      <c r="Z435" s="288"/>
      <c r="AA435" s="289">
        <f t="shared" si="97"/>
        <v>0</v>
      </c>
      <c r="AB435" s="290"/>
      <c r="AC435" s="291"/>
      <c r="AD435" s="292"/>
      <c r="AE435" s="293"/>
      <c r="AG435" s="295"/>
    </row>
    <row r="436" spans="1:33" s="294" customFormat="1" x14ac:dyDescent="0.25">
      <c r="A436" s="487"/>
      <c r="B436" s="490"/>
      <c r="C436" s="493"/>
      <c r="D436" s="390">
        <v>2</v>
      </c>
      <c r="E436" s="399">
        <v>434</v>
      </c>
      <c r="F436" s="474"/>
      <c r="G436" s="283"/>
      <c r="H436" s="283"/>
      <c r="I436" s="283"/>
      <c r="J436" s="283"/>
      <c r="K436" s="300"/>
      <c r="L436" s="484" t="str">
        <f t="shared" si="98"/>
        <v/>
      </c>
      <c r="M436" s="285"/>
      <c r="N436" s="402"/>
      <c r="O436" s="286"/>
      <c r="P436" s="406"/>
      <c r="Q436" s="286"/>
      <c r="R436" s="413" t="str">
        <f t="shared" si="95"/>
        <v/>
      </c>
      <c r="S436" s="419" t="str">
        <f t="shared" si="96"/>
        <v>:NAME</v>
      </c>
      <c r="T436" s="286"/>
      <c r="U436" s="287"/>
      <c r="V436" s="287"/>
      <c r="W436" s="287"/>
      <c r="X436" s="287"/>
      <c r="Y436" s="287"/>
      <c r="Z436" s="288"/>
      <c r="AA436" s="289">
        <f t="shared" si="97"/>
        <v>0</v>
      </c>
      <c r="AB436" s="290"/>
      <c r="AC436" s="291"/>
      <c r="AD436" s="292"/>
      <c r="AE436" s="293"/>
      <c r="AG436" s="295"/>
    </row>
    <row r="437" spans="1:33" s="294" customFormat="1" x14ac:dyDescent="0.25">
      <c r="A437" s="487"/>
      <c r="B437" s="490"/>
      <c r="C437" s="493"/>
      <c r="D437" s="390">
        <v>3</v>
      </c>
      <c r="E437" s="399">
        <v>435</v>
      </c>
      <c r="F437" s="474"/>
      <c r="G437" s="283"/>
      <c r="H437" s="283"/>
      <c r="I437" s="283"/>
      <c r="J437" s="283"/>
      <c r="K437" s="300"/>
      <c r="L437" s="484" t="str">
        <f t="shared" si="98"/>
        <v/>
      </c>
      <c r="M437" s="285"/>
      <c r="N437" s="402"/>
      <c r="O437" s="286"/>
      <c r="P437" s="406"/>
      <c r="Q437" s="286"/>
      <c r="R437" s="413" t="str">
        <f t="shared" si="95"/>
        <v/>
      </c>
      <c r="S437" s="419" t="str">
        <f t="shared" si="96"/>
        <v>:NAME</v>
      </c>
      <c r="T437" s="286"/>
      <c r="U437" s="287"/>
      <c r="V437" s="287"/>
      <c r="W437" s="287"/>
      <c r="X437" s="287"/>
      <c r="Y437" s="287"/>
      <c r="Z437" s="288"/>
      <c r="AA437" s="289">
        <f t="shared" si="97"/>
        <v>0</v>
      </c>
      <c r="AB437" s="290"/>
      <c r="AC437" s="291"/>
      <c r="AD437" s="292"/>
      <c r="AE437" s="293"/>
      <c r="AG437" s="295"/>
    </row>
    <row r="438" spans="1:33" s="294" customFormat="1" x14ac:dyDescent="0.25">
      <c r="A438" s="487"/>
      <c r="B438" s="490"/>
      <c r="C438" s="493"/>
      <c r="D438" s="390">
        <v>4</v>
      </c>
      <c r="E438" s="399">
        <v>436</v>
      </c>
      <c r="F438" s="474"/>
      <c r="G438" s="283"/>
      <c r="H438" s="283"/>
      <c r="I438" s="283"/>
      <c r="J438" s="283"/>
      <c r="K438" s="300"/>
      <c r="L438" s="484" t="str">
        <f t="shared" si="98"/>
        <v/>
      </c>
      <c r="M438" s="285"/>
      <c r="N438" s="402"/>
      <c r="O438" s="286"/>
      <c r="P438" s="406"/>
      <c r="Q438" s="286"/>
      <c r="R438" s="413" t="str">
        <f t="shared" si="95"/>
        <v/>
      </c>
      <c r="S438" s="419" t="str">
        <f t="shared" si="96"/>
        <v>:NAME</v>
      </c>
      <c r="T438" s="286"/>
      <c r="U438" s="287"/>
      <c r="V438" s="287"/>
      <c r="W438" s="287"/>
      <c r="X438" s="287"/>
      <c r="Y438" s="287"/>
      <c r="Z438" s="288"/>
      <c r="AA438" s="289">
        <f t="shared" si="97"/>
        <v>0</v>
      </c>
      <c r="AB438" s="290"/>
      <c r="AC438" s="291"/>
      <c r="AD438" s="292"/>
      <c r="AE438" s="293"/>
      <c r="AG438" s="295"/>
    </row>
    <row r="439" spans="1:33" s="294" customFormat="1" x14ac:dyDescent="0.25">
      <c r="A439" s="487"/>
      <c r="B439" s="490"/>
      <c r="C439" s="493"/>
      <c r="D439" s="390">
        <v>5</v>
      </c>
      <c r="E439" s="399">
        <v>437</v>
      </c>
      <c r="F439" s="474"/>
      <c r="G439" s="283"/>
      <c r="H439" s="283"/>
      <c r="I439" s="283"/>
      <c r="J439" s="283"/>
      <c r="K439" s="300"/>
      <c r="L439" s="484" t="str">
        <f t="shared" si="98"/>
        <v/>
      </c>
      <c r="M439" s="285"/>
      <c r="N439" s="402"/>
      <c r="O439" s="286"/>
      <c r="P439" s="406"/>
      <c r="Q439" s="286"/>
      <c r="R439" s="413" t="str">
        <f t="shared" si="95"/>
        <v/>
      </c>
      <c r="S439" s="419" t="str">
        <f t="shared" si="96"/>
        <v>:NAME</v>
      </c>
      <c r="T439" s="286"/>
      <c r="U439" s="287"/>
      <c r="V439" s="287"/>
      <c r="W439" s="287"/>
      <c r="X439" s="287"/>
      <c r="Y439" s="287"/>
      <c r="Z439" s="288"/>
      <c r="AA439" s="289">
        <f t="shared" si="97"/>
        <v>0</v>
      </c>
      <c r="AB439" s="290"/>
      <c r="AC439" s="291"/>
      <c r="AD439" s="292"/>
      <c r="AE439" s="293"/>
      <c r="AG439" s="295"/>
    </row>
    <row r="440" spans="1:33" s="294" customFormat="1" x14ac:dyDescent="0.25">
      <c r="A440" s="487"/>
      <c r="B440" s="490"/>
      <c r="C440" s="493"/>
      <c r="D440" s="390">
        <v>6</v>
      </c>
      <c r="E440" s="399">
        <v>438</v>
      </c>
      <c r="F440" s="474"/>
      <c r="G440" s="283"/>
      <c r="H440" s="283"/>
      <c r="I440" s="283"/>
      <c r="J440" s="283"/>
      <c r="K440" s="300"/>
      <c r="L440" s="484" t="str">
        <f t="shared" si="98"/>
        <v/>
      </c>
      <c r="M440" s="285"/>
      <c r="N440" s="402"/>
      <c r="O440" s="286"/>
      <c r="P440" s="406"/>
      <c r="Q440" s="286"/>
      <c r="R440" s="413" t="str">
        <f t="shared" si="95"/>
        <v/>
      </c>
      <c r="S440" s="419" t="str">
        <f t="shared" si="96"/>
        <v>:NAME</v>
      </c>
      <c r="T440" s="286"/>
      <c r="U440" s="287"/>
      <c r="V440" s="287"/>
      <c r="W440" s="287"/>
      <c r="X440" s="287"/>
      <c r="Y440" s="287"/>
      <c r="Z440" s="288"/>
      <c r="AA440" s="289">
        <f t="shared" si="97"/>
        <v>0</v>
      </c>
      <c r="AB440" s="290"/>
      <c r="AC440" s="291"/>
      <c r="AD440" s="292"/>
      <c r="AE440" s="293"/>
      <c r="AG440" s="295"/>
    </row>
    <row r="441" spans="1:33" s="294" customFormat="1" x14ac:dyDescent="0.25">
      <c r="A441" s="487"/>
      <c r="B441" s="490"/>
      <c r="C441" s="493"/>
      <c r="D441" s="390">
        <v>7</v>
      </c>
      <c r="E441" s="399">
        <v>439</v>
      </c>
      <c r="F441" s="474"/>
      <c r="G441" s="283"/>
      <c r="H441" s="283"/>
      <c r="I441" s="283"/>
      <c r="J441" s="283"/>
      <c r="K441" s="300"/>
      <c r="L441" s="484" t="str">
        <f t="shared" si="98"/>
        <v/>
      </c>
      <c r="M441" s="285"/>
      <c r="N441" s="402"/>
      <c r="O441" s="286"/>
      <c r="P441" s="408"/>
      <c r="Q441" s="286"/>
      <c r="R441" s="413" t="str">
        <f t="shared" si="95"/>
        <v/>
      </c>
      <c r="S441" s="419" t="str">
        <f t="shared" si="96"/>
        <v>:NAME</v>
      </c>
      <c r="T441" s="286"/>
      <c r="U441" s="287"/>
      <c r="V441" s="287"/>
      <c r="W441" s="287"/>
      <c r="X441" s="287"/>
      <c r="Y441" s="287"/>
      <c r="Z441" s="288"/>
      <c r="AA441" s="289">
        <f t="shared" si="97"/>
        <v>0</v>
      </c>
      <c r="AB441" s="290"/>
      <c r="AC441" s="291"/>
      <c r="AD441" s="292"/>
      <c r="AE441" s="293"/>
      <c r="AG441" s="295"/>
    </row>
    <row r="442" spans="1:33" s="294" customFormat="1" x14ac:dyDescent="0.25">
      <c r="A442" s="487"/>
      <c r="B442" s="490"/>
      <c r="C442" s="493"/>
      <c r="D442" s="390">
        <v>8</v>
      </c>
      <c r="E442" s="399">
        <v>440</v>
      </c>
      <c r="F442" s="474"/>
      <c r="G442" s="283"/>
      <c r="H442" s="283"/>
      <c r="I442" s="283"/>
      <c r="J442" s="283"/>
      <c r="K442" s="300"/>
      <c r="L442" s="484" t="str">
        <f t="shared" si="98"/>
        <v/>
      </c>
      <c r="M442" s="285"/>
      <c r="N442" s="402"/>
      <c r="O442" s="286"/>
      <c r="P442" s="408"/>
      <c r="Q442" s="286"/>
      <c r="R442" s="413" t="str">
        <f t="shared" si="95"/>
        <v/>
      </c>
      <c r="S442" s="419" t="str">
        <f t="shared" si="96"/>
        <v>:NAME</v>
      </c>
      <c r="T442" s="286"/>
      <c r="U442" s="287"/>
      <c r="V442" s="287"/>
      <c r="W442" s="287"/>
      <c r="X442" s="287"/>
      <c r="Y442" s="287"/>
      <c r="Z442" s="288"/>
      <c r="AA442" s="289">
        <f t="shared" si="97"/>
        <v>0</v>
      </c>
      <c r="AB442" s="290"/>
      <c r="AC442" s="291"/>
      <c r="AD442" s="292"/>
      <c r="AE442" s="293"/>
      <c r="AG442" s="295"/>
    </row>
    <row r="443" spans="1:33" s="294" customFormat="1" x14ac:dyDescent="0.25">
      <c r="A443" s="487"/>
      <c r="B443" s="490"/>
      <c r="C443" s="493"/>
      <c r="D443" s="390">
        <v>9</v>
      </c>
      <c r="E443" s="399">
        <v>441</v>
      </c>
      <c r="F443" s="474"/>
      <c r="G443" s="283"/>
      <c r="H443" s="283"/>
      <c r="I443" s="283"/>
      <c r="J443" s="283"/>
      <c r="K443" s="300"/>
      <c r="L443" s="484" t="str">
        <f t="shared" si="98"/>
        <v/>
      </c>
      <c r="M443" s="285"/>
      <c r="N443" s="402"/>
      <c r="O443" s="286"/>
      <c r="P443" s="408"/>
      <c r="Q443" s="286"/>
      <c r="R443" s="413" t="str">
        <f t="shared" si="95"/>
        <v/>
      </c>
      <c r="S443" s="419" t="str">
        <f t="shared" si="96"/>
        <v>:NAME</v>
      </c>
      <c r="T443" s="286"/>
      <c r="U443" s="287"/>
      <c r="V443" s="287"/>
      <c r="W443" s="287"/>
      <c r="X443" s="287"/>
      <c r="Y443" s="287"/>
      <c r="Z443" s="288"/>
      <c r="AA443" s="289">
        <f t="shared" si="97"/>
        <v>0</v>
      </c>
      <c r="AB443" s="290"/>
      <c r="AC443" s="291"/>
      <c r="AD443" s="292"/>
      <c r="AE443" s="293"/>
      <c r="AG443" s="295"/>
    </row>
    <row r="444" spans="1:33" s="294" customFormat="1" x14ac:dyDescent="0.25">
      <c r="A444" s="487"/>
      <c r="B444" s="490"/>
      <c r="C444" s="493"/>
      <c r="D444" s="390">
        <v>10</v>
      </c>
      <c r="E444" s="399">
        <v>442</v>
      </c>
      <c r="F444" s="474"/>
      <c r="G444" s="283"/>
      <c r="H444" s="283"/>
      <c r="I444" s="283"/>
      <c r="J444" s="283"/>
      <c r="K444" s="300"/>
      <c r="L444" s="484" t="str">
        <f t="shared" si="98"/>
        <v/>
      </c>
      <c r="M444" s="285"/>
      <c r="N444" s="402"/>
      <c r="O444" s="286"/>
      <c r="P444" s="408"/>
      <c r="Q444" s="286"/>
      <c r="R444" s="413" t="str">
        <f t="shared" si="95"/>
        <v/>
      </c>
      <c r="S444" s="419" t="str">
        <f t="shared" si="96"/>
        <v>:NAME</v>
      </c>
      <c r="T444" s="286"/>
      <c r="U444" s="287"/>
      <c r="V444" s="287"/>
      <c r="W444" s="287"/>
      <c r="X444" s="287"/>
      <c r="Y444" s="287"/>
      <c r="Z444" s="288"/>
      <c r="AA444" s="289">
        <f t="shared" si="97"/>
        <v>0</v>
      </c>
      <c r="AB444" s="290"/>
      <c r="AC444" s="291"/>
      <c r="AD444" s="292"/>
      <c r="AE444" s="293"/>
      <c r="AG444" s="295"/>
    </row>
    <row r="445" spans="1:33" s="294" customFormat="1" x14ac:dyDescent="0.25">
      <c r="A445" s="487"/>
      <c r="B445" s="490"/>
      <c r="C445" s="493"/>
      <c r="D445" s="390">
        <v>11</v>
      </c>
      <c r="E445" s="399">
        <v>443</v>
      </c>
      <c r="F445" s="474"/>
      <c r="G445" s="283"/>
      <c r="H445" s="283"/>
      <c r="I445" s="283"/>
      <c r="J445" s="283"/>
      <c r="K445" s="300"/>
      <c r="L445" s="484" t="str">
        <f t="shared" si="98"/>
        <v/>
      </c>
      <c r="M445" s="285"/>
      <c r="N445" s="402"/>
      <c r="O445" s="286"/>
      <c r="P445" s="408"/>
      <c r="Q445" s="286"/>
      <c r="R445" s="413" t="str">
        <f t="shared" si="95"/>
        <v/>
      </c>
      <c r="S445" s="419" t="str">
        <f t="shared" si="96"/>
        <v>:NAME</v>
      </c>
      <c r="T445" s="286"/>
      <c r="U445" s="287"/>
      <c r="V445" s="287"/>
      <c r="W445" s="287"/>
      <c r="X445" s="287"/>
      <c r="Y445" s="287"/>
      <c r="Z445" s="288"/>
      <c r="AA445" s="289">
        <f t="shared" si="97"/>
        <v>0</v>
      </c>
      <c r="AB445" s="290"/>
      <c r="AC445" s="291"/>
      <c r="AD445" s="292"/>
      <c r="AE445" s="293"/>
      <c r="AG445" s="295"/>
    </row>
    <row r="446" spans="1:33" s="294" customFormat="1" x14ac:dyDescent="0.25">
      <c r="A446" s="487"/>
      <c r="B446" s="490"/>
      <c r="C446" s="493"/>
      <c r="D446" s="390">
        <v>12</v>
      </c>
      <c r="E446" s="399">
        <v>444</v>
      </c>
      <c r="F446" s="474"/>
      <c r="G446" s="283"/>
      <c r="H446" s="283"/>
      <c r="I446" s="283"/>
      <c r="J446" s="283"/>
      <c r="K446" s="300"/>
      <c r="L446" s="484" t="str">
        <f t="shared" si="98"/>
        <v/>
      </c>
      <c r="M446" s="285"/>
      <c r="N446" s="402"/>
      <c r="O446" s="286"/>
      <c r="P446" s="408"/>
      <c r="Q446" s="286"/>
      <c r="R446" s="413" t="str">
        <f t="shared" si="95"/>
        <v/>
      </c>
      <c r="S446" s="419" t="str">
        <f t="shared" si="96"/>
        <v>:NAME</v>
      </c>
      <c r="T446" s="286"/>
      <c r="U446" s="287"/>
      <c r="V446" s="287"/>
      <c r="W446" s="287"/>
      <c r="X446" s="287"/>
      <c r="Y446" s="287"/>
      <c r="Z446" s="288"/>
      <c r="AA446" s="289">
        <f t="shared" si="97"/>
        <v>0</v>
      </c>
      <c r="AB446" s="290"/>
      <c r="AC446" s="291"/>
      <c r="AD446" s="292"/>
      <c r="AE446" s="293"/>
      <c r="AG446" s="295"/>
    </row>
    <row r="447" spans="1:33" s="294" customFormat="1" x14ac:dyDescent="0.25">
      <c r="A447" s="487"/>
      <c r="B447" s="490"/>
      <c r="C447" s="493"/>
      <c r="D447" s="390">
        <v>13</v>
      </c>
      <c r="E447" s="399">
        <v>445</v>
      </c>
      <c r="F447" s="474"/>
      <c r="G447" s="283"/>
      <c r="H447" s="283"/>
      <c r="I447" s="283"/>
      <c r="J447" s="283"/>
      <c r="K447" s="300"/>
      <c r="L447" s="484" t="str">
        <f t="shared" si="98"/>
        <v/>
      </c>
      <c r="M447" s="285"/>
      <c r="N447" s="402"/>
      <c r="O447" s="286"/>
      <c r="P447" s="408"/>
      <c r="Q447" s="286"/>
      <c r="R447" s="413" t="str">
        <f t="shared" si="95"/>
        <v/>
      </c>
      <c r="S447" s="419" t="str">
        <f t="shared" si="96"/>
        <v>:NAME</v>
      </c>
      <c r="T447" s="286"/>
      <c r="U447" s="287"/>
      <c r="V447" s="287"/>
      <c r="W447" s="287"/>
      <c r="X447" s="287"/>
      <c r="Y447" s="287"/>
      <c r="Z447" s="288"/>
      <c r="AA447" s="289">
        <f t="shared" si="97"/>
        <v>0</v>
      </c>
      <c r="AB447" s="290"/>
      <c r="AC447" s="291"/>
      <c r="AD447" s="292"/>
      <c r="AE447" s="293"/>
      <c r="AG447" s="295"/>
    </row>
    <row r="448" spans="1:33" s="294" customFormat="1" x14ac:dyDescent="0.25">
      <c r="A448" s="487"/>
      <c r="B448" s="490"/>
      <c r="C448" s="493"/>
      <c r="D448" s="390">
        <v>14</v>
      </c>
      <c r="E448" s="399">
        <v>446</v>
      </c>
      <c r="F448" s="474"/>
      <c r="G448" s="283"/>
      <c r="H448" s="283"/>
      <c r="I448" s="283"/>
      <c r="J448" s="283"/>
      <c r="K448" s="300"/>
      <c r="L448" s="484" t="str">
        <f t="shared" si="98"/>
        <v/>
      </c>
      <c r="M448" s="285"/>
      <c r="N448" s="402"/>
      <c r="O448" s="286"/>
      <c r="P448" s="408"/>
      <c r="Q448" s="286"/>
      <c r="R448" s="413" t="str">
        <f t="shared" si="95"/>
        <v/>
      </c>
      <c r="S448" s="419" t="str">
        <f t="shared" si="96"/>
        <v>:NAME</v>
      </c>
      <c r="T448" s="286"/>
      <c r="U448" s="287"/>
      <c r="V448" s="287"/>
      <c r="W448" s="287"/>
      <c r="X448" s="287"/>
      <c r="Y448" s="287"/>
      <c r="Z448" s="288"/>
      <c r="AA448" s="289">
        <f t="shared" si="97"/>
        <v>0</v>
      </c>
      <c r="AB448" s="290"/>
      <c r="AC448" s="291"/>
      <c r="AD448" s="292"/>
      <c r="AE448" s="293"/>
      <c r="AG448" s="295"/>
    </row>
    <row r="449" spans="1:33" s="326" customFormat="1" ht="15.75" thickBot="1" x14ac:dyDescent="0.3">
      <c r="A449" s="488"/>
      <c r="B449" s="491"/>
      <c r="C449" s="494"/>
      <c r="D449" s="390">
        <v>15</v>
      </c>
      <c r="E449" s="399">
        <v>447</v>
      </c>
      <c r="F449" s="474"/>
      <c r="G449" s="283"/>
      <c r="H449" s="283"/>
      <c r="I449" s="283"/>
      <c r="J449" s="283"/>
      <c r="K449" s="300"/>
      <c r="L449" s="484" t="str">
        <f t="shared" si="98"/>
        <v/>
      </c>
      <c r="M449" s="285"/>
      <c r="N449" s="402"/>
      <c r="O449" s="286"/>
      <c r="P449" s="408"/>
      <c r="Q449" s="286"/>
      <c r="R449" s="413" t="str">
        <f t="shared" si="95"/>
        <v/>
      </c>
      <c r="S449" s="419" t="str">
        <f t="shared" si="96"/>
        <v>:NAME</v>
      </c>
      <c r="T449" s="288"/>
      <c r="U449" s="324"/>
      <c r="V449" s="324"/>
      <c r="W449" s="324"/>
      <c r="X449" s="324"/>
      <c r="Y449" s="287"/>
      <c r="Z449" s="288"/>
      <c r="AA449" s="289">
        <f t="shared" si="97"/>
        <v>0</v>
      </c>
      <c r="AB449" s="325"/>
      <c r="AC449" s="296"/>
      <c r="AD449" s="292"/>
      <c r="AE449" s="293"/>
      <c r="AG449" s="327"/>
    </row>
    <row r="450" spans="1:33" s="322" customFormat="1" ht="14.45" customHeight="1" x14ac:dyDescent="0.25">
      <c r="A450" s="486" t="s">
        <v>44</v>
      </c>
      <c r="B450" s="489" t="str">
        <f>LOOKUP(A450,Module,IO)</f>
        <v>.</v>
      </c>
      <c r="C450" s="492" t="s">
        <v>36</v>
      </c>
      <c r="D450" s="389" t="s">
        <v>160</v>
      </c>
      <c r="E450" s="398">
        <v>448</v>
      </c>
      <c r="F450" s="476"/>
      <c r="G450" s="268"/>
      <c r="H450" s="268"/>
      <c r="I450" s="268"/>
      <c r="J450" s="268"/>
      <c r="K450" s="318"/>
      <c r="L450" s="483" t="str">
        <f t="shared" si="98"/>
        <v/>
      </c>
      <c r="M450" s="270"/>
      <c r="N450" s="401"/>
      <c r="O450" s="271"/>
      <c r="P450" s="405"/>
      <c r="Q450" s="271"/>
      <c r="R450" s="412" t="str">
        <f t="shared" ref="R450:R513" si="99">IF(G450&lt;&gt;"",G450&amp;"."&amp;H450&amp;"."&amp;I450&amp;"."&amp;J450&amp;IF(K450&lt;&gt;"","."&amp;K450,""),"")</f>
        <v/>
      </c>
      <c r="S450" s="418" t="str">
        <f t="shared" ref="S450:S513" si="100">L450&amp;":NAME"</f>
        <v>:NAME</v>
      </c>
      <c r="T450" s="273"/>
      <c r="U450" s="319"/>
      <c r="V450" s="319"/>
      <c r="W450" s="319"/>
      <c r="X450" s="319"/>
      <c r="Y450" s="272"/>
      <c r="Z450" s="273"/>
      <c r="AA450" s="274">
        <f t="shared" si="97"/>
        <v>0</v>
      </c>
      <c r="AB450" s="320"/>
      <c r="AC450" s="321"/>
      <c r="AD450" s="277"/>
      <c r="AE450" s="278"/>
      <c r="AG450" s="323"/>
    </row>
    <row r="451" spans="1:33" s="294" customFormat="1" x14ac:dyDescent="0.25">
      <c r="A451" s="487"/>
      <c r="B451" s="490"/>
      <c r="C451" s="493"/>
      <c r="D451" s="390">
        <v>1</v>
      </c>
      <c r="E451" s="399">
        <v>449</v>
      </c>
      <c r="F451" s="474"/>
      <c r="G451" s="283"/>
      <c r="H451" s="283"/>
      <c r="I451" s="283"/>
      <c r="J451" s="283"/>
      <c r="K451" s="300"/>
      <c r="L451" s="484" t="str">
        <f t="shared" si="98"/>
        <v/>
      </c>
      <c r="M451" s="285"/>
      <c r="N451" s="402"/>
      <c r="O451" s="286"/>
      <c r="P451" s="406"/>
      <c r="Q451" s="286"/>
      <c r="R451" s="413" t="str">
        <f t="shared" si="99"/>
        <v/>
      </c>
      <c r="S451" s="419" t="str">
        <f t="shared" si="100"/>
        <v>:NAME</v>
      </c>
      <c r="T451" s="286"/>
      <c r="U451" s="287"/>
      <c r="V451" s="287"/>
      <c r="W451" s="287"/>
      <c r="X451" s="287"/>
      <c r="Y451" s="287"/>
      <c r="Z451" s="288"/>
      <c r="AA451" s="289">
        <f t="shared" ref="AA451:AA514" si="101">LEN(L451)</f>
        <v>0</v>
      </c>
      <c r="AB451" s="290"/>
      <c r="AC451" s="291"/>
      <c r="AD451" s="292"/>
      <c r="AE451" s="293"/>
      <c r="AG451" s="295"/>
    </row>
    <row r="452" spans="1:33" s="294" customFormat="1" x14ac:dyDescent="0.25">
      <c r="A452" s="487"/>
      <c r="B452" s="490"/>
      <c r="C452" s="493"/>
      <c r="D452" s="390">
        <v>2</v>
      </c>
      <c r="E452" s="399">
        <v>450</v>
      </c>
      <c r="F452" s="474"/>
      <c r="G452" s="283"/>
      <c r="H452" s="283"/>
      <c r="I452" s="283"/>
      <c r="J452" s="283"/>
      <c r="K452" s="300"/>
      <c r="L452" s="484" t="str">
        <f t="shared" si="98"/>
        <v/>
      </c>
      <c r="M452" s="285"/>
      <c r="N452" s="402"/>
      <c r="O452" s="286"/>
      <c r="P452" s="408"/>
      <c r="Q452" s="286"/>
      <c r="R452" s="413" t="str">
        <f t="shared" si="99"/>
        <v/>
      </c>
      <c r="S452" s="419" t="str">
        <f t="shared" si="100"/>
        <v>:NAME</v>
      </c>
      <c r="T452" s="286"/>
      <c r="U452" s="287"/>
      <c r="V452" s="287"/>
      <c r="W452" s="287"/>
      <c r="X452" s="287"/>
      <c r="Y452" s="287"/>
      <c r="Z452" s="288"/>
      <c r="AA452" s="289">
        <f t="shared" si="101"/>
        <v>0</v>
      </c>
      <c r="AB452" s="290"/>
      <c r="AC452" s="291"/>
      <c r="AD452" s="292"/>
      <c r="AE452" s="293"/>
      <c r="AG452" s="295"/>
    </row>
    <row r="453" spans="1:33" s="294" customFormat="1" x14ac:dyDescent="0.25">
      <c r="A453" s="487"/>
      <c r="B453" s="490"/>
      <c r="C453" s="493"/>
      <c r="D453" s="390">
        <v>3</v>
      </c>
      <c r="E453" s="399">
        <v>451</v>
      </c>
      <c r="F453" s="474"/>
      <c r="G453" s="283"/>
      <c r="H453" s="283"/>
      <c r="I453" s="283"/>
      <c r="J453" s="283"/>
      <c r="K453" s="300"/>
      <c r="L453" s="484" t="str">
        <f t="shared" si="98"/>
        <v/>
      </c>
      <c r="M453" s="285"/>
      <c r="N453" s="402"/>
      <c r="O453" s="286"/>
      <c r="P453" s="408"/>
      <c r="Q453" s="286"/>
      <c r="R453" s="413" t="str">
        <f t="shared" si="99"/>
        <v/>
      </c>
      <c r="S453" s="419" t="str">
        <f t="shared" si="100"/>
        <v>:NAME</v>
      </c>
      <c r="T453" s="286"/>
      <c r="U453" s="287"/>
      <c r="V453" s="287"/>
      <c r="W453" s="287"/>
      <c r="X453" s="287"/>
      <c r="Y453" s="287"/>
      <c r="Z453" s="288"/>
      <c r="AA453" s="289">
        <f t="shared" si="101"/>
        <v>0</v>
      </c>
      <c r="AB453" s="290"/>
      <c r="AC453" s="291"/>
      <c r="AD453" s="292"/>
      <c r="AE453" s="293"/>
      <c r="AG453" s="295"/>
    </row>
    <row r="454" spans="1:33" s="294" customFormat="1" x14ac:dyDescent="0.25">
      <c r="A454" s="487"/>
      <c r="B454" s="490"/>
      <c r="C454" s="493"/>
      <c r="D454" s="390">
        <v>4</v>
      </c>
      <c r="E454" s="399">
        <v>452</v>
      </c>
      <c r="F454" s="474"/>
      <c r="G454" s="283"/>
      <c r="H454" s="283"/>
      <c r="I454" s="283"/>
      <c r="J454" s="283"/>
      <c r="K454" s="300"/>
      <c r="L454" s="484" t="str">
        <f t="shared" si="98"/>
        <v/>
      </c>
      <c r="M454" s="285"/>
      <c r="N454" s="402"/>
      <c r="O454" s="286"/>
      <c r="P454" s="406"/>
      <c r="Q454" s="286"/>
      <c r="R454" s="413" t="str">
        <f t="shared" si="99"/>
        <v/>
      </c>
      <c r="S454" s="419" t="str">
        <f t="shared" si="100"/>
        <v>:NAME</v>
      </c>
      <c r="T454" s="286"/>
      <c r="U454" s="287"/>
      <c r="V454" s="287"/>
      <c r="W454" s="287"/>
      <c r="X454" s="287"/>
      <c r="Y454" s="287"/>
      <c r="Z454" s="288"/>
      <c r="AA454" s="289">
        <f t="shared" si="101"/>
        <v>0</v>
      </c>
      <c r="AB454" s="290"/>
      <c r="AC454" s="291"/>
      <c r="AD454" s="292"/>
      <c r="AE454" s="293"/>
      <c r="AG454" s="295"/>
    </row>
    <row r="455" spans="1:33" s="294" customFormat="1" x14ac:dyDescent="0.25">
      <c r="A455" s="487"/>
      <c r="B455" s="490"/>
      <c r="C455" s="493"/>
      <c r="D455" s="390">
        <v>5</v>
      </c>
      <c r="E455" s="399">
        <v>453</v>
      </c>
      <c r="F455" s="474"/>
      <c r="G455" s="283"/>
      <c r="H455" s="283"/>
      <c r="I455" s="283"/>
      <c r="J455" s="283"/>
      <c r="K455" s="300"/>
      <c r="L455" s="484" t="str">
        <f t="shared" si="98"/>
        <v/>
      </c>
      <c r="M455" s="285"/>
      <c r="N455" s="402"/>
      <c r="O455" s="286"/>
      <c r="P455" s="406"/>
      <c r="Q455" s="286"/>
      <c r="R455" s="413" t="str">
        <f t="shared" si="99"/>
        <v/>
      </c>
      <c r="S455" s="419" t="str">
        <f t="shared" si="100"/>
        <v>:NAME</v>
      </c>
      <c r="T455" s="286"/>
      <c r="U455" s="287"/>
      <c r="V455" s="287"/>
      <c r="W455" s="287"/>
      <c r="X455" s="287"/>
      <c r="Y455" s="287"/>
      <c r="Z455" s="288"/>
      <c r="AA455" s="289">
        <f t="shared" si="101"/>
        <v>0</v>
      </c>
      <c r="AB455" s="290"/>
      <c r="AC455" s="291"/>
      <c r="AD455" s="292"/>
      <c r="AE455" s="293"/>
      <c r="AG455" s="295"/>
    </row>
    <row r="456" spans="1:33" s="294" customFormat="1" x14ac:dyDescent="0.25">
      <c r="A456" s="487"/>
      <c r="B456" s="490"/>
      <c r="C456" s="493"/>
      <c r="D456" s="390">
        <v>6</v>
      </c>
      <c r="E456" s="399">
        <v>454</v>
      </c>
      <c r="F456" s="474"/>
      <c r="G456" s="283"/>
      <c r="H456" s="283"/>
      <c r="I456" s="283"/>
      <c r="J456" s="283"/>
      <c r="K456" s="300"/>
      <c r="L456" s="484" t="str">
        <f t="shared" si="98"/>
        <v/>
      </c>
      <c r="M456" s="285"/>
      <c r="N456" s="402"/>
      <c r="O456" s="286"/>
      <c r="P456" s="408"/>
      <c r="Q456" s="286"/>
      <c r="R456" s="413" t="str">
        <f t="shared" si="99"/>
        <v/>
      </c>
      <c r="S456" s="419" t="str">
        <f t="shared" si="100"/>
        <v>:NAME</v>
      </c>
      <c r="T456" s="286"/>
      <c r="U456" s="287"/>
      <c r="V456" s="287"/>
      <c r="W456" s="287"/>
      <c r="X456" s="287"/>
      <c r="Y456" s="287"/>
      <c r="Z456" s="288"/>
      <c r="AA456" s="289">
        <f t="shared" si="101"/>
        <v>0</v>
      </c>
      <c r="AB456" s="290"/>
      <c r="AC456" s="291"/>
      <c r="AD456" s="292"/>
      <c r="AE456" s="293"/>
      <c r="AG456" s="295"/>
    </row>
    <row r="457" spans="1:33" s="294" customFormat="1" x14ac:dyDescent="0.25">
      <c r="A457" s="487"/>
      <c r="B457" s="490"/>
      <c r="C457" s="493"/>
      <c r="D457" s="390">
        <v>7</v>
      </c>
      <c r="E457" s="399">
        <v>455</v>
      </c>
      <c r="F457" s="474"/>
      <c r="G457" s="283"/>
      <c r="H457" s="283"/>
      <c r="I457" s="283"/>
      <c r="J457" s="283"/>
      <c r="K457" s="300"/>
      <c r="L457" s="484" t="str">
        <f t="shared" si="98"/>
        <v/>
      </c>
      <c r="M457" s="285"/>
      <c r="N457" s="402"/>
      <c r="O457" s="286"/>
      <c r="P457" s="408"/>
      <c r="Q457" s="286"/>
      <c r="R457" s="413" t="str">
        <f t="shared" si="99"/>
        <v/>
      </c>
      <c r="S457" s="419" t="str">
        <f t="shared" si="100"/>
        <v>:NAME</v>
      </c>
      <c r="T457" s="286"/>
      <c r="U457" s="287"/>
      <c r="V457" s="287"/>
      <c r="W457" s="287"/>
      <c r="X457" s="287"/>
      <c r="Y457" s="287"/>
      <c r="Z457" s="288"/>
      <c r="AA457" s="289">
        <f t="shared" si="101"/>
        <v>0</v>
      </c>
      <c r="AB457" s="290"/>
      <c r="AC457" s="291"/>
      <c r="AD457" s="292"/>
      <c r="AE457" s="293"/>
      <c r="AG457" s="295"/>
    </row>
    <row r="458" spans="1:33" s="294" customFormat="1" x14ac:dyDescent="0.25">
      <c r="A458" s="487"/>
      <c r="B458" s="490"/>
      <c r="C458" s="493"/>
      <c r="D458" s="390">
        <v>8</v>
      </c>
      <c r="E458" s="399">
        <v>456</v>
      </c>
      <c r="F458" s="474"/>
      <c r="G458" s="283"/>
      <c r="H458" s="283"/>
      <c r="I458" s="283"/>
      <c r="J458" s="283"/>
      <c r="K458" s="300"/>
      <c r="L458" s="484" t="str">
        <f t="shared" si="98"/>
        <v/>
      </c>
      <c r="M458" s="285"/>
      <c r="N458" s="402"/>
      <c r="O458" s="286"/>
      <c r="P458" s="408"/>
      <c r="Q458" s="286"/>
      <c r="R458" s="413" t="str">
        <f t="shared" si="99"/>
        <v/>
      </c>
      <c r="S458" s="419" t="str">
        <f t="shared" si="100"/>
        <v>:NAME</v>
      </c>
      <c r="T458" s="286"/>
      <c r="U458" s="287"/>
      <c r="V458" s="287"/>
      <c r="W458" s="287"/>
      <c r="X458" s="287"/>
      <c r="Y458" s="287"/>
      <c r="Z458" s="288"/>
      <c r="AA458" s="289">
        <f t="shared" si="101"/>
        <v>0</v>
      </c>
      <c r="AB458" s="290"/>
      <c r="AC458" s="291"/>
      <c r="AD458" s="292"/>
      <c r="AE458" s="293"/>
      <c r="AG458" s="295"/>
    </row>
    <row r="459" spans="1:33" s="294" customFormat="1" x14ac:dyDescent="0.25">
      <c r="A459" s="487"/>
      <c r="B459" s="490"/>
      <c r="C459" s="493"/>
      <c r="D459" s="390">
        <v>9</v>
      </c>
      <c r="E459" s="399">
        <v>457</v>
      </c>
      <c r="F459" s="474"/>
      <c r="G459" s="283"/>
      <c r="H459" s="283"/>
      <c r="I459" s="283"/>
      <c r="J459" s="283"/>
      <c r="K459" s="300"/>
      <c r="L459" s="484" t="str">
        <f t="shared" si="98"/>
        <v/>
      </c>
      <c r="M459" s="285"/>
      <c r="N459" s="402"/>
      <c r="O459" s="286"/>
      <c r="P459" s="408"/>
      <c r="Q459" s="286"/>
      <c r="R459" s="413" t="str">
        <f t="shared" si="99"/>
        <v/>
      </c>
      <c r="S459" s="419" t="str">
        <f t="shared" si="100"/>
        <v>:NAME</v>
      </c>
      <c r="T459" s="286"/>
      <c r="U459" s="287"/>
      <c r="V459" s="287"/>
      <c r="W459" s="287"/>
      <c r="X459" s="287"/>
      <c r="Y459" s="287"/>
      <c r="Z459" s="288"/>
      <c r="AA459" s="289">
        <f t="shared" si="101"/>
        <v>0</v>
      </c>
      <c r="AB459" s="290"/>
      <c r="AC459" s="291"/>
      <c r="AD459" s="292"/>
      <c r="AE459" s="293"/>
      <c r="AG459" s="295"/>
    </row>
    <row r="460" spans="1:33" s="294" customFormat="1" x14ac:dyDescent="0.25">
      <c r="A460" s="487"/>
      <c r="B460" s="490"/>
      <c r="C460" s="493"/>
      <c r="D460" s="390">
        <v>10</v>
      </c>
      <c r="E460" s="399">
        <v>458</v>
      </c>
      <c r="F460" s="474"/>
      <c r="G460" s="283"/>
      <c r="H460" s="283"/>
      <c r="I460" s="283"/>
      <c r="J460" s="283"/>
      <c r="K460" s="300"/>
      <c r="L460" s="484" t="str">
        <f t="shared" si="98"/>
        <v/>
      </c>
      <c r="M460" s="285"/>
      <c r="N460" s="402"/>
      <c r="O460" s="286"/>
      <c r="P460" s="408"/>
      <c r="Q460" s="286"/>
      <c r="R460" s="413" t="str">
        <f t="shared" si="99"/>
        <v/>
      </c>
      <c r="S460" s="419" t="str">
        <f t="shared" si="100"/>
        <v>:NAME</v>
      </c>
      <c r="T460" s="286"/>
      <c r="U460" s="287"/>
      <c r="V460" s="287"/>
      <c r="W460" s="287"/>
      <c r="X460" s="287"/>
      <c r="Y460" s="287"/>
      <c r="Z460" s="288"/>
      <c r="AA460" s="289">
        <f t="shared" si="101"/>
        <v>0</v>
      </c>
      <c r="AB460" s="290"/>
      <c r="AC460" s="291"/>
      <c r="AD460" s="292"/>
      <c r="AE460" s="293"/>
      <c r="AG460" s="295"/>
    </row>
    <row r="461" spans="1:33" s="294" customFormat="1" x14ac:dyDescent="0.25">
      <c r="A461" s="487"/>
      <c r="B461" s="490"/>
      <c r="C461" s="493"/>
      <c r="D461" s="390">
        <v>11</v>
      </c>
      <c r="E461" s="399">
        <v>459</v>
      </c>
      <c r="F461" s="474"/>
      <c r="G461" s="283"/>
      <c r="H461" s="283"/>
      <c r="I461" s="283"/>
      <c r="J461" s="283"/>
      <c r="K461" s="300"/>
      <c r="L461" s="484" t="str">
        <f t="shared" si="98"/>
        <v/>
      </c>
      <c r="M461" s="285"/>
      <c r="N461" s="402"/>
      <c r="O461" s="286"/>
      <c r="P461" s="408"/>
      <c r="Q461" s="286"/>
      <c r="R461" s="413" t="str">
        <f t="shared" si="99"/>
        <v/>
      </c>
      <c r="S461" s="419" t="str">
        <f t="shared" si="100"/>
        <v>:NAME</v>
      </c>
      <c r="T461" s="286"/>
      <c r="U461" s="287"/>
      <c r="V461" s="287"/>
      <c r="W461" s="287"/>
      <c r="X461" s="287"/>
      <c r="Y461" s="287"/>
      <c r="Z461" s="288"/>
      <c r="AA461" s="289">
        <f t="shared" si="101"/>
        <v>0</v>
      </c>
      <c r="AB461" s="290"/>
      <c r="AC461" s="291"/>
      <c r="AD461" s="292"/>
      <c r="AE461" s="293"/>
      <c r="AG461" s="295"/>
    </row>
    <row r="462" spans="1:33" s="294" customFormat="1" x14ac:dyDescent="0.25">
      <c r="A462" s="487"/>
      <c r="B462" s="490"/>
      <c r="C462" s="493"/>
      <c r="D462" s="390">
        <v>12</v>
      </c>
      <c r="E462" s="399">
        <v>460</v>
      </c>
      <c r="F462" s="474"/>
      <c r="G462" s="283"/>
      <c r="H462" s="283"/>
      <c r="I462" s="283"/>
      <c r="J462" s="283"/>
      <c r="K462" s="300"/>
      <c r="L462" s="484" t="str">
        <f t="shared" si="98"/>
        <v/>
      </c>
      <c r="M462" s="285"/>
      <c r="N462" s="402"/>
      <c r="O462" s="286"/>
      <c r="P462" s="408"/>
      <c r="Q462" s="286"/>
      <c r="R462" s="413" t="str">
        <f t="shared" si="99"/>
        <v/>
      </c>
      <c r="S462" s="419" t="str">
        <f t="shared" si="100"/>
        <v>:NAME</v>
      </c>
      <c r="T462" s="286"/>
      <c r="U462" s="287"/>
      <c r="V462" s="287"/>
      <c r="W462" s="287"/>
      <c r="X462" s="287"/>
      <c r="Y462" s="287"/>
      <c r="Z462" s="288"/>
      <c r="AA462" s="289">
        <f t="shared" si="101"/>
        <v>0</v>
      </c>
      <c r="AB462" s="290"/>
      <c r="AC462" s="291"/>
      <c r="AD462" s="292"/>
      <c r="AE462" s="293"/>
      <c r="AG462" s="295"/>
    </row>
    <row r="463" spans="1:33" s="294" customFormat="1" x14ac:dyDescent="0.25">
      <c r="A463" s="487"/>
      <c r="B463" s="490"/>
      <c r="C463" s="493"/>
      <c r="D463" s="390">
        <v>13</v>
      </c>
      <c r="E463" s="399">
        <v>461</v>
      </c>
      <c r="F463" s="474"/>
      <c r="G463" s="283"/>
      <c r="H463" s="283"/>
      <c r="I463" s="283"/>
      <c r="J463" s="283"/>
      <c r="K463" s="300"/>
      <c r="L463" s="484" t="str">
        <f t="shared" si="98"/>
        <v/>
      </c>
      <c r="M463" s="285"/>
      <c r="N463" s="402"/>
      <c r="O463" s="286"/>
      <c r="P463" s="408"/>
      <c r="Q463" s="286"/>
      <c r="R463" s="413" t="str">
        <f t="shared" si="99"/>
        <v/>
      </c>
      <c r="S463" s="419" t="str">
        <f t="shared" si="100"/>
        <v>:NAME</v>
      </c>
      <c r="T463" s="286"/>
      <c r="U463" s="287"/>
      <c r="V463" s="287"/>
      <c r="W463" s="287"/>
      <c r="X463" s="287"/>
      <c r="Y463" s="287"/>
      <c r="Z463" s="288"/>
      <c r="AA463" s="289">
        <f t="shared" si="101"/>
        <v>0</v>
      </c>
      <c r="AB463" s="290"/>
      <c r="AC463" s="291"/>
      <c r="AD463" s="292"/>
      <c r="AE463" s="293"/>
      <c r="AG463" s="295"/>
    </row>
    <row r="464" spans="1:33" s="294" customFormat="1" x14ac:dyDescent="0.25">
      <c r="A464" s="487"/>
      <c r="B464" s="490"/>
      <c r="C464" s="493"/>
      <c r="D464" s="390">
        <v>14</v>
      </c>
      <c r="E464" s="399">
        <v>462</v>
      </c>
      <c r="F464" s="474"/>
      <c r="G464" s="283"/>
      <c r="H464" s="283"/>
      <c r="I464" s="283"/>
      <c r="J464" s="283"/>
      <c r="K464" s="300"/>
      <c r="L464" s="484" t="str">
        <f t="shared" si="98"/>
        <v/>
      </c>
      <c r="M464" s="285"/>
      <c r="N464" s="402"/>
      <c r="O464" s="286"/>
      <c r="P464" s="408"/>
      <c r="Q464" s="286"/>
      <c r="R464" s="413" t="str">
        <f t="shared" si="99"/>
        <v/>
      </c>
      <c r="S464" s="419" t="str">
        <f t="shared" si="100"/>
        <v>:NAME</v>
      </c>
      <c r="T464" s="286"/>
      <c r="U464" s="287"/>
      <c r="V464" s="287"/>
      <c r="W464" s="287"/>
      <c r="X464" s="287"/>
      <c r="Y464" s="287"/>
      <c r="Z464" s="288"/>
      <c r="AA464" s="289">
        <f t="shared" si="101"/>
        <v>0</v>
      </c>
      <c r="AB464" s="290"/>
      <c r="AC464" s="291"/>
      <c r="AD464" s="292"/>
      <c r="AE464" s="293"/>
      <c r="AG464" s="295"/>
    </row>
    <row r="465" spans="1:33" s="326" customFormat="1" ht="15.75" thickBot="1" x14ac:dyDescent="0.3">
      <c r="A465" s="488"/>
      <c r="B465" s="491"/>
      <c r="C465" s="494"/>
      <c r="D465" s="390">
        <v>15</v>
      </c>
      <c r="E465" s="399">
        <v>463</v>
      </c>
      <c r="F465" s="474"/>
      <c r="G465" s="283"/>
      <c r="H465" s="283"/>
      <c r="I465" s="283"/>
      <c r="J465" s="283"/>
      <c r="K465" s="300"/>
      <c r="L465" s="484" t="str">
        <f t="shared" si="98"/>
        <v/>
      </c>
      <c r="M465" s="285"/>
      <c r="N465" s="402"/>
      <c r="O465" s="286"/>
      <c r="P465" s="408"/>
      <c r="Q465" s="286"/>
      <c r="R465" s="413" t="str">
        <f t="shared" si="99"/>
        <v/>
      </c>
      <c r="S465" s="419" t="str">
        <f t="shared" si="100"/>
        <v>:NAME</v>
      </c>
      <c r="T465" s="288"/>
      <c r="U465" s="324"/>
      <c r="V465" s="324"/>
      <c r="W465" s="324"/>
      <c r="X465" s="324"/>
      <c r="Y465" s="287"/>
      <c r="Z465" s="288"/>
      <c r="AA465" s="289">
        <f t="shared" si="101"/>
        <v>0</v>
      </c>
      <c r="AB465" s="325"/>
      <c r="AC465" s="296"/>
      <c r="AD465" s="292"/>
      <c r="AE465" s="293"/>
      <c r="AG465" s="327"/>
    </row>
    <row r="466" spans="1:33" s="322" customFormat="1" ht="14.45" customHeight="1" x14ac:dyDescent="0.25">
      <c r="A466" s="486" t="s">
        <v>44</v>
      </c>
      <c r="B466" s="489" t="str">
        <f>LOOKUP(A466,Module,IO)</f>
        <v>.</v>
      </c>
      <c r="C466" s="492" t="s">
        <v>37</v>
      </c>
      <c r="D466" s="389" t="s">
        <v>160</v>
      </c>
      <c r="E466" s="398">
        <v>464</v>
      </c>
      <c r="F466" s="476"/>
      <c r="G466" s="268"/>
      <c r="H466" s="268"/>
      <c r="I466" s="268"/>
      <c r="J466" s="268"/>
      <c r="K466" s="318"/>
      <c r="L466" s="483" t="str">
        <f t="shared" si="98"/>
        <v/>
      </c>
      <c r="M466" s="270"/>
      <c r="N466" s="401"/>
      <c r="O466" s="271"/>
      <c r="P466" s="405"/>
      <c r="Q466" s="271"/>
      <c r="R466" s="412" t="str">
        <f t="shared" si="99"/>
        <v/>
      </c>
      <c r="S466" s="418" t="str">
        <f t="shared" si="100"/>
        <v>:NAME</v>
      </c>
      <c r="T466" s="273"/>
      <c r="U466" s="319"/>
      <c r="V466" s="319"/>
      <c r="W466" s="319"/>
      <c r="X466" s="319"/>
      <c r="Y466" s="272"/>
      <c r="Z466" s="273"/>
      <c r="AA466" s="274">
        <f t="shared" si="101"/>
        <v>0</v>
      </c>
      <c r="AB466" s="320"/>
      <c r="AC466" s="321"/>
      <c r="AD466" s="277"/>
      <c r="AE466" s="278"/>
      <c r="AG466" s="323"/>
    </row>
    <row r="467" spans="1:33" s="294" customFormat="1" x14ac:dyDescent="0.25">
      <c r="A467" s="487"/>
      <c r="B467" s="490"/>
      <c r="C467" s="493"/>
      <c r="D467" s="390">
        <v>1</v>
      </c>
      <c r="E467" s="399">
        <v>465</v>
      </c>
      <c r="F467" s="474"/>
      <c r="G467" s="283"/>
      <c r="H467" s="283"/>
      <c r="I467" s="283"/>
      <c r="J467" s="283"/>
      <c r="K467" s="300"/>
      <c r="L467" s="484" t="str">
        <f t="shared" ref="L467:L530" si="102">IF(G467&lt;&gt;"",$G$1&amp;":"&amp;G467&amp;":"&amp;H467&amp;":"&amp;I467&amp;":"&amp;(IF(K467&lt;&gt;"",J467&amp;":"&amp;K467,J467)),"")</f>
        <v/>
      </c>
      <c r="M467" s="285"/>
      <c r="N467" s="402"/>
      <c r="O467" s="286"/>
      <c r="P467" s="406"/>
      <c r="Q467" s="286"/>
      <c r="R467" s="413" t="str">
        <f t="shared" si="99"/>
        <v/>
      </c>
      <c r="S467" s="419" t="str">
        <f t="shared" si="100"/>
        <v>:NAME</v>
      </c>
      <c r="T467" s="286"/>
      <c r="U467" s="287"/>
      <c r="V467" s="287"/>
      <c r="W467" s="287"/>
      <c r="X467" s="287"/>
      <c r="Y467" s="287"/>
      <c r="Z467" s="288"/>
      <c r="AA467" s="289">
        <f t="shared" si="101"/>
        <v>0</v>
      </c>
      <c r="AB467" s="290"/>
      <c r="AC467" s="291"/>
      <c r="AD467" s="292"/>
      <c r="AE467" s="293"/>
      <c r="AG467" s="295"/>
    </row>
    <row r="468" spans="1:33" s="294" customFormat="1" x14ac:dyDescent="0.25">
      <c r="A468" s="487"/>
      <c r="B468" s="490"/>
      <c r="C468" s="493"/>
      <c r="D468" s="390">
        <v>2</v>
      </c>
      <c r="E468" s="399">
        <v>466</v>
      </c>
      <c r="F468" s="474"/>
      <c r="G468" s="283"/>
      <c r="H468" s="283"/>
      <c r="I468" s="283"/>
      <c r="J468" s="283"/>
      <c r="K468" s="300"/>
      <c r="L468" s="484" t="str">
        <f t="shared" si="102"/>
        <v/>
      </c>
      <c r="M468" s="285"/>
      <c r="N468" s="402"/>
      <c r="O468" s="286"/>
      <c r="P468" s="408"/>
      <c r="Q468" s="286"/>
      <c r="R468" s="413" t="str">
        <f t="shared" si="99"/>
        <v/>
      </c>
      <c r="S468" s="419" t="str">
        <f t="shared" si="100"/>
        <v>:NAME</v>
      </c>
      <c r="T468" s="286"/>
      <c r="U468" s="287"/>
      <c r="V468" s="287"/>
      <c r="W468" s="287"/>
      <c r="X468" s="287"/>
      <c r="Y468" s="287"/>
      <c r="Z468" s="288"/>
      <c r="AA468" s="289">
        <f t="shared" si="101"/>
        <v>0</v>
      </c>
      <c r="AB468" s="290"/>
      <c r="AC468" s="291"/>
      <c r="AD468" s="292"/>
      <c r="AE468" s="293"/>
      <c r="AG468" s="295"/>
    </row>
    <row r="469" spans="1:33" s="294" customFormat="1" x14ac:dyDescent="0.25">
      <c r="A469" s="487"/>
      <c r="B469" s="490"/>
      <c r="C469" s="493"/>
      <c r="D469" s="390">
        <v>3</v>
      </c>
      <c r="E469" s="399">
        <v>467</v>
      </c>
      <c r="F469" s="474"/>
      <c r="G469" s="283"/>
      <c r="H469" s="283"/>
      <c r="I469" s="283"/>
      <c r="J469" s="283"/>
      <c r="K469" s="300"/>
      <c r="L469" s="484" t="str">
        <f t="shared" si="102"/>
        <v/>
      </c>
      <c r="M469" s="285"/>
      <c r="N469" s="402"/>
      <c r="O469" s="286"/>
      <c r="P469" s="408"/>
      <c r="Q469" s="286"/>
      <c r="R469" s="413" t="str">
        <f t="shared" si="99"/>
        <v/>
      </c>
      <c r="S469" s="419" t="str">
        <f t="shared" si="100"/>
        <v>:NAME</v>
      </c>
      <c r="T469" s="286"/>
      <c r="U469" s="287"/>
      <c r="V469" s="287"/>
      <c r="W469" s="287"/>
      <c r="X469" s="287"/>
      <c r="Y469" s="287"/>
      <c r="Z469" s="288"/>
      <c r="AA469" s="289">
        <f t="shared" si="101"/>
        <v>0</v>
      </c>
      <c r="AB469" s="290"/>
      <c r="AC469" s="291"/>
      <c r="AD469" s="292"/>
      <c r="AE469" s="293"/>
      <c r="AG469" s="295"/>
    </row>
    <row r="470" spans="1:33" s="294" customFormat="1" x14ac:dyDescent="0.25">
      <c r="A470" s="487"/>
      <c r="B470" s="490"/>
      <c r="C470" s="493"/>
      <c r="D470" s="390">
        <v>4</v>
      </c>
      <c r="E470" s="399">
        <v>468</v>
      </c>
      <c r="F470" s="474"/>
      <c r="G470" s="283"/>
      <c r="H470" s="283"/>
      <c r="I470" s="283"/>
      <c r="J470" s="283"/>
      <c r="K470" s="300"/>
      <c r="L470" s="484" t="str">
        <f t="shared" si="102"/>
        <v/>
      </c>
      <c r="M470" s="285"/>
      <c r="N470" s="402"/>
      <c r="O470" s="286"/>
      <c r="P470" s="406"/>
      <c r="Q470" s="286"/>
      <c r="R470" s="413" t="str">
        <f t="shared" si="99"/>
        <v/>
      </c>
      <c r="S470" s="419" t="str">
        <f t="shared" si="100"/>
        <v>:NAME</v>
      </c>
      <c r="T470" s="286"/>
      <c r="U470" s="287"/>
      <c r="V470" s="287"/>
      <c r="W470" s="287"/>
      <c r="X470" s="287"/>
      <c r="Y470" s="287"/>
      <c r="Z470" s="288"/>
      <c r="AA470" s="289">
        <f t="shared" si="101"/>
        <v>0</v>
      </c>
      <c r="AB470" s="290"/>
      <c r="AC470" s="291"/>
      <c r="AD470" s="292"/>
      <c r="AE470" s="293"/>
      <c r="AG470" s="295"/>
    </row>
    <row r="471" spans="1:33" s="294" customFormat="1" x14ac:dyDescent="0.25">
      <c r="A471" s="487"/>
      <c r="B471" s="490"/>
      <c r="C471" s="493"/>
      <c r="D471" s="390">
        <v>5</v>
      </c>
      <c r="E471" s="399">
        <v>469</v>
      </c>
      <c r="F471" s="474"/>
      <c r="G471" s="283"/>
      <c r="H471" s="283"/>
      <c r="I471" s="283"/>
      <c r="J471" s="283"/>
      <c r="K471" s="300"/>
      <c r="L471" s="484" t="str">
        <f t="shared" si="102"/>
        <v/>
      </c>
      <c r="M471" s="285"/>
      <c r="N471" s="402"/>
      <c r="O471" s="286"/>
      <c r="P471" s="406"/>
      <c r="Q471" s="286"/>
      <c r="R471" s="413" t="str">
        <f t="shared" si="99"/>
        <v/>
      </c>
      <c r="S471" s="419" t="str">
        <f t="shared" si="100"/>
        <v>:NAME</v>
      </c>
      <c r="T471" s="286"/>
      <c r="U471" s="287"/>
      <c r="V471" s="287"/>
      <c r="W471" s="287"/>
      <c r="X471" s="287"/>
      <c r="Y471" s="287"/>
      <c r="Z471" s="288"/>
      <c r="AA471" s="289">
        <f t="shared" si="101"/>
        <v>0</v>
      </c>
      <c r="AB471" s="290"/>
      <c r="AC471" s="291"/>
      <c r="AD471" s="292"/>
      <c r="AE471" s="293"/>
      <c r="AG471" s="295"/>
    </row>
    <row r="472" spans="1:33" s="294" customFormat="1" x14ac:dyDescent="0.25">
      <c r="A472" s="487"/>
      <c r="B472" s="490"/>
      <c r="C472" s="493"/>
      <c r="D472" s="390">
        <v>6</v>
      </c>
      <c r="E472" s="399">
        <v>470</v>
      </c>
      <c r="F472" s="474"/>
      <c r="G472" s="283"/>
      <c r="H472" s="283"/>
      <c r="I472" s="283"/>
      <c r="J472" s="283"/>
      <c r="K472" s="300"/>
      <c r="L472" s="484" t="str">
        <f t="shared" si="102"/>
        <v/>
      </c>
      <c r="M472" s="285"/>
      <c r="N472" s="402"/>
      <c r="O472" s="286"/>
      <c r="P472" s="406"/>
      <c r="Q472" s="286"/>
      <c r="R472" s="413" t="str">
        <f t="shared" si="99"/>
        <v/>
      </c>
      <c r="S472" s="419" t="str">
        <f t="shared" si="100"/>
        <v>:NAME</v>
      </c>
      <c r="T472" s="286"/>
      <c r="U472" s="287"/>
      <c r="V472" s="287"/>
      <c r="W472" s="287"/>
      <c r="X472" s="287"/>
      <c r="Y472" s="287"/>
      <c r="Z472" s="288"/>
      <c r="AA472" s="289">
        <f t="shared" si="101"/>
        <v>0</v>
      </c>
      <c r="AB472" s="290"/>
      <c r="AC472" s="291"/>
      <c r="AD472" s="292"/>
      <c r="AE472" s="293"/>
      <c r="AG472" s="295"/>
    </row>
    <row r="473" spans="1:33" s="294" customFormat="1" x14ac:dyDescent="0.25">
      <c r="A473" s="487"/>
      <c r="B473" s="490"/>
      <c r="C473" s="493"/>
      <c r="D473" s="390">
        <v>7</v>
      </c>
      <c r="E473" s="399">
        <v>471</v>
      </c>
      <c r="F473" s="474"/>
      <c r="G473" s="283"/>
      <c r="H473" s="283"/>
      <c r="I473" s="283"/>
      <c r="J473" s="283"/>
      <c r="K473" s="300"/>
      <c r="L473" s="484" t="str">
        <f t="shared" si="102"/>
        <v/>
      </c>
      <c r="M473" s="285"/>
      <c r="N473" s="402"/>
      <c r="O473" s="286"/>
      <c r="P473" s="406"/>
      <c r="Q473" s="286"/>
      <c r="R473" s="413" t="str">
        <f t="shared" si="99"/>
        <v/>
      </c>
      <c r="S473" s="419" t="str">
        <f t="shared" si="100"/>
        <v>:NAME</v>
      </c>
      <c r="T473" s="286"/>
      <c r="U473" s="287"/>
      <c r="V473" s="287"/>
      <c r="W473" s="287"/>
      <c r="X473" s="287"/>
      <c r="Y473" s="287"/>
      <c r="Z473" s="288"/>
      <c r="AA473" s="289">
        <f t="shared" si="101"/>
        <v>0</v>
      </c>
      <c r="AB473" s="290"/>
      <c r="AC473" s="291"/>
      <c r="AD473" s="292"/>
      <c r="AE473" s="293"/>
      <c r="AG473" s="295"/>
    </row>
    <row r="474" spans="1:33" s="294" customFormat="1" x14ac:dyDescent="0.25">
      <c r="A474" s="487"/>
      <c r="B474" s="490"/>
      <c r="C474" s="493"/>
      <c r="D474" s="390">
        <v>8</v>
      </c>
      <c r="E474" s="399">
        <v>472</v>
      </c>
      <c r="F474" s="474"/>
      <c r="G474" s="283"/>
      <c r="H474" s="283"/>
      <c r="I474" s="283"/>
      <c r="J474" s="283"/>
      <c r="K474" s="300"/>
      <c r="L474" s="484" t="str">
        <f t="shared" si="102"/>
        <v/>
      </c>
      <c r="M474" s="285"/>
      <c r="N474" s="402"/>
      <c r="O474" s="286"/>
      <c r="P474" s="408"/>
      <c r="Q474" s="286"/>
      <c r="R474" s="413" t="str">
        <f t="shared" si="99"/>
        <v/>
      </c>
      <c r="S474" s="419" t="str">
        <f t="shared" si="100"/>
        <v>:NAME</v>
      </c>
      <c r="T474" s="286"/>
      <c r="U474" s="287"/>
      <c r="V474" s="287"/>
      <c r="W474" s="287"/>
      <c r="X474" s="287"/>
      <c r="Y474" s="287"/>
      <c r="Z474" s="288"/>
      <c r="AA474" s="289">
        <f t="shared" si="101"/>
        <v>0</v>
      </c>
      <c r="AB474" s="290"/>
      <c r="AC474" s="291"/>
      <c r="AD474" s="292"/>
      <c r="AE474" s="293"/>
      <c r="AG474" s="295"/>
    </row>
    <row r="475" spans="1:33" s="294" customFormat="1" x14ac:dyDescent="0.25">
      <c r="A475" s="487"/>
      <c r="B475" s="490"/>
      <c r="C475" s="493"/>
      <c r="D475" s="390">
        <v>9</v>
      </c>
      <c r="E475" s="399">
        <v>473</v>
      </c>
      <c r="F475" s="474"/>
      <c r="G475" s="283"/>
      <c r="H475" s="283"/>
      <c r="I475" s="283"/>
      <c r="J475" s="283"/>
      <c r="K475" s="300"/>
      <c r="L475" s="484" t="str">
        <f t="shared" si="102"/>
        <v/>
      </c>
      <c r="M475" s="285"/>
      <c r="N475" s="402"/>
      <c r="O475" s="286"/>
      <c r="P475" s="408"/>
      <c r="Q475" s="286"/>
      <c r="R475" s="413" t="str">
        <f t="shared" si="99"/>
        <v/>
      </c>
      <c r="S475" s="419" t="str">
        <f t="shared" si="100"/>
        <v>:NAME</v>
      </c>
      <c r="T475" s="286"/>
      <c r="U475" s="287"/>
      <c r="V475" s="287"/>
      <c r="W475" s="287"/>
      <c r="X475" s="287"/>
      <c r="Y475" s="287"/>
      <c r="Z475" s="288"/>
      <c r="AA475" s="289">
        <f t="shared" si="101"/>
        <v>0</v>
      </c>
      <c r="AB475" s="290"/>
      <c r="AC475" s="291"/>
      <c r="AD475" s="292"/>
      <c r="AE475" s="293"/>
      <c r="AG475" s="295"/>
    </row>
    <row r="476" spans="1:33" s="294" customFormat="1" x14ac:dyDescent="0.25">
      <c r="A476" s="487"/>
      <c r="B476" s="490"/>
      <c r="C476" s="493"/>
      <c r="D476" s="390">
        <v>10</v>
      </c>
      <c r="E476" s="399">
        <v>474</v>
      </c>
      <c r="F476" s="474"/>
      <c r="G476" s="283"/>
      <c r="H476" s="283"/>
      <c r="I476" s="283"/>
      <c r="J476" s="283"/>
      <c r="K476" s="300"/>
      <c r="L476" s="484" t="str">
        <f t="shared" si="102"/>
        <v/>
      </c>
      <c r="M476" s="285"/>
      <c r="N476" s="402"/>
      <c r="O476" s="286"/>
      <c r="P476" s="408"/>
      <c r="Q476" s="286"/>
      <c r="R476" s="413" t="str">
        <f t="shared" si="99"/>
        <v/>
      </c>
      <c r="S476" s="419" t="str">
        <f t="shared" si="100"/>
        <v>:NAME</v>
      </c>
      <c r="T476" s="286"/>
      <c r="U476" s="287"/>
      <c r="V476" s="287"/>
      <c r="W476" s="287"/>
      <c r="X476" s="287"/>
      <c r="Y476" s="287"/>
      <c r="Z476" s="288"/>
      <c r="AA476" s="289">
        <f t="shared" si="101"/>
        <v>0</v>
      </c>
      <c r="AB476" s="290"/>
      <c r="AC476" s="291"/>
      <c r="AD476" s="292"/>
      <c r="AE476" s="293"/>
      <c r="AG476" s="295"/>
    </row>
    <row r="477" spans="1:33" s="294" customFormat="1" x14ac:dyDescent="0.25">
      <c r="A477" s="487"/>
      <c r="B477" s="490"/>
      <c r="C477" s="493"/>
      <c r="D477" s="390">
        <v>11</v>
      </c>
      <c r="E477" s="399">
        <v>475</v>
      </c>
      <c r="F477" s="474"/>
      <c r="G477" s="283"/>
      <c r="H477" s="283"/>
      <c r="I477" s="283"/>
      <c r="J477" s="283"/>
      <c r="K477" s="300"/>
      <c r="L477" s="484" t="str">
        <f t="shared" si="102"/>
        <v/>
      </c>
      <c r="M477" s="285"/>
      <c r="N477" s="402"/>
      <c r="O477" s="286"/>
      <c r="P477" s="408"/>
      <c r="Q477" s="286"/>
      <c r="R477" s="413" t="str">
        <f t="shared" si="99"/>
        <v/>
      </c>
      <c r="S477" s="419" t="str">
        <f t="shared" si="100"/>
        <v>:NAME</v>
      </c>
      <c r="T477" s="286"/>
      <c r="U477" s="287"/>
      <c r="V477" s="287"/>
      <c r="W477" s="287"/>
      <c r="X477" s="287"/>
      <c r="Y477" s="287"/>
      <c r="Z477" s="288"/>
      <c r="AA477" s="289">
        <f t="shared" si="101"/>
        <v>0</v>
      </c>
      <c r="AB477" s="290"/>
      <c r="AC477" s="291"/>
      <c r="AD477" s="292"/>
      <c r="AE477" s="293"/>
      <c r="AG477" s="295"/>
    </row>
    <row r="478" spans="1:33" s="294" customFormat="1" x14ac:dyDescent="0.25">
      <c r="A478" s="487"/>
      <c r="B478" s="490"/>
      <c r="C478" s="493"/>
      <c r="D478" s="390">
        <v>12</v>
      </c>
      <c r="E478" s="399">
        <v>476</v>
      </c>
      <c r="F478" s="474"/>
      <c r="G478" s="283"/>
      <c r="H478" s="283"/>
      <c r="I478" s="283"/>
      <c r="J478" s="283"/>
      <c r="K478" s="300"/>
      <c r="L478" s="484" t="str">
        <f t="shared" si="102"/>
        <v/>
      </c>
      <c r="M478" s="285"/>
      <c r="N478" s="402"/>
      <c r="O478" s="286"/>
      <c r="P478" s="408"/>
      <c r="Q478" s="286"/>
      <c r="R478" s="413" t="str">
        <f t="shared" si="99"/>
        <v/>
      </c>
      <c r="S478" s="419" t="str">
        <f t="shared" si="100"/>
        <v>:NAME</v>
      </c>
      <c r="T478" s="286"/>
      <c r="U478" s="287"/>
      <c r="V478" s="287"/>
      <c r="W478" s="287"/>
      <c r="X478" s="287"/>
      <c r="Y478" s="287"/>
      <c r="Z478" s="288"/>
      <c r="AA478" s="289">
        <f t="shared" si="101"/>
        <v>0</v>
      </c>
      <c r="AB478" s="290"/>
      <c r="AC478" s="291"/>
      <c r="AD478" s="292"/>
      <c r="AE478" s="293"/>
      <c r="AG478" s="295"/>
    </row>
    <row r="479" spans="1:33" s="294" customFormat="1" x14ac:dyDescent="0.25">
      <c r="A479" s="487"/>
      <c r="B479" s="490"/>
      <c r="C479" s="493"/>
      <c r="D479" s="390">
        <v>13</v>
      </c>
      <c r="E479" s="399">
        <v>477</v>
      </c>
      <c r="F479" s="474"/>
      <c r="G479" s="283"/>
      <c r="H479" s="283"/>
      <c r="I479" s="283"/>
      <c r="J479" s="283"/>
      <c r="K479" s="300"/>
      <c r="L479" s="484" t="str">
        <f t="shared" si="102"/>
        <v/>
      </c>
      <c r="M479" s="285"/>
      <c r="N479" s="402"/>
      <c r="O479" s="286"/>
      <c r="P479" s="408"/>
      <c r="Q479" s="286"/>
      <c r="R479" s="413" t="str">
        <f t="shared" si="99"/>
        <v/>
      </c>
      <c r="S479" s="419" t="str">
        <f t="shared" si="100"/>
        <v>:NAME</v>
      </c>
      <c r="T479" s="286"/>
      <c r="U479" s="287"/>
      <c r="V479" s="287"/>
      <c r="W479" s="287"/>
      <c r="X479" s="287"/>
      <c r="Y479" s="287"/>
      <c r="Z479" s="288"/>
      <c r="AA479" s="289">
        <f t="shared" si="101"/>
        <v>0</v>
      </c>
      <c r="AB479" s="290"/>
      <c r="AC479" s="291"/>
      <c r="AD479" s="292"/>
      <c r="AE479" s="293"/>
      <c r="AG479" s="295"/>
    </row>
    <row r="480" spans="1:33" s="294" customFormat="1" x14ac:dyDescent="0.25">
      <c r="A480" s="487"/>
      <c r="B480" s="490"/>
      <c r="C480" s="493"/>
      <c r="D480" s="390">
        <v>14</v>
      </c>
      <c r="E480" s="399">
        <v>478</v>
      </c>
      <c r="F480" s="474"/>
      <c r="G480" s="283"/>
      <c r="H480" s="283"/>
      <c r="I480" s="283"/>
      <c r="J480" s="283"/>
      <c r="K480" s="300"/>
      <c r="L480" s="484" t="str">
        <f t="shared" si="102"/>
        <v/>
      </c>
      <c r="M480" s="285"/>
      <c r="N480" s="402"/>
      <c r="O480" s="286"/>
      <c r="P480" s="408"/>
      <c r="Q480" s="286"/>
      <c r="R480" s="413" t="str">
        <f t="shared" si="99"/>
        <v/>
      </c>
      <c r="S480" s="419" t="str">
        <f t="shared" si="100"/>
        <v>:NAME</v>
      </c>
      <c r="T480" s="286"/>
      <c r="U480" s="287"/>
      <c r="V480" s="287"/>
      <c r="W480" s="287"/>
      <c r="X480" s="287"/>
      <c r="Y480" s="287"/>
      <c r="Z480" s="288"/>
      <c r="AA480" s="289">
        <f t="shared" si="101"/>
        <v>0</v>
      </c>
      <c r="AB480" s="290"/>
      <c r="AC480" s="291"/>
      <c r="AD480" s="292"/>
      <c r="AE480" s="293"/>
      <c r="AG480" s="295"/>
    </row>
    <row r="481" spans="1:33" s="326" customFormat="1" ht="15.75" thickBot="1" x14ac:dyDescent="0.3">
      <c r="A481" s="488"/>
      <c r="B481" s="491"/>
      <c r="C481" s="494"/>
      <c r="D481" s="390">
        <v>15</v>
      </c>
      <c r="E481" s="399">
        <v>479</v>
      </c>
      <c r="F481" s="474"/>
      <c r="G481" s="283"/>
      <c r="H481" s="283"/>
      <c r="I481" s="283"/>
      <c r="J481" s="283"/>
      <c r="K481" s="300"/>
      <c r="L481" s="484" t="str">
        <f t="shared" si="102"/>
        <v/>
      </c>
      <c r="M481" s="285"/>
      <c r="N481" s="402"/>
      <c r="O481" s="286"/>
      <c r="P481" s="408"/>
      <c r="Q481" s="286"/>
      <c r="R481" s="413" t="str">
        <f t="shared" si="99"/>
        <v/>
      </c>
      <c r="S481" s="419" t="str">
        <f t="shared" si="100"/>
        <v>:NAME</v>
      </c>
      <c r="T481" s="288"/>
      <c r="U481" s="324"/>
      <c r="V481" s="324"/>
      <c r="W481" s="324"/>
      <c r="X481" s="324"/>
      <c r="Y481" s="287"/>
      <c r="Z481" s="288"/>
      <c r="AA481" s="289">
        <f t="shared" si="101"/>
        <v>0</v>
      </c>
      <c r="AB481" s="325"/>
      <c r="AC481" s="296"/>
      <c r="AD481" s="292"/>
      <c r="AE481" s="293"/>
      <c r="AG481" s="327"/>
    </row>
    <row r="482" spans="1:33" s="322" customFormat="1" ht="14.45" customHeight="1" x14ac:dyDescent="0.25">
      <c r="A482" s="486" t="s">
        <v>44</v>
      </c>
      <c r="B482" s="489" t="str">
        <f>LOOKUP(A482,Module,IO)</f>
        <v>.</v>
      </c>
      <c r="C482" s="492" t="s">
        <v>38</v>
      </c>
      <c r="D482" s="389" t="s">
        <v>160</v>
      </c>
      <c r="E482" s="398">
        <v>480</v>
      </c>
      <c r="F482" s="476"/>
      <c r="G482" s="268"/>
      <c r="H482" s="268"/>
      <c r="I482" s="268"/>
      <c r="J482" s="268"/>
      <c r="K482" s="318"/>
      <c r="L482" s="483" t="str">
        <f t="shared" si="102"/>
        <v/>
      </c>
      <c r="M482" s="270"/>
      <c r="N482" s="401"/>
      <c r="O482" s="271"/>
      <c r="P482" s="405"/>
      <c r="Q482" s="271"/>
      <c r="R482" s="412" t="str">
        <f t="shared" si="99"/>
        <v/>
      </c>
      <c r="S482" s="418" t="str">
        <f t="shared" si="100"/>
        <v>:NAME</v>
      </c>
      <c r="T482" s="273"/>
      <c r="U482" s="319"/>
      <c r="V482" s="319"/>
      <c r="W482" s="319"/>
      <c r="X482" s="319"/>
      <c r="Y482" s="272"/>
      <c r="Z482" s="273"/>
      <c r="AA482" s="274">
        <f t="shared" si="101"/>
        <v>0</v>
      </c>
      <c r="AB482" s="320"/>
      <c r="AC482" s="321"/>
      <c r="AD482" s="277"/>
      <c r="AE482" s="278"/>
      <c r="AG482" s="323"/>
    </row>
    <row r="483" spans="1:33" s="294" customFormat="1" x14ac:dyDescent="0.25">
      <c r="A483" s="487"/>
      <c r="B483" s="490"/>
      <c r="C483" s="493"/>
      <c r="D483" s="390">
        <v>1</v>
      </c>
      <c r="E483" s="399">
        <v>481</v>
      </c>
      <c r="F483" s="474"/>
      <c r="G483" s="283"/>
      <c r="H483" s="283"/>
      <c r="I483" s="283"/>
      <c r="J483" s="283"/>
      <c r="K483" s="300"/>
      <c r="L483" s="484" t="str">
        <f t="shared" si="102"/>
        <v/>
      </c>
      <c r="M483" s="285"/>
      <c r="N483" s="402"/>
      <c r="O483" s="286"/>
      <c r="P483" s="406"/>
      <c r="Q483" s="286"/>
      <c r="R483" s="413" t="str">
        <f t="shared" si="99"/>
        <v/>
      </c>
      <c r="S483" s="419" t="str">
        <f t="shared" si="100"/>
        <v>:NAME</v>
      </c>
      <c r="T483" s="286"/>
      <c r="U483" s="287"/>
      <c r="V483" s="287"/>
      <c r="W483" s="287"/>
      <c r="X483" s="287"/>
      <c r="Y483" s="287"/>
      <c r="Z483" s="288"/>
      <c r="AA483" s="289">
        <f t="shared" si="101"/>
        <v>0</v>
      </c>
      <c r="AB483" s="290"/>
      <c r="AC483" s="291"/>
      <c r="AD483" s="292"/>
      <c r="AE483" s="293"/>
      <c r="AG483" s="295"/>
    </row>
    <row r="484" spans="1:33" s="294" customFormat="1" x14ac:dyDescent="0.25">
      <c r="A484" s="487"/>
      <c r="B484" s="490"/>
      <c r="C484" s="493"/>
      <c r="D484" s="390">
        <v>2</v>
      </c>
      <c r="E484" s="399">
        <v>482</v>
      </c>
      <c r="F484" s="474"/>
      <c r="G484" s="283"/>
      <c r="H484" s="283"/>
      <c r="I484" s="283"/>
      <c r="J484" s="283"/>
      <c r="K484" s="300"/>
      <c r="L484" s="484" t="str">
        <f t="shared" si="102"/>
        <v/>
      </c>
      <c r="M484" s="285"/>
      <c r="N484" s="402"/>
      <c r="O484" s="286"/>
      <c r="P484" s="406"/>
      <c r="Q484" s="286"/>
      <c r="R484" s="413" t="str">
        <f t="shared" si="99"/>
        <v/>
      </c>
      <c r="S484" s="419" t="str">
        <f t="shared" si="100"/>
        <v>:NAME</v>
      </c>
      <c r="T484" s="286"/>
      <c r="U484" s="287"/>
      <c r="V484" s="287"/>
      <c r="W484" s="287"/>
      <c r="X484" s="287"/>
      <c r="Y484" s="287"/>
      <c r="Z484" s="288"/>
      <c r="AA484" s="289">
        <f t="shared" si="101"/>
        <v>0</v>
      </c>
      <c r="AB484" s="290"/>
      <c r="AC484" s="291"/>
      <c r="AD484" s="292"/>
      <c r="AE484" s="293"/>
      <c r="AG484" s="295"/>
    </row>
    <row r="485" spans="1:33" s="294" customFormat="1" x14ac:dyDescent="0.25">
      <c r="A485" s="487"/>
      <c r="B485" s="490"/>
      <c r="C485" s="493"/>
      <c r="D485" s="390">
        <v>3</v>
      </c>
      <c r="E485" s="399">
        <v>483</v>
      </c>
      <c r="F485" s="474"/>
      <c r="G485" s="283"/>
      <c r="H485" s="283"/>
      <c r="I485" s="283"/>
      <c r="J485" s="283"/>
      <c r="K485" s="300"/>
      <c r="L485" s="484" t="str">
        <f t="shared" si="102"/>
        <v/>
      </c>
      <c r="M485" s="285"/>
      <c r="N485" s="402"/>
      <c r="O485" s="286"/>
      <c r="P485" s="406"/>
      <c r="Q485" s="286"/>
      <c r="R485" s="413" t="str">
        <f t="shared" si="99"/>
        <v/>
      </c>
      <c r="S485" s="419" t="str">
        <f t="shared" si="100"/>
        <v>:NAME</v>
      </c>
      <c r="T485" s="286"/>
      <c r="U485" s="287"/>
      <c r="V485" s="287"/>
      <c r="W485" s="287"/>
      <c r="X485" s="287"/>
      <c r="Y485" s="287"/>
      <c r="Z485" s="288"/>
      <c r="AA485" s="289">
        <f t="shared" si="101"/>
        <v>0</v>
      </c>
      <c r="AB485" s="290"/>
      <c r="AC485" s="291"/>
      <c r="AD485" s="292"/>
      <c r="AE485" s="293"/>
      <c r="AG485" s="295"/>
    </row>
    <row r="486" spans="1:33" s="294" customFormat="1" x14ac:dyDescent="0.25">
      <c r="A486" s="487"/>
      <c r="B486" s="490"/>
      <c r="C486" s="493"/>
      <c r="D486" s="390">
        <v>4</v>
      </c>
      <c r="E486" s="399">
        <v>484</v>
      </c>
      <c r="F486" s="474"/>
      <c r="G486" s="283"/>
      <c r="H486" s="283"/>
      <c r="I486" s="283"/>
      <c r="J486" s="283"/>
      <c r="K486" s="300"/>
      <c r="L486" s="484" t="str">
        <f t="shared" si="102"/>
        <v/>
      </c>
      <c r="M486" s="285"/>
      <c r="N486" s="402"/>
      <c r="O486" s="286"/>
      <c r="P486" s="408"/>
      <c r="Q486" s="286"/>
      <c r="R486" s="413" t="str">
        <f t="shared" si="99"/>
        <v/>
      </c>
      <c r="S486" s="419" t="str">
        <f t="shared" si="100"/>
        <v>:NAME</v>
      </c>
      <c r="T486" s="286"/>
      <c r="U486" s="287"/>
      <c r="V486" s="287"/>
      <c r="W486" s="287"/>
      <c r="X486" s="287"/>
      <c r="Y486" s="287"/>
      <c r="Z486" s="288"/>
      <c r="AA486" s="289">
        <f t="shared" si="101"/>
        <v>0</v>
      </c>
      <c r="AB486" s="290"/>
      <c r="AC486" s="291"/>
      <c r="AD486" s="292"/>
      <c r="AE486" s="293"/>
      <c r="AG486" s="295"/>
    </row>
    <row r="487" spans="1:33" s="294" customFormat="1" x14ac:dyDescent="0.25">
      <c r="A487" s="487"/>
      <c r="B487" s="490"/>
      <c r="C487" s="493"/>
      <c r="D487" s="390">
        <v>5</v>
      </c>
      <c r="E487" s="399">
        <v>485</v>
      </c>
      <c r="F487" s="474"/>
      <c r="G487" s="283"/>
      <c r="H487" s="283"/>
      <c r="I487" s="283"/>
      <c r="J487" s="283"/>
      <c r="K487" s="300"/>
      <c r="L487" s="484" t="str">
        <f t="shared" si="102"/>
        <v/>
      </c>
      <c r="M487" s="285"/>
      <c r="N487" s="402"/>
      <c r="O487" s="286"/>
      <c r="P487" s="408"/>
      <c r="Q487" s="286"/>
      <c r="R487" s="413" t="str">
        <f t="shared" si="99"/>
        <v/>
      </c>
      <c r="S487" s="419" t="str">
        <f t="shared" si="100"/>
        <v>:NAME</v>
      </c>
      <c r="T487" s="286"/>
      <c r="U487" s="287"/>
      <c r="V487" s="287"/>
      <c r="W487" s="287"/>
      <c r="X487" s="287"/>
      <c r="Y487" s="287"/>
      <c r="Z487" s="288"/>
      <c r="AA487" s="289">
        <f t="shared" si="101"/>
        <v>0</v>
      </c>
      <c r="AB487" s="290"/>
      <c r="AC487" s="291"/>
      <c r="AD487" s="292"/>
      <c r="AE487" s="293"/>
      <c r="AG487" s="295"/>
    </row>
    <row r="488" spans="1:33" s="294" customFormat="1" x14ac:dyDescent="0.25">
      <c r="A488" s="487"/>
      <c r="B488" s="490"/>
      <c r="C488" s="493"/>
      <c r="D488" s="390">
        <v>6</v>
      </c>
      <c r="E488" s="399">
        <v>486</v>
      </c>
      <c r="F488" s="474"/>
      <c r="G488" s="283"/>
      <c r="H488" s="283"/>
      <c r="I488" s="283"/>
      <c r="J488" s="283"/>
      <c r="K488" s="300"/>
      <c r="L488" s="484" t="str">
        <f t="shared" si="102"/>
        <v/>
      </c>
      <c r="M488" s="285"/>
      <c r="N488" s="402"/>
      <c r="O488" s="286"/>
      <c r="P488" s="406"/>
      <c r="Q488" s="286"/>
      <c r="R488" s="413" t="str">
        <f t="shared" si="99"/>
        <v/>
      </c>
      <c r="S488" s="419" t="str">
        <f t="shared" si="100"/>
        <v>:NAME</v>
      </c>
      <c r="T488" s="286"/>
      <c r="U488" s="287"/>
      <c r="V488" s="287"/>
      <c r="W488" s="287"/>
      <c r="X488" s="287"/>
      <c r="Y488" s="287"/>
      <c r="Z488" s="288"/>
      <c r="AA488" s="289">
        <f t="shared" si="101"/>
        <v>0</v>
      </c>
      <c r="AB488" s="290"/>
      <c r="AC488" s="291"/>
      <c r="AD488" s="292"/>
      <c r="AE488" s="293"/>
      <c r="AG488" s="295"/>
    </row>
    <row r="489" spans="1:33" s="294" customFormat="1" x14ac:dyDescent="0.25">
      <c r="A489" s="487"/>
      <c r="B489" s="490"/>
      <c r="C489" s="493"/>
      <c r="D489" s="390">
        <v>7</v>
      </c>
      <c r="E489" s="399">
        <v>487</v>
      </c>
      <c r="F489" s="474"/>
      <c r="G489" s="283"/>
      <c r="H489" s="283"/>
      <c r="I489" s="283"/>
      <c r="J489" s="283"/>
      <c r="K489" s="300"/>
      <c r="L489" s="484" t="str">
        <f t="shared" si="102"/>
        <v/>
      </c>
      <c r="M489" s="285"/>
      <c r="N489" s="402"/>
      <c r="O489" s="286"/>
      <c r="P489" s="406"/>
      <c r="Q489" s="286"/>
      <c r="R489" s="413" t="str">
        <f t="shared" si="99"/>
        <v/>
      </c>
      <c r="S489" s="419" t="str">
        <f t="shared" si="100"/>
        <v>:NAME</v>
      </c>
      <c r="T489" s="286"/>
      <c r="U489" s="287"/>
      <c r="V489" s="287"/>
      <c r="W489" s="287"/>
      <c r="X489" s="287"/>
      <c r="Y489" s="287"/>
      <c r="Z489" s="288"/>
      <c r="AA489" s="289">
        <f t="shared" si="101"/>
        <v>0</v>
      </c>
      <c r="AB489" s="290"/>
      <c r="AC489" s="291"/>
      <c r="AD489" s="292"/>
      <c r="AE489" s="293"/>
      <c r="AG489" s="295"/>
    </row>
    <row r="490" spans="1:33" s="294" customFormat="1" x14ac:dyDescent="0.25">
      <c r="A490" s="487"/>
      <c r="B490" s="490"/>
      <c r="C490" s="493"/>
      <c r="D490" s="390">
        <v>8</v>
      </c>
      <c r="E490" s="399">
        <v>488</v>
      </c>
      <c r="F490" s="474"/>
      <c r="G490" s="283"/>
      <c r="H490" s="283"/>
      <c r="I490" s="283"/>
      <c r="J490" s="283"/>
      <c r="K490" s="300"/>
      <c r="L490" s="484" t="str">
        <f t="shared" si="102"/>
        <v/>
      </c>
      <c r="M490" s="285"/>
      <c r="N490" s="402"/>
      <c r="O490" s="286"/>
      <c r="P490" s="408"/>
      <c r="Q490" s="286"/>
      <c r="R490" s="413" t="str">
        <f t="shared" si="99"/>
        <v/>
      </c>
      <c r="S490" s="419" t="str">
        <f t="shared" si="100"/>
        <v>:NAME</v>
      </c>
      <c r="T490" s="286"/>
      <c r="U490" s="287"/>
      <c r="V490" s="287"/>
      <c r="W490" s="287"/>
      <c r="X490" s="287"/>
      <c r="Y490" s="287"/>
      <c r="Z490" s="288"/>
      <c r="AA490" s="289">
        <f t="shared" si="101"/>
        <v>0</v>
      </c>
      <c r="AB490" s="290"/>
      <c r="AC490" s="291"/>
      <c r="AD490" s="292"/>
      <c r="AE490" s="293"/>
      <c r="AG490" s="295"/>
    </row>
    <row r="491" spans="1:33" s="294" customFormat="1" x14ac:dyDescent="0.25">
      <c r="A491" s="487"/>
      <c r="B491" s="490"/>
      <c r="C491" s="493"/>
      <c r="D491" s="390">
        <v>9</v>
      </c>
      <c r="E491" s="399">
        <v>489</v>
      </c>
      <c r="F491" s="474"/>
      <c r="G491" s="283"/>
      <c r="H491" s="283"/>
      <c r="I491" s="283"/>
      <c r="J491" s="283"/>
      <c r="K491" s="300"/>
      <c r="L491" s="484" t="str">
        <f t="shared" si="102"/>
        <v/>
      </c>
      <c r="M491" s="285"/>
      <c r="N491" s="402"/>
      <c r="O491" s="286"/>
      <c r="P491" s="408"/>
      <c r="Q491" s="286"/>
      <c r="R491" s="413" t="str">
        <f t="shared" si="99"/>
        <v/>
      </c>
      <c r="S491" s="419" t="str">
        <f t="shared" si="100"/>
        <v>:NAME</v>
      </c>
      <c r="T491" s="286"/>
      <c r="U491" s="287"/>
      <c r="V491" s="287"/>
      <c r="W491" s="287"/>
      <c r="X491" s="287"/>
      <c r="Y491" s="287"/>
      <c r="Z491" s="288"/>
      <c r="AA491" s="289">
        <f t="shared" si="101"/>
        <v>0</v>
      </c>
      <c r="AB491" s="290"/>
      <c r="AC491" s="291"/>
      <c r="AD491" s="292"/>
      <c r="AE491" s="293"/>
      <c r="AG491" s="295"/>
    </row>
    <row r="492" spans="1:33" s="294" customFormat="1" x14ac:dyDescent="0.25">
      <c r="A492" s="487"/>
      <c r="B492" s="490"/>
      <c r="C492" s="493"/>
      <c r="D492" s="390">
        <v>10</v>
      </c>
      <c r="E492" s="399">
        <v>490</v>
      </c>
      <c r="F492" s="474"/>
      <c r="G492" s="283"/>
      <c r="H492" s="283"/>
      <c r="I492" s="283"/>
      <c r="J492" s="283"/>
      <c r="K492" s="300"/>
      <c r="L492" s="484" t="str">
        <f t="shared" si="102"/>
        <v/>
      </c>
      <c r="M492" s="285"/>
      <c r="N492" s="402"/>
      <c r="O492" s="286"/>
      <c r="P492" s="408"/>
      <c r="Q492" s="286"/>
      <c r="R492" s="413" t="str">
        <f t="shared" si="99"/>
        <v/>
      </c>
      <c r="S492" s="419" t="str">
        <f t="shared" si="100"/>
        <v>:NAME</v>
      </c>
      <c r="T492" s="286"/>
      <c r="U492" s="287"/>
      <c r="V492" s="287"/>
      <c r="W492" s="287"/>
      <c r="X492" s="287"/>
      <c r="Y492" s="287"/>
      <c r="Z492" s="288"/>
      <c r="AA492" s="289">
        <f t="shared" si="101"/>
        <v>0</v>
      </c>
      <c r="AB492" s="290"/>
      <c r="AC492" s="291"/>
      <c r="AD492" s="292"/>
      <c r="AE492" s="293"/>
      <c r="AG492" s="295"/>
    </row>
    <row r="493" spans="1:33" s="294" customFormat="1" x14ac:dyDescent="0.25">
      <c r="A493" s="487"/>
      <c r="B493" s="490"/>
      <c r="C493" s="493"/>
      <c r="D493" s="390">
        <v>11</v>
      </c>
      <c r="E493" s="399">
        <v>491</v>
      </c>
      <c r="F493" s="474"/>
      <c r="G493" s="283"/>
      <c r="H493" s="283"/>
      <c r="I493" s="283"/>
      <c r="J493" s="283"/>
      <c r="K493" s="300"/>
      <c r="L493" s="484" t="str">
        <f t="shared" si="102"/>
        <v/>
      </c>
      <c r="M493" s="285"/>
      <c r="N493" s="402"/>
      <c r="O493" s="286"/>
      <c r="P493" s="408"/>
      <c r="Q493" s="286"/>
      <c r="R493" s="413" t="str">
        <f t="shared" si="99"/>
        <v/>
      </c>
      <c r="S493" s="419" t="str">
        <f t="shared" si="100"/>
        <v>:NAME</v>
      </c>
      <c r="T493" s="286"/>
      <c r="U493" s="287"/>
      <c r="V493" s="287"/>
      <c r="W493" s="287"/>
      <c r="X493" s="287"/>
      <c r="Y493" s="287"/>
      <c r="Z493" s="288"/>
      <c r="AA493" s="289">
        <f t="shared" si="101"/>
        <v>0</v>
      </c>
      <c r="AB493" s="290"/>
      <c r="AC493" s="291"/>
      <c r="AD493" s="292"/>
      <c r="AE493" s="293"/>
      <c r="AG493" s="295"/>
    </row>
    <row r="494" spans="1:33" s="294" customFormat="1" x14ac:dyDescent="0.25">
      <c r="A494" s="487"/>
      <c r="B494" s="490"/>
      <c r="C494" s="493"/>
      <c r="D494" s="390">
        <v>12</v>
      </c>
      <c r="E494" s="399">
        <v>492</v>
      </c>
      <c r="F494" s="474"/>
      <c r="G494" s="283"/>
      <c r="H494" s="283"/>
      <c r="I494" s="283"/>
      <c r="J494" s="283"/>
      <c r="K494" s="300"/>
      <c r="L494" s="484" t="str">
        <f t="shared" si="102"/>
        <v/>
      </c>
      <c r="M494" s="285"/>
      <c r="N494" s="402"/>
      <c r="O494" s="286"/>
      <c r="P494" s="408"/>
      <c r="Q494" s="286"/>
      <c r="R494" s="413" t="str">
        <f t="shared" si="99"/>
        <v/>
      </c>
      <c r="S494" s="419" t="str">
        <f t="shared" si="100"/>
        <v>:NAME</v>
      </c>
      <c r="T494" s="286"/>
      <c r="U494" s="287"/>
      <c r="V494" s="287"/>
      <c r="W494" s="287"/>
      <c r="X494" s="287"/>
      <c r="Y494" s="287"/>
      <c r="Z494" s="288"/>
      <c r="AA494" s="289">
        <f t="shared" si="101"/>
        <v>0</v>
      </c>
      <c r="AB494" s="290"/>
      <c r="AC494" s="291"/>
      <c r="AD494" s="292"/>
      <c r="AE494" s="293"/>
      <c r="AG494" s="295"/>
    </row>
    <row r="495" spans="1:33" s="294" customFormat="1" x14ac:dyDescent="0.25">
      <c r="A495" s="487"/>
      <c r="B495" s="490"/>
      <c r="C495" s="493"/>
      <c r="D495" s="390">
        <v>13</v>
      </c>
      <c r="E495" s="399">
        <v>493</v>
      </c>
      <c r="F495" s="474"/>
      <c r="G495" s="283"/>
      <c r="H495" s="283"/>
      <c r="I495" s="283"/>
      <c r="J495" s="283"/>
      <c r="K495" s="300"/>
      <c r="L495" s="484" t="str">
        <f t="shared" si="102"/>
        <v/>
      </c>
      <c r="M495" s="285"/>
      <c r="N495" s="402"/>
      <c r="O495" s="286"/>
      <c r="P495" s="408"/>
      <c r="Q495" s="286"/>
      <c r="R495" s="413" t="str">
        <f t="shared" si="99"/>
        <v/>
      </c>
      <c r="S495" s="419" t="str">
        <f t="shared" si="100"/>
        <v>:NAME</v>
      </c>
      <c r="T495" s="286"/>
      <c r="U495" s="287"/>
      <c r="V495" s="287"/>
      <c r="W495" s="287"/>
      <c r="X495" s="287"/>
      <c r="Y495" s="287"/>
      <c r="Z495" s="288"/>
      <c r="AA495" s="289">
        <f t="shared" si="101"/>
        <v>0</v>
      </c>
      <c r="AB495" s="290"/>
      <c r="AC495" s="291"/>
      <c r="AD495" s="292"/>
      <c r="AE495" s="293"/>
      <c r="AG495" s="295"/>
    </row>
    <row r="496" spans="1:33" s="294" customFormat="1" x14ac:dyDescent="0.25">
      <c r="A496" s="487"/>
      <c r="B496" s="490"/>
      <c r="C496" s="493"/>
      <c r="D496" s="390">
        <v>14</v>
      </c>
      <c r="E496" s="399">
        <v>494</v>
      </c>
      <c r="F496" s="474"/>
      <c r="G496" s="283"/>
      <c r="H496" s="283"/>
      <c r="I496" s="283"/>
      <c r="J496" s="283"/>
      <c r="K496" s="300"/>
      <c r="L496" s="484" t="str">
        <f t="shared" si="102"/>
        <v/>
      </c>
      <c r="M496" s="285"/>
      <c r="N496" s="402"/>
      <c r="O496" s="286"/>
      <c r="P496" s="408"/>
      <c r="Q496" s="286"/>
      <c r="R496" s="413" t="str">
        <f t="shared" si="99"/>
        <v/>
      </c>
      <c r="S496" s="419" t="str">
        <f t="shared" si="100"/>
        <v>:NAME</v>
      </c>
      <c r="T496" s="286"/>
      <c r="U496" s="287"/>
      <c r="V496" s="287"/>
      <c r="W496" s="287"/>
      <c r="X496" s="287"/>
      <c r="Y496" s="287"/>
      <c r="Z496" s="288"/>
      <c r="AA496" s="289">
        <f t="shared" si="101"/>
        <v>0</v>
      </c>
      <c r="AB496" s="290"/>
      <c r="AC496" s="291"/>
      <c r="AD496" s="292"/>
      <c r="AE496" s="293"/>
      <c r="AG496" s="295"/>
    </row>
    <row r="497" spans="1:33" s="326" customFormat="1" ht="15.75" thickBot="1" x14ac:dyDescent="0.3">
      <c r="A497" s="488"/>
      <c r="B497" s="491"/>
      <c r="C497" s="494"/>
      <c r="D497" s="390">
        <v>15</v>
      </c>
      <c r="E497" s="399">
        <v>495</v>
      </c>
      <c r="F497" s="474"/>
      <c r="G497" s="283"/>
      <c r="H497" s="283"/>
      <c r="I497" s="283"/>
      <c r="J497" s="283"/>
      <c r="K497" s="300"/>
      <c r="L497" s="484" t="str">
        <f t="shared" si="102"/>
        <v/>
      </c>
      <c r="M497" s="285"/>
      <c r="N497" s="402"/>
      <c r="O497" s="286"/>
      <c r="P497" s="408"/>
      <c r="Q497" s="286"/>
      <c r="R497" s="413" t="str">
        <f t="shared" si="99"/>
        <v/>
      </c>
      <c r="S497" s="419" t="str">
        <f t="shared" si="100"/>
        <v>:NAME</v>
      </c>
      <c r="T497" s="288"/>
      <c r="U497" s="324"/>
      <c r="V497" s="324"/>
      <c r="W497" s="324"/>
      <c r="X497" s="324"/>
      <c r="Y497" s="287"/>
      <c r="Z497" s="288"/>
      <c r="AA497" s="289">
        <f t="shared" si="101"/>
        <v>0</v>
      </c>
      <c r="AB497" s="325"/>
      <c r="AC497" s="296"/>
      <c r="AD497" s="292"/>
      <c r="AE497" s="293"/>
      <c r="AG497" s="327"/>
    </row>
    <row r="498" spans="1:33" s="322" customFormat="1" ht="14.45" customHeight="1" x14ac:dyDescent="0.25">
      <c r="A498" s="486" t="s">
        <v>44</v>
      </c>
      <c r="B498" s="489" t="str">
        <f>LOOKUP(A498,Module,IO)</f>
        <v>.</v>
      </c>
      <c r="C498" s="492" t="s">
        <v>39</v>
      </c>
      <c r="D498" s="389" t="s">
        <v>160</v>
      </c>
      <c r="E498" s="398">
        <v>496</v>
      </c>
      <c r="F498" s="476"/>
      <c r="G498" s="268"/>
      <c r="H498" s="268"/>
      <c r="I498" s="268"/>
      <c r="J498" s="268"/>
      <c r="K498" s="318"/>
      <c r="L498" s="483" t="str">
        <f t="shared" si="102"/>
        <v/>
      </c>
      <c r="M498" s="270"/>
      <c r="N498" s="401"/>
      <c r="O498" s="271"/>
      <c r="P498" s="409"/>
      <c r="Q498" s="271"/>
      <c r="R498" s="412" t="str">
        <f t="shared" si="99"/>
        <v/>
      </c>
      <c r="S498" s="418" t="str">
        <f t="shared" si="100"/>
        <v>:NAME</v>
      </c>
      <c r="T498" s="273"/>
      <c r="U498" s="319"/>
      <c r="V498" s="319"/>
      <c r="W498" s="319"/>
      <c r="X498" s="319"/>
      <c r="Y498" s="272"/>
      <c r="Z498" s="273"/>
      <c r="AA498" s="274">
        <f t="shared" si="101"/>
        <v>0</v>
      </c>
      <c r="AB498" s="320"/>
      <c r="AC498" s="321"/>
      <c r="AD498" s="277"/>
      <c r="AE498" s="278"/>
      <c r="AG498" s="323"/>
    </row>
    <row r="499" spans="1:33" s="294" customFormat="1" x14ac:dyDescent="0.25">
      <c r="A499" s="487"/>
      <c r="B499" s="490"/>
      <c r="C499" s="493"/>
      <c r="D499" s="390">
        <v>1</v>
      </c>
      <c r="E499" s="399">
        <v>497</v>
      </c>
      <c r="F499" s="474"/>
      <c r="G499" s="283"/>
      <c r="H499" s="283"/>
      <c r="I499" s="283"/>
      <c r="J499" s="283"/>
      <c r="K499" s="300"/>
      <c r="L499" s="484" t="str">
        <f t="shared" si="102"/>
        <v/>
      </c>
      <c r="M499" s="285"/>
      <c r="N499" s="402"/>
      <c r="O499" s="286"/>
      <c r="P499" s="408"/>
      <c r="Q499" s="286"/>
      <c r="R499" s="413" t="str">
        <f t="shared" si="99"/>
        <v/>
      </c>
      <c r="S499" s="419" t="str">
        <f t="shared" si="100"/>
        <v>:NAME</v>
      </c>
      <c r="T499" s="286"/>
      <c r="U499" s="287"/>
      <c r="V499" s="287"/>
      <c r="W499" s="287"/>
      <c r="X499" s="287"/>
      <c r="Y499" s="287"/>
      <c r="Z499" s="288"/>
      <c r="AA499" s="289">
        <f t="shared" si="101"/>
        <v>0</v>
      </c>
      <c r="AB499" s="290"/>
      <c r="AC499" s="291"/>
      <c r="AD499" s="292"/>
      <c r="AE499" s="293"/>
      <c r="AG499" s="295"/>
    </row>
    <row r="500" spans="1:33" s="294" customFormat="1" x14ac:dyDescent="0.25">
      <c r="A500" s="487"/>
      <c r="B500" s="490"/>
      <c r="C500" s="493"/>
      <c r="D500" s="390">
        <v>2</v>
      </c>
      <c r="E500" s="399">
        <v>498</v>
      </c>
      <c r="F500" s="474"/>
      <c r="G500" s="283"/>
      <c r="H500" s="283"/>
      <c r="I500" s="283"/>
      <c r="J500" s="283"/>
      <c r="K500" s="300"/>
      <c r="L500" s="484" t="str">
        <f t="shared" si="102"/>
        <v/>
      </c>
      <c r="M500" s="285"/>
      <c r="N500" s="402"/>
      <c r="O500" s="286"/>
      <c r="P500" s="408"/>
      <c r="Q500" s="286"/>
      <c r="R500" s="413" t="str">
        <f t="shared" si="99"/>
        <v/>
      </c>
      <c r="S500" s="419" t="str">
        <f t="shared" si="100"/>
        <v>:NAME</v>
      </c>
      <c r="T500" s="286"/>
      <c r="U500" s="287"/>
      <c r="V500" s="287"/>
      <c r="W500" s="287"/>
      <c r="X500" s="287"/>
      <c r="Y500" s="287"/>
      <c r="Z500" s="288"/>
      <c r="AA500" s="289">
        <f t="shared" si="101"/>
        <v>0</v>
      </c>
      <c r="AB500" s="290"/>
      <c r="AC500" s="291"/>
      <c r="AD500" s="292"/>
      <c r="AE500" s="293"/>
      <c r="AG500" s="295"/>
    </row>
    <row r="501" spans="1:33" s="294" customFormat="1" x14ac:dyDescent="0.25">
      <c r="A501" s="487"/>
      <c r="B501" s="490"/>
      <c r="C501" s="493"/>
      <c r="D501" s="390">
        <v>3</v>
      </c>
      <c r="E501" s="399">
        <v>499</v>
      </c>
      <c r="F501" s="474"/>
      <c r="G501" s="283"/>
      <c r="H501" s="283"/>
      <c r="I501" s="283"/>
      <c r="J501" s="283"/>
      <c r="K501" s="300"/>
      <c r="L501" s="484" t="str">
        <f t="shared" si="102"/>
        <v/>
      </c>
      <c r="M501" s="285"/>
      <c r="N501" s="402"/>
      <c r="O501" s="286"/>
      <c r="P501" s="408"/>
      <c r="Q501" s="286"/>
      <c r="R501" s="413" t="str">
        <f t="shared" si="99"/>
        <v/>
      </c>
      <c r="S501" s="419" t="str">
        <f t="shared" si="100"/>
        <v>:NAME</v>
      </c>
      <c r="T501" s="286"/>
      <c r="U501" s="287"/>
      <c r="V501" s="287"/>
      <c r="W501" s="287"/>
      <c r="X501" s="287"/>
      <c r="Y501" s="287"/>
      <c r="Z501" s="288"/>
      <c r="AA501" s="289">
        <f t="shared" si="101"/>
        <v>0</v>
      </c>
      <c r="AB501" s="290"/>
      <c r="AC501" s="291"/>
      <c r="AD501" s="292"/>
      <c r="AE501" s="293"/>
      <c r="AG501" s="295"/>
    </row>
    <row r="502" spans="1:33" s="294" customFormat="1" x14ac:dyDescent="0.25">
      <c r="A502" s="487"/>
      <c r="B502" s="490"/>
      <c r="C502" s="493"/>
      <c r="D502" s="390">
        <v>4</v>
      </c>
      <c r="E502" s="399">
        <v>500</v>
      </c>
      <c r="F502" s="474"/>
      <c r="G502" s="283"/>
      <c r="H502" s="283"/>
      <c r="I502" s="283"/>
      <c r="J502" s="283"/>
      <c r="K502" s="300"/>
      <c r="L502" s="484" t="str">
        <f t="shared" si="102"/>
        <v/>
      </c>
      <c r="M502" s="285"/>
      <c r="N502" s="402"/>
      <c r="O502" s="286"/>
      <c r="P502" s="408"/>
      <c r="Q502" s="286"/>
      <c r="R502" s="413" t="str">
        <f t="shared" si="99"/>
        <v/>
      </c>
      <c r="S502" s="419" t="str">
        <f t="shared" si="100"/>
        <v>:NAME</v>
      </c>
      <c r="T502" s="286"/>
      <c r="U502" s="287"/>
      <c r="V502" s="287"/>
      <c r="W502" s="287"/>
      <c r="X502" s="287"/>
      <c r="Y502" s="287"/>
      <c r="Z502" s="288"/>
      <c r="AA502" s="289">
        <f t="shared" si="101"/>
        <v>0</v>
      </c>
      <c r="AB502" s="290"/>
      <c r="AC502" s="291"/>
      <c r="AD502" s="292"/>
      <c r="AE502" s="293"/>
      <c r="AG502" s="295"/>
    </row>
    <row r="503" spans="1:33" s="294" customFormat="1" x14ac:dyDescent="0.25">
      <c r="A503" s="487"/>
      <c r="B503" s="490"/>
      <c r="C503" s="493"/>
      <c r="D503" s="390">
        <v>5</v>
      </c>
      <c r="E503" s="399">
        <v>501</v>
      </c>
      <c r="F503" s="474"/>
      <c r="G503" s="283"/>
      <c r="H503" s="283"/>
      <c r="I503" s="283"/>
      <c r="J503" s="283"/>
      <c r="K503" s="300"/>
      <c r="L503" s="484" t="str">
        <f t="shared" si="102"/>
        <v/>
      </c>
      <c r="M503" s="285"/>
      <c r="N503" s="402"/>
      <c r="O503" s="286"/>
      <c r="P503" s="408"/>
      <c r="Q503" s="286"/>
      <c r="R503" s="413" t="str">
        <f t="shared" si="99"/>
        <v/>
      </c>
      <c r="S503" s="419" t="str">
        <f t="shared" si="100"/>
        <v>:NAME</v>
      </c>
      <c r="T503" s="286"/>
      <c r="U503" s="287"/>
      <c r="V503" s="287"/>
      <c r="W503" s="287"/>
      <c r="X503" s="287"/>
      <c r="Y503" s="287"/>
      <c r="Z503" s="288"/>
      <c r="AA503" s="289">
        <f t="shared" si="101"/>
        <v>0</v>
      </c>
      <c r="AB503" s="290"/>
      <c r="AC503" s="291"/>
      <c r="AD503" s="292"/>
      <c r="AE503" s="293"/>
      <c r="AG503" s="295"/>
    </row>
    <row r="504" spans="1:33" s="294" customFormat="1" x14ac:dyDescent="0.25">
      <c r="A504" s="487"/>
      <c r="B504" s="490"/>
      <c r="C504" s="493"/>
      <c r="D504" s="390">
        <v>6</v>
      </c>
      <c r="E504" s="399">
        <v>502</v>
      </c>
      <c r="F504" s="474"/>
      <c r="G504" s="283"/>
      <c r="H504" s="283"/>
      <c r="I504" s="283"/>
      <c r="J504" s="283"/>
      <c r="K504" s="300"/>
      <c r="L504" s="484" t="str">
        <f t="shared" si="102"/>
        <v/>
      </c>
      <c r="M504" s="285"/>
      <c r="N504" s="402"/>
      <c r="O504" s="286"/>
      <c r="P504" s="408"/>
      <c r="Q504" s="286"/>
      <c r="R504" s="413" t="str">
        <f t="shared" si="99"/>
        <v/>
      </c>
      <c r="S504" s="419" t="str">
        <f t="shared" si="100"/>
        <v>:NAME</v>
      </c>
      <c r="T504" s="286"/>
      <c r="U504" s="287"/>
      <c r="V504" s="287"/>
      <c r="W504" s="287"/>
      <c r="X504" s="287"/>
      <c r="Y504" s="287"/>
      <c r="Z504" s="288"/>
      <c r="AA504" s="289">
        <f t="shared" si="101"/>
        <v>0</v>
      </c>
      <c r="AB504" s="290"/>
      <c r="AC504" s="291"/>
      <c r="AD504" s="292"/>
      <c r="AE504" s="293"/>
      <c r="AG504" s="295"/>
    </row>
    <row r="505" spans="1:33" s="294" customFormat="1" x14ac:dyDescent="0.25">
      <c r="A505" s="487"/>
      <c r="B505" s="490"/>
      <c r="C505" s="493"/>
      <c r="D505" s="390">
        <v>7</v>
      </c>
      <c r="E505" s="399">
        <v>503</v>
      </c>
      <c r="F505" s="474"/>
      <c r="G505" s="283"/>
      <c r="H505" s="283"/>
      <c r="I505" s="283"/>
      <c r="J505" s="283"/>
      <c r="K505" s="300"/>
      <c r="L505" s="484" t="str">
        <f t="shared" si="102"/>
        <v/>
      </c>
      <c r="M505" s="285"/>
      <c r="N505" s="402"/>
      <c r="O505" s="286"/>
      <c r="P505" s="408"/>
      <c r="Q505" s="286"/>
      <c r="R505" s="413" t="str">
        <f t="shared" si="99"/>
        <v/>
      </c>
      <c r="S505" s="419" t="str">
        <f t="shared" si="100"/>
        <v>:NAME</v>
      </c>
      <c r="T505" s="286"/>
      <c r="U505" s="287"/>
      <c r="V505" s="287"/>
      <c r="W505" s="287"/>
      <c r="X505" s="287"/>
      <c r="Y505" s="287"/>
      <c r="Z505" s="288"/>
      <c r="AA505" s="289">
        <f t="shared" si="101"/>
        <v>0</v>
      </c>
      <c r="AB505" s="290"/>
      <c r="AC505" s="291"/>
      <c r="AD505" s="292"/>
      <c r="AE505" s="293"/>
      <c r="AG505" s="295"/>
    </row>
    <row r="506" spans="1:33" s="294" customFormat="1" x14ac:dyDescent="0.25">
      <c r="A506" s="487"/>
      <c r="B506" s="490"/>
      <c r="C506" s="493"/>
      <c r="D506" s="390">
        <v>8</v>
      </c>
      <c r="E506" s="399">
        <v>504</v>
      </c>
      <c r="F506" s="474"/>
      <c r="G506" s="283"/>
      <c r="H506" s="283"/>
      <c r="I506" s="283"/>
      <c r="J506" s="283"/>
      <c r="K506" s="300"/>
      <c r="L506" s="484" t="str">
        <f t="shared" si="102"/>
        <v/>
      </c>
      <c r="M506" s="285"/>
      <c r="N506" s="402"/>
      <c r="O506" s="286"/>
      <c r="P506" s="408"/>
      <c r="Q506" s="286"/>
      <c r="R506" s="413" t="str">
        <f t="shared" si="99"/>
        <v/>
      </c>
      <c r="S506" s="419" t="str">
        <f t="shared" si="100"/>
        <v>:NAME</v>
      </c>
      <c r="T506" s="286"/>
      <c r="U506" s="287"/>
      <c r="V506" s="287"/>
      <c r="W506" s="287"/>
      <c r="X506" s="287"/>
      <c r="Y506" s="287"/>
      <c r="Z506" s="288"/>
      <c r="AA506" s="289">
        <f t="shared" si="101"/>
        <v>0</v>
      </c>
      <c r="AB506" s="290"/>
      <c r="AC506" s="291"/>
      <c r="AD506" s="292"/>
      <c r="AE506" s="293"/>
      <c r="AG506" s="295"/>
    </row>
    <row r="507" spans="1:33" s="294" customFormat="1" x14ac:dyDescent="0.25">
      <c r="A507" s="487"/>
      <c r="B507" s="490"/>
      <c r="C507" s="493"/>
      <c r="D507" s="390">
        <v>9</v>
      </c>
      <c r="E507" s="399">
        <v>505</v>
      </c>
      <c r="F507" s="474"/>
      <c r="G507" s="283"/>
      <c r="H507" s="283"/>
      <c r="I507" s="283"/>
      <c r="J507" s="283"/>
      <c r="K507" s="300"/>
      <c r="L507" s="484" t="str">
        <f t="shared" si="102"/>
        <v/>
      </c>
      <c r="M507" s="285"/>
      <c r="N507" s="402"/>
      <c r="O507" s="286"/>
      <c r="P507" s="408"/>
      <c r="Q507" s="286"/>
      <c r="R507" s="413" t="str">
        <f t="shared" si="99"/>
        <v/>
      </c>
      <c r="S507" s="419" t="str">
        <f t="shared" si="100"/>
        <v>:NAME</v>
      </c>
      <c r="T507" s="286"/>
      <c r="U507" s="287"/>
      <c r="V507" s="287"/>
      <c r="W507" s="287"/>
      <c r="X507" s="287"/>
      <c r="Y507" s="287"/>
      <c r="Z507" s="288"/>
      <c r="AA507" s="289">
        <f t="shared" si="101"/>
        <v>0</v>
      </c>
      <c r="AB507" s="290"/>
      <c r="AC507" s="291"/>
      <c r="AD507" s="292"/>
      <c r="AE507" s="293"/>
      <c r="AG507" s="295"/>
    </row>
    <row r="508" spans="1:33" s="294" customFormat="1" x14ac:dyDescent="0.25">
      <c r="A508" s="487"/>
      <c r="B508" s="490"/>
      <c r="C508" s="493"/>
      <c r="D508" s="390">
        <v>10</v>
      </c>
      <c r="E508" s="399">
        <v>506</v>
      </c>
      <c r="F508" s="474"/>
      <c r="G508" s="283"/>
      <c r="H508" s="283"/>
      <c r="I508" s="283"/>
      <c r="J508" s="283"/>
      <c r="K508" s="300"/>
      <c r="L508" s="484" t="str">
        <f t="shared" si="102"/>
        <v/>
      </c>
      <c r="M508" s="285"/>
      <c r="N508" s="402"/>
      <c r="O508" s="286"/>
      <c r="P508" s="408"/>
      <c r="Q508" s="286"/>
      <c r="R508" s="413" t="str">
        <f t="shared" si="99"/>
        <v/>
      </c>
      <c r="S508" s="419" t="str">
        <f t="shared" si="100"/>
        <v>:NAME</v>
      </c>
      <c r="T508" s="286"/>
      <c r="U508" s="287"/>
      <c r="V508" s="287"/>
      <c r="W508" s="287"/>
      <c r="X508" s="287"/>
      <c r="Y508" s="287"/>
      <c r="Z508" s="288"/>
      <c r="AA508" s="289">
        <f t="shared" si="101"/>
        <v>0</v>
      </c>
      <c r="AB508" s="290"/>
      <c r="AC508" s="291"/>
      <c r="AD508" s="292"/>
      <c r="AE508" s="293"/>
      <c r="AG508" s="295"/>
    </row>
    <row r="509" spans="1:33" s="294" customFormat="1" x14ac:dyDescent="0.25">
      <c r="A509" s="487"/>
      <c r="B509" s="490"/>
      <c r="C509" s="493"/>
      <c r="D509" s="390">
        <v>11</v>
      </c>
      <c r="E509" s="399">
        <v>507</v>
      </c>
      <c r="F509" s="474"/>
      <c r="G509" s="283"/>
      <c r="H509" s="283"/>
      <c r="I509" s="283"/>
      <c r="J509" s="283"/>
      <c r="K509" s="300"/>
      <c r="L509" s="484" t="str">
        <f t="shared" si="102"/>
        <v/>
      </c>
      <c r="M509" s="285"/>
      <c r="N509" s="402"/>
      <c r="O509" s="286"/>
      <c r="P509" s="408"/>
      <c r="Q509" s="286"/>
      <c r="R509" s="413" t="str">
        <f t="shared" si="99"/>
        <v/>
      </c>
      <c r="S509" s="419" t="str">
        <f t="shared" si="100"/>
        <v>:NAME</v>
      </c>
      <c r="T509" s="286"/>
      <c r="U509" s="287"/>
      <c r="V509" s="287"/>
      <c r="W509" s="287"/>
      <c r="X509" s="287"/>
      <c r="Y509" s="287"/>
      <c r="Z509" s="288"/>
      <c r="AA509" s="289">
        <f t="shared" si="101"/>
        <v>0</v>
      </c>
      <c r="AB509" s="290"/>
      <c r="AC509" s="291"/>
      <c r="AD509" s="292"/>
      <c r="AE509" s="293"/>
      <c r="AG509" s="295"/>
    </row>
    <row r="510" spans="1:33" s="294" customFormat="1" x14ac:dyDescent="0.25">
      <c r="A510" s="487"/>
      <c r="B510" s="490"/>
      <c r="C510" s="493"/>
      <c r="D510" s="390">
        <v>12</v>
      </c>
      <c r="E510" s="399">
        <v>508</v>
      </c>
      <c r="F510" s="474"/>
      <c r="G510" s="283"/>
      <c r="H510" s="283"/>
      <c r="I510" s="283"/>
      <c r="J510" s="283"/>
      <c r="K510" s="300"/>
      <c r="L510" s="484" t="str">
        <f t="shared" si="102"/>
        <v/>
      </c>
      <c r="M510" s="285"/>
      <c r="N510" s="402"/>
      <c r="O510" s="286"/>
      <c r="P510" s="408"/>
      <c r="Q510" s="286"/>
      <c r="R510" s="413" t="str">
        <f t="shared" si="99"/>
        <v/>
      </c>
      <c r="S510" s="419" t="str">
        <f t="shared" si="100"/>
        <v>:NAME</v>
      </c>
      <c r="T510" s="286"/>
      <c r="U510" s="287"/>
      <c r="V510" s="287"/>
      <c r="W510" s="287"/>
      <c r="X510" s="287"/>
      <c r="Y510" s="287"/>
      <c r="Z510" s="288"/>
      <c r="AA510" s="289">
        <f t="shared" si="101"/>
        <v>0</v>
      </c>
      <c r="AB510" s="290"/>
      <c r="AC510" s="291"/>
      <c r="AD510" s="292"/>
      <c r="AE510" s="293"/>
      <c r="AG510" s="295"/>
    </row>
    <row r="511" spans="1:33" s="294" customFormat="1" x14ac:dyDescent="0.25">
      <c r="A511" s="487"/>
      <c r="B511" s="490"/>
      <c r="C511" s="493"/>
      <c r="D511" s="390">
        <v>13</v>
      </c>
      <c r="E511" s="399">
        <v>509</v>
      </c>
      <c r="F511" s="474"/>
      <c r="G511" s="283"/>
      <c r="H511" s="283"/>
      <c r="I511" s="283"/>
      <c r="J511" s="283"/>
      <c r="K511" s="300"/>
      <c r="L511" s="484" t="str">
        <f t="shared" si="102"/>
        <v/>
      </c>
      <c r="M511" s="285"/>
      <c r="N511" s="402"/>
      <c r="O511" s="286"/>
      <c r="P511" s="408"/>
      <c r="Q511" s="286"/>
      <c r="R511" s="413" t="str">
        <f t="shared" si="99"/>
        <v/>
      </c>
      <c r="S511" s="419" t="str">
        <f t="shared" si="100"/>
        <v>:NAME</v>
      </c>
      <c r="T511" s="286"/>
      <c r="U511" s="287"/>
      <c r="V511" s="287"/>
      <c r="W511" s="287"/>
      <c r="X511" s="287"/>
      <c r="Y511" s="287"/>
      <c r="Z511" s="288"/>
      <c r="AA511" s="289">
        <f t="shared" si="101"/>
        <v>0</v>
      </c>
      <c r="AB511" s="290"/>
      <c r="AC511" s="291"/>
      <c r="AD511" s="292"/>
      <c r="AE511" s="293"/>
      <c r="AG511" s="295"/>
    </row>
    <row r="512" spans="1:33" s="294" customFormat="1" x14ac:dyDescent="0.25">
      <c r="A512" s="487"/>
      <c r="B512" s="490"/>
      <c r="C512" s="493"/>
      <c r="D512" s="390">
        <v>14</v>
      </c>
      <c r="E512" s="399">
        <v>510</v>
      </c>
      <c r="F512" s="474"/>
      <c r="G512" s="283"/>
      <c r="H512" s="283"/>
      <c r="I512" s="283"/>
      <c r="J512" s="283"/>
      <c r="K512" s="300"/>
      <c r="L512" s="484" t="str">
        <f t="shared" si="102"/>
        <v/>
      </c>
      <c r="M512" s="285"/>
      <c r="N512" s="402"/>
      <c r="O512" s="286"/>
      <c r="P512" s="408"/>
      <c r="Q512" s="286"/>
      <c r="R512" s="413" t="str">
        <f t="shared" si="99"/>
        <v/>
      </c>
      <c r="S512" s="419" t="str">
        <f t="shared" si="100"/>
        <v>:NAME</v>
      </c>
      <c r="T512" s="286"/>
      <c r="U512" s="287"/>
      <c r="V512" s="287"/>
      <c r="W512" s="287"/>
      <c r="X512" s="287"/>
      <c r="Y512" s="287"/>
      <c r="Z512" s="288"/>
      <c r="AA512" s="289">
        <f t="shared" si="101"/>
        <v>0</v>
      </c>
      <c r="AB512" s="290"/>
      <c r="AC512" s="291"/>
      <c r="AD512" s="292"/>
      <c r="AE512" s="293"/>
      <c r="AG512" s="295"/>
    </row>
    <row r="513" spans="1:33" s="326" customFormat="1" ht="15.75" thickBot="1" x14ac:dyDescent="0.3">
      <c r="A513" s="488"/>
      <c r="B513" s="491"/>
      <c r="C513" s="494"/>
      <c r="D513" s="390">
        <v>15</v>
      </c>
      <c r="E513" s="399">
        <v>511</v>
      </c>
      <c r="F513" s="474"/>
      <c r="G513" s="283"/>
      <c r="H513" s="283"/>
      <c r="I513" s="283"/>
      <c r="J513" s="283"/>
      <c r="K513" s="300"/>
      <c r="L513" s="484" t="str">
        <f t="shared" si="102"/>
        <v/>
      </c>
      <c r="M513" s="285"/>
      <c r="N513" s="402"/>
      <c r="O513" s="286"/>
      <c r="P513" s="408"/>
      <c r="Q513" s="286"/>
      <c r="R513" s="413" t="str">
        <f t="shared" si="99"/>
        <v/>
      </c>
      <c r="S513" s="419" t="str">
        <f t="shared" si="100"/>
        <v>:NAME</v>
      </c>
      <c r="T513" s="288"/>
      <c r="U513" s="324"/>
      <c r="V513" s="324"/>
      <c r="W513" s="324"/>
      <c r="X513" s="324"/>
      <c r="Y513" s="287"/>
      <c r="Z513" s="288"/>
      <c r="AA513" s="289">
        <f t="shared" si="101"/>
        <v>0</v>
      </c>
      <c r="AB513" s="325"/>
      <c r="AC513" s="296"/>
      <c r="AD513" s="292"/>
      <c r="AE513" s="293"/>
      <c r="AG513" s="327"/>
    </row>
    <row r="514" spans="1:33" s="322" customFormat="1" ht="14.45" customHeight="1" x14ac:dyDescent="0.25">
      <c r="A514" s="486" t="s">
        <v>44</v>
      </c>
      <c r="B514" s="489" t="str">
        <f>LOOKUP(A514,Module,IO)</f>
        <v>.</v>
      </c>
      <c r="C514" s="492" t="s">
        <v>40</v>
      </c>
      <c r="D514" s="389" t="s">
        <v>160</v>
      </c>
      <c r="E514" s="398">
        <v>512</v>
      </c>
      <c r="F514" s="476"/>
      <c r="G514" s="268"/>
      <c r="H514" s="268"/>
      <c r="I514" s="268"/>
      <c r="J514" s="268"/>
      <c r="K514" s="318"/>
      <c r="L514" s="483" t="str">
        <f t="shared" si="102"/>
        <v/>
      </c>
      <c r="M514" s="270"/>
      <c r="N514" s="401"/>
      <c r="O514" s="271"/>
      <c r="P514" s="409"/>
      <c r="Q514" s="271"/>
      <c r="R514" s="412" t="str">
        <f t="shared" ref="R514:R577" si="103">IF(G514&lt;&gt;"",G514&amp;"."&amp;H514&amp;"."&amp;I514&amp;"."&amp;J514&amp;IF(K514&lt;&gt;"","."&amp;K514,""),"")</f>
        <v/>
      </c>
      <c r="S514" s="418" t="str">
        <f t="shared" ref="S514:S578" si="104">L514&amp;":NAME"</f>
        <v>:NAME</v>
      </c>
      <c r="T514" s="273"/>
      <c r="U514" s="319"/>
      <c r="V514" s="319"/>
      <c r="W514" s="319"/>
      <c r="X514" s="319"/>
      <c r="Y514" s="272"/>
      <c r="Z514" s="273"/>
      <c r="AA514" s="274">
        <f t="shared" si="101"/>
        <v>0</v>
      </c>
      <c r="AB514" s="320"/>
      <c r="AC514" s="321"/>
      <c r="AD514" s="277"/>
      <c r="AE514" s="278"/>
      <c r="AG514" s="323"/>
    </row>
    <row r="515" spans="1:33" s="294" customFormat="1" x14ac:dyDescent="0.25">
      <c r="A515" s="487"/>
      <c r="B515" s="490"/>
      <c r="C515" s="493"/>
      <c r="D515" s="390">
        <v>1</v>
      </c>
      <c r="E515" s="399">
        <v>513</v>
      </c>
      <c r="F515" s="474"/>
      <c r="G515" s="283"/>
      <c r="H515" s="283"/>
      <c r="I515" s="283"/>
      <c r="J515" s="283"/>
      <c r="K515" s="300"/>
      <c r="L515" s="484" t="str">
        <f t="shared" si="102"/>
        <v/>
      </c>
      <c r="M515" s="285"/>
      <c r="N515" s="402"/>
      <c r="O515" s="286"/>
      <c r="P515" s="408"/>
      <c r="Q515" s="286"/>
      <c r="R515" s="413" t="str">
        <f t="shared" si="103"/>
        <v/>
      </c>
      <c r="S515" s="419" t="str">
        <f t="shared" si="104"/>
        <v>:NAME</v>
      </c>
      <c r="T515" s="286"/>
      <c r="U515" s="287"/>
      <c r="V515" s="287"/>
      <c r="W515" s="287"/>
      <c r="X515" s="287"/>
      <c r="Y515" s="287"/>
      <c r="Z515" s="288"/>
      <c r="AA515" s="289">
        <f t="shared" ref="AA515:AA578" si="105">LEN(L515)</f>
        <v>0</v>
      </c>
      <c r="AB515" s="290"/>
      <c r="AC515" s="291"/>
      <c r="AD515" s="292"/>
      <c r="AE515" s="293"/>
      <c r="AG515" s="295"/>
    </row>
    <row r="516" spans="1:33" s="294" customFormat="1" x14ac:dyDescent="0.25">
      <c r="A516" s="487"/>
      <c r="B516" s="490"/>
      <c r="C516" s="493"/>
      <c r="D516" s="390">
        <v>2</v>
      </c>
      <c r="E516" s="399">
        <v>514</v>
      </c>
      <c r="F516" s="474"/>
      <c r="G516" s="283"/>
      <c r="H516" s="283"/>
      <c r="I516" s="283"/>
      <c r="J516" s="283"/>
      <c r="K516" s="300"/>
      <c r="L516" s="484" t="str">
        <f t="shared" si="102"/>
        <v/>
      </c>
      <c r="M516" s="285"/>
      <c r="N516" s="402"/>
      <c r="O516" s="286"/>
      <c r="P516" s="408"/>
      <c r="Q516" s="286"/>
      <c r="R516" s="413" t="str">
        <f t="shared" si="103"/>
        <v/>
      </c>
      <c r="S516" s="419" t="str">
        <f t="shared" si="104"/>
        <v>:NAME</v>
      </c>
      <c r="T516" s="286"/>
      <c r="U516" s="287"/>
      <c r="V516" s="287"/>
      <c r="W516" s="287"/>
      <c r="X516" s="287"/>
      <c r="Y516" s="287"/>
      <c r="Z516" s="288"/>
      <c r="AA516" s="289">
        <f t="shared" si="105"/>
        <v>0</v>
      </c>
      <c r="AB516" s="290"/>
      <c r="AC516" s="291"/>
      <c r="AD516" s="292"/>
      <c r="AE516" s="293"/>
      <c r="AG516" s="295"/>
    </row>
    <row r="517" spans="1:33" s="294" customFormat="1" x14ac:dyDescent="0.25">
      <c r="A517" s="487"/>
      <c r="B517" s="490"/>
      <c r="C517" s="493"/>
      <c r="D517" s="390">
        <v>3</v>
      </c>
      <c r="E517" s="399">
        <v>515</v>
      </c>
      <c r="F517" s="474"/>
      <c r="G517" s="283"/>
      <c r="H517" s="283"/>
      <c r="I517" s="283"/>
      <c r="J517" s="283"/>
      <c r="K517" s="300"/>
      <c r="L517" s="484" t="str">
        <f t="shared" si="102"/>
        <v/>
      </c>
      <c r="M517" s="285"/>
      <c r="N517" s="402"/>
      <c r="O517" s="286"/>
      <c r="P517" s="408"/>
      <c r="Q517" s="286"/>
      <c r="R517" s="413" t="str">
        <f t="shared" si="103"/>
        <v/>
      </c>
      <c r="S517" s="419" t="str">
        <f t="shared" si="104"/>
        <v>:NAME</v>
      </c>
      <c r="T517" s="286"/>
      <c r="U517" s="287"/>
      <c r="V517" s="287"/>
      <c r="W517" s="287"/>
      <c r="X517" s="287"/>
      <c r="Y517" s="287"/>
      <c r="Z517" s="288"/>
      <c r="AA517" s="289">
        <f t="shared" si="105"/>
        <v>0</v>
      </c>
      <c r="AB517" s="290"/>
      <c r="AC517" s="291"/>
      <c r="AD517" s="292"/>
      <c r="AE517" s="293"/>
      <c r="AG517" s="295"/>
    </row>
    <row r="518" spans="1:33" s="294" customFormat="1" x14ac:dyDescent="0.25">
      <c r="A518" s="487"/>
      <c r="B518" s="490"/>
      <c r="C518" s="493"/>
      <c r="D518" s="390">
        <v>4</v>
      </c>
      <c r="E518" s="399">
        <v>516</v>
      </c>
      <c r="F518" s="474"/>
      <c r="G518" s="283"/>
      <c r="H518" s="283"/>
      <c r="I518" s="283"/>
      <c r="J518" s="283"/>
      <c r="K518" s="300"/>
      <c r="L518" s="484" t="str">
        <f t="shared" si="102"/>
        <v/>
      </c>
      <c r="M518" s="285"/>
      <c r="N518" s="402"/>
      <c r="O518" s="286"/>
      <c r="P518" s="408"/>
      <c r="Q518" s="286"/>
      <c r="R518" s="413" t="str">
        <f t="shared" si="103"/>
        <v/>
      </c>
      <c r="S518" s="419" t="str">
        <f t="shared" si="104"/>
        <v>:NAME</v>
      </c>
      <c r="T518" s="286"/>
      <c r="U518" s="287"/>
      <c r="V518" s="287"/>
      <c r="W518" s="287"/>
      <c r="X518" s="287"/>
      <c r="Y518" s="287"/>
      <c r="Z518" s="288"/>
      <c r="AA518" s="289">
        <f t="shared" si="105"/>
        <v>0</v>
      </c>
      <c r="AB518" s="290"/>
      <c r="AC518" s="291"/>
      <c r="AD518" s="292"/>
      <c r="AE518" s="293"/>
      <c r="AG518" s="295"/>
    </row>
    <row r="519" spans="1:33" s="294" customFormat="1" x14ac:dyDescent="0.25">
      <c r="A519" s="487"/>
      <c r="B519" s="490"/>
      <c r="C519" s="493"/>
      <c r="D519" s="390">
        <v>5</v>
      </c>
      <c r="E519" s="399">
        <v>517</v>
      </c>
      <c r="F519" s="474"/>
      <c r="G519" s="283"/>
      <c r="H519" s="283"/>
      <c r="I519" s="283"/>
      <c r="J519" s="283"/>
      <c r="K519" s="300"/>
      <c r="L519" s="484" t="str">
        <f t="shared" si="102"/>
        <v/>
      </c>
      <c r="M519" s="285"/>
      <c r="N519" s="402"/>
      <c r="O519" s="286"/>
      <c r="P519" s="408"/>
      <c r="Q519" s="286"/>
      <c r="R519" s="413" t="str">
        <f t="shared" si="103"/>
        <v/>
      </c>
      <c r="S519" s="419" t="str">
        <f t="shared" si="104"/>
        <v>:NAME</v>
      </c>
      <c r="T519" s="286"/>
      <c r="U519" s="287"/>
      <c r="V519" s="287"/>
      <c r="W519" s="287"/>
      <c r="X519" s="287"/>
      <c r="Y519" s="287"/>
      <c r="Z519" s="288"/>
      <c r="AA519" s="289">
        <f t="shared" si="105"/>
        <v>0</v>
      </c>
      <c r="AB519" s="290"/>
      <c r="AC519" s="291"/>
      <c r="AD519" s="292"/>
      <c r="AE519" s="293"/>
      <c r="AG519" s="295"/>
    </row>
    <row r="520" spans="1:33" s="294" customFormat="1" x14ac:dyDescent="0.25">
      <c r="A520" s="487"/>
      <c r="B520" s="490"/>
      <c r="C520" s="493"/>
      <c r="D520" s="390">
        <v>6</v>
      </c>
      <c r="E520" s="399">
        <v>518</v>
      </c>
      <c r="F520" s="474"/>
      <c r="G520" s="283"/>
      <c r="H520" s="283"/>
      <c r="I520" s="283"/>
      <c r="J520" s="283"/>
      <c r="K520" s="300"/>
      <c r="L520" s="484" t="str">
        <f t="shared" si="102"/>
        <v/>
      </c>
      <c r="M520" s="285"/>
      <c r="N520" s="402"/>
      <c r="O520" s="286"/>
      <c r="P520" s="408"/>
      <c r="Q520" s="286"/>
      <c r="R520" s="413" t="str">
        <f t="shared" si="103"/>
        <v/>
      </c>
      <c r="S520" s="419" t="str">
        <f t="shared" si="104"/>
        <v>:NAME</v>
      </c>
      <c r="T520" s="286"/>
      <c r="U520" s="287"/>
      <c r="V520" s="287"/>
      <c r="W520" s="287"/>
      <c r="X520" s="287"/>
      <c r="Y520" s="287"/>
      <c r="Z520" s="288"/>
      <c r="AA520" s="289">
        <f t="shared" si="105"/>
        <v>0</v>
      </c>
      <c r="AB520" s="290"/>
      <c r="AC520" s="291"/>
      <c r="AD520" s="292"/>
      <c r="AE520" s="293"/>
      <c r="AG520" s="295"/>
    </row>
    <row r="521" spans="1:33" s="294" customFormat="1" x14ac:dyDescent="0.25">
      <c r="A521" s="487"/>
      <c r="B521" s="490"/>
      <c r="C521" s="493"/>
      <c r="D521" s="390">
        <v>7</v>
      </c>
      <c r="E521" s="399">
        <v>519</v>
      </c>
      <c r="F521" s="474"/>
      <c r="G521" s="283"/>
      <c r="H521" s="283"/>
      <c r="I521" s="283"/>
      <c r="J521" s="283"/>
      <c r="K521" s="300"/>
      <c r="L521" s="484" t="str">
        <f t="shared" si="102"/>
        <v/>
      </c>
      <c r="M521" s="285"/>
      <c r="N521" s="402"/>
      <c r="O521" s="286"/>
      <c r="P521" s="408"/>
      <c r="Q521" s="286"/>
      <c r="R521" s="413" t="str">
        <f t="shared" si="103"/>
        <v/>
      </c>
      <c r="S521" s="419" t="str">
        <f t="shared" si="104"/>
        <v>:NAME</v>
      </c>
      <c r="T521" s="286"/>
      <c r="U521" s="287"/>
      <c r="V521" s="287"/>
      <c r="W521" s="287"/>
      <c r="X521" s="287"/>
      <c r="Y521" s="287"/>
      <c r="Z521" s="288"/>
      <c r="AA521" s="289">
        <f t="shared" si="105"/>
        <v>0</v>
      </c>
      <c r="AB521" s="290"/>
      <c r="AC521" s="291"/>
      <c r="AD521" s="292"/>
      <c r="AE521" s="293"/>
      <c r="AG521" s="295"/>
    </row>
    <row r="522" spans="1:33" s="294" customFormat="1" x14ac:dyDescent="0.25">
      <c r="A522" s="487"/>
      <c r="B522" s="490"/>
      <c r="C522" s="493"/>
      <c r="D522" s="390">
        <v>8</v>
      </c>
      <c r="E522" s="399">
        <v>520</v>
      </c>
      <c r="F522" s="474"/>
      <c r="G522" s="283"/>
      <c r="H522" s="283"/>
      <c r="I522" s="283"/>
      <c r="J522" s="283"/>
      <c r="K522" s="300"/>
      <c r="L522" s="484" t="str">
        <f t="shared" si="102"/>
        <v/>
      </c>
      <c r="M522" s="285"/>
      <c r="N522" s="402"/>
      <c r="O522" s="286"/>
      <c r="P522" s="408"/>
      <c r="Q522" s="286"/>
      <c r="R522" s="413" t="str">
        <f t="shared" si="103"/>
        <v/>
      </c>
      <c r="S522" s="419" t="str">
        <f t="shared" si="104"/>
        <v>:NAME</v>
      </c>
      <c r="T522" s="286"/>
      <c r="U522" s="287"/>
      <c r="V522" s="287"/>
      <c r="W522" s="287"/>
      <c r="X522" s="287"/>
      <c r="Y522" s="287"/>
      <c r="Z522" s="288"/>
      <c r="AA522" s="289">
        <f t="shared" si="105"/>
        <v>0</v>
      </c>
      <c r="AB522" s="290"/>
      <c r="AC522" s="291"/>
      <c r="AD522" s="292"/>
      <c r="AE522" s="293"/>
      <c r="AG522" s="295"/>
    </row>
    <row r="523" spans="1:33" s="294" customFormat="1" x14ac:dyDescent="0.25">
      <c r="A523" s="487"/>
      <c r="B523" s="490"/>
      <c r="C523" s="493"/>
      <c r="D523" s="390">
        <v>9</v>
      </c>
      <c r="E523" s="399">
        <v>521</v>
      </c>
      <c r="F523" s="474"/>
      <c r="G523" s="283"/>
      <c r="H523" s="283"/>
      <c r="I523" s="283"/>
      <c r="J523" s="283"/>
      <c r="K523" s="300"/>
      <c r="L523" s="484" t="str">
        <f t="shared" si="102"/>
        <v/>
      </c>
      <c r="M523" s="285"/>
      <c r="N523" s="402"/>
      <c r="O523" s="286"/>
      <c r="P523" s="408"/>
      <c r="Q523" s="286"/>
      <c r="R523" s="413" t="str">
        <f t="shared" si="103"/>
        <v/>
      </c>
      <c r="S523" s="419" t="str">
        <f t="shared" si="104"/>
        <v>:NAME</v>
      </c>
      <c r="T523" s="286"/>
      <c r="U523" s="287"/>
      <c r="V523" s="287"/>
      <c r="W523" s="287"/>
      <c r="X523" s="287"/>
      <c r="Y523" s="287"/>
      <c r="Z523" s="288"/>
      <c r="AA523" s="289">
        <f t="shared" si="105"/>
        <v>0</v>
      </c>
      <c r="AB523" s="290"/>
      <c r="AC523" s="291"/>
      <c r="AD523" s="292"/>
      <c r="AE523" s="293"/>
      <c r="AG523" s="295"/>
    </row>
    <row r="524" spans="1:33" s="294" customFormat="1" x14ac:dyDescent="0.25">
      <c r="A524" s="487"/>
      <c r="B524" s="490"/>
      <c r="C524" s="493"/>
      <c r="D524" s="390">
        <v>10</v>
      </c>
      <c r="E524" s="399">
        <v>522</v>
      </c>
      <c r="F524" s="474"/>
      <c r="G524" s="283"/>
      <c r="H524" s="283"/>
      <c r="I524" s="283"/>
      <c r="J524" s="283"/>
      <c r="K524" s="300"/>
      <c r="L524" s="484" t="str">
        <f t="shared" si="102"/>
        <v/>
      </c>
      <c r="M524" s="285"/>
      <c r="N524" s="402"/>
      <c r="O524" s="286"/>
      <c r="P524" s="408"/>
      <c r="Q524" s="286"/>
      <c r="R524" s="413" t="str">
        <f t="shared" si="103"/>
        <v/>
      </c>
      <c r="S524" s="419" t="str">
        <f t="shared" si="104"/>
        <v>:NAME</v>
      </c>
      <c r="T524" s="286"/>
      <c r="U524" s="287"/>
      <c r="V524" s="287"/>
      <c r="W524" s="287"/>
      <c r="X524" s="287"/>
      <c r="Y524" s="287"/>
      <c r="Z524" s="288"/>
      <c r="AA524" s="289">
        <f t="shared" si="105"/>
        <v>0</v>
      </c>
      <c r="AB524" s="290"/>
      <c r="AC524" s="291"/>
      <c r="AD524" s="292"/>
      <c r="AE524" s="293"/>
      <c r="AG524" s="295"/>
    </row>
    <row r="525" spans="1:33" s="294" customFormat="1" x14ac:dyDescent="0.25">
      <c r="A525" s="487"/>
      <c r="B525" s="490"/>
      <c r="C525" s="493"/>
      <c r="D525" s="390">
        <v>11</v>
      </c>
      <c r="E525" s="399">
        <v>523</v>
      </c>
      <c r="F525" s="474"/>
      <c r="G525" s="283"/>
      <c r="H525" s="283"/>
      <c r="I525" s="283"/>
      <c r="J525" s="283"/>
      <c r="K525" s="300"/>
      <c r="L525" s="484" t="str">
        <f t="shared" si="102"/>
        <v/>
      </c>
      <c r="M525" s="285"/>
      <c r="N525" s="402"/>
      <c r="O525" s="286"/>
      <c r="P525" s="408"/>
      <c r="Q525" s="286"/>
      <c r="R525" s="413" t="str">
        <f t="shared" si="103"/>
        <v/>
      </c>
      <c r="S525" s="419" t="str">
        <f t="shared" si="104"/>
        <v>:NAME</v>
      </c>
      <c r="T525" s="286"/>
      <c r="U525" s="287"/>
      <c r="V525" s="287"/>
      <c r="W525" s="287"/>
      <c r="X525" s="287"/>
      <c r="Y525" s="287"/>
      <c r="Z525" s="288"/>
      <c r="AA525" s="289">
        <f t="shared" si="105"/>
        <v>0</v>
      </c>
      <c r="AB525" s="290"/>
      <c r="AC525" s="291"/>
      <c r="AD525" s="292"/>
      <c r="AE525" s="293"/>
      <c r="AG525" s="295"/>
    </row>
    <row r="526" spans="1:33" s="294" customFormat="1" x14ac:dyDescent="0.25">
      <c r="A526" s="487"/>
      <c r="B526" s="490"/>
      <c r="C526" s="493"/>
      <c r="D526" s="390">
        <v>12</v>
      </c>
      <c r="E526" s="399">
        <v>524</v>
      </c>
      <c r="F526" s="474"/>
      <c r="G526" s="283"/>
      <c r="H526" s="283"/>
      <c r="I526" s="283"/>
      <c r="J526" s="283"/>
      <c r="K526" s="300"/>
      <c r="L526" s="484" t="str">
        <f t="shared" si="102"/>
        <v/>
      </c>
      <c r="M526" s="285"/>
      <c r="N526" s="402"/>
      <c r="O526" s="286"/>
      <c r="P526" s="408"/>
      <c r="Q526" s="286"/>
      <c r="R526" s="413" t="str">
        <f t="shared" si="103"/>
        <v/>
      </c>
      <c r="S526" s="419" t="str">
        <f t="shared" si="104"/>
        <v>:NAME</v>
      </c>
      <c r="T526" s="286"/>
      <c r="U526" s="287"/>
      <c r="V526" s="287"/>
      <c r="W526" s="287"/>
      <c r="X526" s="287"/>
      <c r="Y526" s="287"/>
      <c r="Z526" s="288"/>
      <c r="AA526" s="289">
        <f t="shared" si="105"/>
        <v>0</v>
      </c>
      <c r="AB526" s="290"/>
      <c r="AC526" s="291"/>
      <c r="AD526" s="292"/>
      <c r="AE526" s="293"/>
      <c r="AG526" s="295"/>
    </row>
    <row r="527" spans="1:33" s="294" customFormat="1" x14ac:dyDescent="0.25">
      <c r="A527" s="487"/>
      <c r="B527" s="490"/>
      <c r="C527" s="493"/>
      <c r="D527" s="390">
        <v>13</v>
      </c>
      <c r="E527" s="399">
        <v>525</v>
      </c>
      <c r="F527" s="474"/>
      <c r="G527" s="283"/>
      <c r="H527" s="283"/>
      <c r="I527" s="283"/>
      <c r="J527" s="283"/>
      <c r="K527" s="300"/>
      <c r="L527" s="484" t="str">
        <f t="shared" si="102"/>
        <v/>
      </c>
      <c r="M527" s="285"/>
      <c r="N527" s="402"/>
      <c r="O527" s="286"/>
      <c r="P527" s="408"/>
      <c r="Q527" s="286"/>
      <c r="R527" s="413" t="str">
        <f t="shared" si="103"/>
        <v/>
      </c>
      <c r="S527" s="419" t="str">
        <f t="shared" si="104"/>
        <v>:NAME</v>
      </c>
      <c r="T527" s="286"/>
      <c r="U527" s="287"/>
      <c r="V527" s="287"/>
      <c r="W527" s="287"/>
      <c r="X527" s="287"/>
      <c r="Y527" s="287"/>
      <c r="Z527" s="288"/>
      <c r="AA527" s="289">
        <f t="shared" si="105"/>
        <v>0</v>
      </c>
      <c r="AB527" s="290"/>
      <c r="AC527" s="291"/>
      <c r="AD527" s="292"/>
      <c r="AE527" s="293"/>
      <c r="AG527" s="295"/>
    </row>
    <row r="528" spans="1:33" s="294" customFormat="1" x14ac:dyDescent="0.25">
      <c r="A528" s="487"/>
      <c r="B528" s="490"/>
      <c r="C528" s="493"/>
      <c r="D528" s="390">
        <v>14</v>
      </c>
      <c r="E528" s="399">
        <v>526</v>
      </c>
      <c r="F528" s="474"/>
      <c r="G528" s="283"/>
      <c r="H528" s="283"/>
      <c r="I528" s="283"/>
      <c r="J528" s="283"/>
      <c r="K528" s="300"/>
      <c r="L528" s="484" t="str">
        <f t="shared" si="102"/>
        <v/>
      </c>
      <c r="M528" s="285"/>
      <c r="N528" s="402"/>
      <c r="O528" s="286"/>
      <c r="P528" s="408"/>
      <c r="Q528" s="286"/>
      <c r="R528" s="413" t="str">
        <f t="shared" si="103"/>
        <v/>
      </c>
      <c r="S528" s="419" t="str">
        <f t="shared" si="104"/>
        <v>:NAME</v>
      </c>
      <c r="T528" s="286"/>
      <c r="U528" s="287"/>
      <c r="V528" s="287"/>
      <c r="W528" s="287"/>
      <c r="X528" s="287"/>
      <c r="Y528" s="287"/>
      <c r="Z528" s="288"/>
      <c r="AA528" s="289">
        <f t="shared" si="105"/>
        <v>0</v>
      </c>
      <c r="AB528" s="290"/>
      <c r="AC528" s="291"/>
      <c r="AD528" s="292"/>
      <c r="AE528" s="293"/>
      <c r="AG528" s="295"/>
    </row>
    <row r="529" spans="1:33" s="326" customFormat="1" ht="15.75" thickBot="1" x14ac:dyDescent="0.3">
      <c r="A529" s="488"/>
      <c r="B529" s="491"/>
      <c r="C529" s="494"/>
      <c r="D529" s="390">
        <v>15</v>
      </c>
      <c r="E529" s="399">
        <v>527</v>
      </c>
      <c r="F529" s="474"/>
      <c r="G529" s="283"/>
      <c r="H529" s="283"/>
      <c r="I529" s="283"/>
      <c r="J529" s="283"/>
      <c r="K529" s="300"/>
      <c r="L529" s="484" t="str">
        <f t="shared" si="102"/>
        <v/>
      </c>
      <c r="M529" s="285"/>
      <c r="N529" s="402"/>
      <c r="O529" s="286"/>
      <c r="P529" s="408"/>
      <c r="Q529" s="286"/>
      <c r="R529" s="413" t="str">
        <f t="shared" si="103"/>
        <v/>
      </c>
      <c r="S529" s="419" t="str">
        <f t="shared" si="104"/>
        <v>:NAME</v>
      </c>
      <c r="T529" s="288"/>
      <c r="U529" s="324"/>
      <c r="V529" s="324"/>
      <c r="W529" s="324"/>
      <c r="X529" s="324"/>
      <c r="Y529" s="287"/>
      <c r="Z529" s="288"/>
      <c r="AA529" s="289">
        <f t="shared" si="105"/>
        <v>0</v>
      </c>
      <c r="AB529" s="325"/>
      <c r="AC529" s="296"/>
      <c r="AD529" s="292"/>
      <c r="AE529" s="293"/>
      <c r="AG529" s="327"/>
    </row>
    <row r="530" spans="1:33" s="322" customFormat="1" x14ac:dyDescent="0.25">
      <c r="A530" s="486" t="s">
        <v>44</v>
      </c>
      <c r="B530" s="489" t="str">
        <f>LOOKUP(A530,Module,IO)</f>
        <v>.</v>
      </c>
      <c r="C530" s="492" t="s">
        <v>41</v>
      </c>
      <c r="D530" s="389" t="s">
        <v>160</v>
      </c>
      <c r="E530" s="398">
        <v>528</v>
      </c>
      <c r="F530" s="476"/>
      <c r="G530" s="268"/>
      <c r="H530" s="268"/>
      <c r="I530" s="268"/>
      <c r="J530" s="268"/>
      <c r="K530" s="318"/>
      <c r="L530" s="483" t="str">
        <f t="shared" si="102"/>
        <v/>
      </c>
      <c r="M530" s="270"/>
      <c r="N530" s="401"/>
      <c r="O530" s="271"/>
      <c r="P530" s="409"/>
      <c r="Q530" s="271"/>
      <c r="R530" s="412" t="str">
        <f t="shared" si="103"/>
        <v/>
      </c>
      <c r="S530" s="418" t="str">
        <f t="shared" si="104"/>
        <v>:NAME</v>
      </c>
      <c r="T530" s="273"/>
      <c r="U530" s="319"/>
      <c r="V530" s="319"/>
      <c r="W530" s="319"/>
      <c r="X530" s="319"/>
      <c r="Y530" s="272"/>
      <c r="Z530" s="273"/>
      <c r="AA530" s="274">
        <f t="shared" si="105"/>
        <v>0</v>
      </c>
      <c r="AB530" s="320"/>
      <c r="AC530" s="321"/>
      <c r="AD530" s="277"/>
      <c r="AE530" s="278"/>
      <c r="AG530" s="323"/>
    </row>
    <row r="531" spans="1:33" s="294" customFormat="1" x14ac:dyDescent="0.25">
      <c r="A531" s="487"/>
      <c r="B531" s="490"/>
      <c r="C531" s="493"/>
      <c r="D531" s="390">
        <v>1</v>
      </c>
      <c r="E531" s="399">
        <v>529</v>
      </c>
      <c r="F531" s="474"/>
      <c r="G531" s="283"/>
      <c r="H531" s="283"/>
      <c r="I531" s="283"/>
      <c r="J531" s="283"/>
      <c r="K531" s="300"/>
      <c r="L531" s="484" t="str">
        <f t="shared" ref="L531:L577" si="106">IF(G531&lt;&gt;"",$G$1&amp;":"&amp;G531&amp;":"&amp;H531&amp;":"&amp;I531&amp;":"&amp;(IF(K531&lt;&gt;"",J531&amp;":"&amp;K531,J531)),"")</f>
        <v/>
      </c>
      <c r="M531" s="285"/>
      <c r="N531" s="402"/>
      <c r="O531" s="286"/>
      <c r="P531" s="408"/>
      <c r="Q531" s="286"/>
      <c r="R531" s="413" t="str">
        <f t="shared" si="103"/>
        <v/>
      </c>
      <c r="S531" s="419" t="str">
        <f t="shared" si="104"/>
        <v>:NAME</v>
      </c>
      <c r="T531" s="286"/>
      <c r="U531" s="287"/>
      <c r="V531" s="287"/>
      <c r="W531" s="287"/>
      <c r="X531" s="287"/>
      <c r="Y531" s="287"/>
      <c r="Z531" s="288"/>
      <c r="AA531" s="289">
        <f t="shared" si="105"/>
        <v>0</v>
      </c>
      <c r="AB531" s="290"/>
      <c r="AC531" s="291"/>
      <c r="AD531" s="292"/>
      <c r="AE531" s="293"/>
      <c r="AG531" s="295"/>
    </row>
    <row r="532" spans="1:33" s="294" customFormat="1" x14ac:dyDescent="0.25">
      <c r="A532" s="487"/>
      <c r="B532" s="490"/>
      <c r="C532" s="493"/>
      <c r="D532" s="390">
        <v>2</v>
      </c>
      <c r="E532" s="399">
        <v>530</v>
      </c>
      <c r="F532" s="474"/>
      <c r="G532" s="283"/>
      <c r="H532" s="283"/>
      <c r="I532" s="283"/>
      <c r="J532" s="283"/>
      <c r="K532" s="300"/>
      <c r="L532" s="484" t="str">
        <f t="shared" si="106"/>
        <v/>
      </c>
      <c r="M532" s="285"/>
      <c r="N532" s="402"/>
      <c r="O532" s="286"/>
      <c r="P532" s="408"/>
      <c r="Q532" s="286"/>
      <c r="R532" s="413" t="str">
        <f t="shared" si="103"/>
        <v/>
      </c>
      <c r="S532" s="419" t="str">
        <f t="shared" si="104"/>
        <v>:NAME</v>
      </c>
      <c r="T532" s="286"/>
      <c r="U532" s="287"/>
      <c r="V532" s="287"/>
      <c r="W532" s="287"/>
      <c r="X532" s="287"/>
      <c r="Y532" s="287"/>
      <c r="Z532" s="288"/>
      <c r="AA532" s="289">
        <f t="shared" si="105"/>
        <v>0</v>
      </c>
      <c r="AB532" s="290"/>
      <c r="AC532" s="291"/>
      <c r="AD532" s="292"/>
      <c r="AE532" s="293"/>
      <c r="AG532" s="295"/>
    </row>
    <row r="533" spans="1:33" s="294" customFormat="1" x14ac:dyDescent="0.25">
      <c r="A533" s="487"/>
      <c r="B533" s="490"/>
      <c r="C533" s="493"/>
      <c r="D533" s="390">
        <v>3</v>
      </c>
      <c r="E533" s="399">
        <v>531</v>
      </c>
      <c r="F533" s="474"/>
      <c r="G533" s="283"/>
      <c r="H533" s="283"/>
      <c r="I533" s="283"/>
      <c r="J533" s="283"/>
      <c r="K533" s="300"/>
      <c r="L533" s="484" t="str">
        <f t="shared" si="106"/>
        <v/>
      </c>
      <c r="M533" s="285"/>
      <c r="N533" s="402"/>
      <c r="O533" s="286"/>
      <c r="P533" s="408"/>
      <c r="Q533" s="286"/>
      <c r="R533" s="413" t="str">
        <f t="shared" si="103"/>
        <v/>
      </c>
      <c r="S533" s="419" t="str">
        <f t="shared" si="104"/>
        <v>:NAME</v>
      </c>
      <c r="T533" s="286"/>
      <c r="U533" s="287"/>
      <c r="V533" s="287"/>
      <c r="W533" s="287"/>
      <c r="X533" s="287"/>
      <c r="Y533" s="287"/>
      <c r="Z533" s="288"/>
      <c r="AA533" s="289">
        <f t="shared" si="105"/>
        <v>0</v>
      </c>
      <c r="AB533" s="290"/>
      <c r="AC533" s="291"/>
      <c r="AD533" s="292"/>
      <c r="AE533" s="293"/>
      <c r="AG533" s="295"/>
    </row>
    <row r="534" spans="1:33" s="294" customFormat="1" x14ac:dyDescent="0.25">
      <c r="A534" s="487"/>
      <c r="B534" s="490"/>
      <c r="C534" s="493"/>
      <c r="D534" s="390">
        <v>4</v>
      </c>
      <c r="E534" s="399">
        <v>532</v>
      </c>
      <c r="F534" s="474"/>
      <c r="G534" s="283"/>
      <c r="H534" s="283"/>
      <c r="I534" s="283"/>
      <c r="J534" s="283"/>
      <c r="K534" s="300"/>
      <c r="L534" s="484" t="str">
        <f t="shared" si="106"/>
        <v/>
      </c>
      <c r="M534" s="285"/>
      <c r="N534" s="402"/>
      <c r="O534" s="286"/>
      <c r="P534" s="408"/>
      <c r="Q534" s="286"/>
      <c r="R534" s="413" t="str">
        <f t="shared" si="103"/>
        <v/>
      </c>
      <c r="S534" s="419" t="str">
        <f t="shared" si="104"/>
        <v>:NAME</v>
      </c>
      <c r="T534" s="286"/>
      <c r="U534" s="287"/>
      <c r="V534" s="287"/>
      <c r="W534" s="287"/>
      <c r="X534" s="287"/>
      <c r="Y534" s="287"/>
      <c r="Z534" s="288"/>
      <c r="AA534" s="289">
        <f t="shared" si="105"/>
        <v>0</v>
      </c>
      <c r="AB534" s="290"/>
      <c r="AC534" s="291"/>
      <c r="AD534" s="292"/>
      <c r="AE534" s="293"/>
      <c r="AG534" s="295"/>
    </row>
    <row r="535" spans="1:33" s="294" customFormat="1" x14ac:dyDescent="0.25">
      <c r="A535" s="487"/>
      <c r="B535" s="490"/>
      <c r="C535" s="493"/>
      <c r="D535" s="390">
        <v>5</v>
      </c>
      <c r="E535" s="399">
        <v>533</v>
      </c>
      <c r="F535" s="474"/>
      <c r="G535" s="283"/>
      <c r="H535" s="283"/>
      <c r="I535" s="283"/>
      <c r="J535" s="283"/>
      <c r="K535" s="300"/>
      <c r="L535" s="484" t="str">
        <f t="shared" si="106"/>
        <v/>
      </c>
      <c r="M535" s="285"/>
      <c r="N535" s="402"/>
      <c r="O535" s="286"/>
      <c r="P535" s="408"/>
      <c r="Q535" s="286"/>
      <c r="R535" s="413" t="str">
        <f t="shared" si="103"/>
        <v/>
      </c>
      <c r="S535" s="419" t="str">
        <f t="shared" si="104"/>
        <v>:NAME</v>
      </c>
      <c r="T535" s="286"/>
      <c r="U535" s="287"/>
      <c r="V535" s="287"/>
      <c r="W535" s="287"/>
      <c r="X535" s="287"/>
      <c r="Y535" s="287"/>
      <c r="Z535" s="288"/>
      <c r="AA535" s="289">
        <f t="shared" si="105"/>
        <v>0</v>
      </c>
      <c r="AB535" s="290"/>
      <c r="AC535" s="291"/>
      <c r="AD535" s="292"/>
      <c r="AE535" s="293"/>
      <c r="AG535" s="295"/>
    </row>
    <row r="536" spans="1:33" s="294" customFormat="1" x14ac:dyDescent="0.25">
      <c r="A536" s="487"/>
      <c r="B536" s="490"/>
      <c r="C536" s="493"/>
      <c r="D536" s="390">
        <v>6</v>
      </c>
      <c r="E536" s="399">
        <v>534</v>
      </c>
      <c r="F536" s="474"/>
      <c r="G536" s="283"/>
      <c r="H536" s="283"/>
      <c r="I536" s="283"/>
      <c r="J536" s="283"/>
      <c r="K536" s="300"/>
      <c r="L536" s="484" t="str">
        <f t="shared" si="106"/>
        <v/>
      </c>
      <c r="M536" s="285"/>
      <c r="N536" s="402"/>
      <c r="O536" s="286"/>
      <c r="P536" s="408"/>
      <c r="Q536" s="286"/>
      <c r="R536" s="413" t="str">
        <f t="shared" si="103"/>
        <v/>
      </c>
      <c r="S536" s="419" t="str">
        <f t="shared" si="104"/>
        <v>:NAME</v>
      </c>
      <c r="T536" s="286"/>
      <c r="U536" s="287"/>
      <c r="V536" s="287"/>
      <c r="W536" s="287"/>
      <c r="X536" s="287"/>
      <c r="Y536" s="287"/>
      <c r="Z536" s="288"/>
      <c r="AA536" s="289">
        <f t="shared" si="105"/>
        <v>0</v>
      </c>
      <c r="AB536" s="290"/>
      <c r="AC536" s="291"/>
      <c r="AD536" s="292"/>
      <c r="AE536" s="293"/>
      <c r="AG536" s="295"/>
    </row>
    <row r="537" spans="1:33" s="294" customFormat="1" x14ac:dyDescent="0.25">
      <c r="A537" s="487"/>
      <c r="B537" s="490"/>
      <c r="C537" s="493"/>
      <c r="D537" s="390">
        <v>7</v>
      </c>
      <c r="E537" s="399">
        <v>535</v>
      </c>
      <c r="F537" s="474"/>
      <c r="G537" s="283"/>
      <c r="H537" s="283"/>
      <c r="I537" s="283"/>
      <c r="J537" s="283"/>
      <c r="K537" s="300"/>
      <c r="L537" s="484" t="str">
        <f t="shared" si="106"/>
        <v/>
      </c>
      <c r="M537" s="328"/>
      <c r="N537" s="402"/>
      <c r="O537" s="286"/>
      <c r="P537" s="408"/>
      <c r="Q537" s="286"/>
      <c r="R537" s="413" t="str">
        <f t="shared" si="103"/>
        <v/>
      </c>
      <c r="S537" s="419" t="str">
        <f t="shared" si="104"/>
        <v>:NAME</v>
      </c>
      <c r="T537" s="286"/>
      <c r="U537" s="287"/>
      <c r="V537" s="287"/>
      <c r="W537" s="287"/>
      <c r="X537" s="287"/>
      <c r="Y537" s="287"/>
      <c r="Z537" s="288"/>
      <c r="AA537" s="289">
        <f t="shared" si="105"/>
        <v>0</v>
      </c>
      <c r="AB537" s="291"/>
      <c r="AC537" s="291"/>
      <c r="AD537" s="292"/>
      <c r="AE537" s="293"/>
      <c r="AG537" s="295"/>
    </row>
    <row r="538" spans="1:33" s="294" customFormat="1" x14ac:dyDescent="0.25">
      <c r="A538" s="487"/>
      <c r="B538" s="490"/>
      <c r="C538" s="493"/>
      <c r="D538" s="390">
        <v>8</v>
      </c>
      <c r="E538" s="399">
        <v>536</v>
      </c>
      <c r="F538" s="474"/>
      <c r="G538" s="283"/>
      <c r="H538" s="283"/>
      <c r="I538" s="283"/>
      <c r="J538" s="283"/>
      <c r="K538" s="300"/>
      <c r="L538" s="484" t="str">
        <f t="shared" si="106"/>
        <v/>
      </c>
      <c r="M538" s="328"/>
      <c r="N538" s="402"/>
      <c r="O538" s="286"/>
      <c r="P538" s="408"/>
      <c r="Q538" s="286"/>
      <c r="R538" s="413" t="str">
        <f t="shared" si="103"/>
        <v/>
      </c>
      <c r="S538" s="419" t="str">
        <f t="shared" si="104"/>
        <v>:NAME</v>
      </c>
      <c r="T538" s="286"/>
      <c r="U538" s="287"/>
      <c r="V538" s="287"/>
      <c r="W538" s="287"/>
      <c r="X538" s="287"/>
      <c r="Y538" s="287"/>
      <c r="Z538" s="288"/>
      <c r="AA538" s="289">
        <f t="shared" si="105"/>
        <v>0</v>
      </c>
      <c r="AB538" s="291"/>
      <c r="AC538" s="291"/>
      <c r="AD538" s="292"/>
      <c r="AE538" s="293"/>
      <c r="AG538" s="295"/>
    </row>
    <row r="539" spans="1:33" s="294" customFormat="1" x14ac:dyDescent="0.25">
      <c r="A539" s="487"/>
      <c r="B539" s="490"/>
      <c r="C539" s="493"/>
      <c r="D539" s="390">
        <v>9</v>
      </c>
      <c r="E539" s="399">
        <v>537</v>
      </c>
      <c r="F539" s="474"/>
      <c r="G539" s="283"/>
      <c r="H539" s="283"/>
      <c r="I539" s="283"/>
      <c r="J539" s="283"/>
      <c r="K539" s="300"/>
      <c r="L539" s="484" t="str">
        <f t="shared" si="106"/>
        <v/>
      </c>
      <c r="M539" s="328"/>
      <c r="N539" s="402"/>
      <c r="O539" s="286"/>
      <c r="P539" s="408"/>
      <c r="Q539" s="286"/>
      <c r="R539" s="413" t="str">
        <f t="shared" si="103"/>
        <v/>
      </c>
      <c r="S539" s="419" t="str">
        <f t="shared" si="104"/>
        <v>:NAME</v>
      </c>
      <c r="T539" s="286"/>
      <c r="U539" s="287"/>
      <c r="V539" s="287"/>
      <c r="W539" s="287"/>
      <c r="X539" s="287"/>
      <c r="Y539" s="287"/>
      <c r="Z539" s="288"/>
      <c r="AA539" s="289">
        <f t="shared" si="105"/>
        <v>0</v>
      </c>
      <c r="AB539" s="291"/>
      <c r="AC539" s="291"/>
      <c r="AD539" s="292"/>
      <c r="AE539" s="293"/>
      <c r="AG539" s="295"/>
    </row>
    <row r="540" spans="1:33" s="294" customFormat="1" x14ac:dyDescent="0.25">
      <c r="A540" s="487"/>
      <c r="B540" s="490"/>
      <c r="C540" s="493"/>
      <c r="D540" s="390">
        <v>10</v>
      </c>
      <c r="E540" s="399">
        <v>538</v>
      </c>
      <c r="F540" s="474"/>
      <c r="G540" s="283"/>
      <c r="H540" s="283"/>
      <c r="I540" s="283"/>
      <c r="J540" s="283"/>
      <c r="K540" s="300"/>
      <c r="L540" s="484" t="str">
        <f t="shared" si="106"/>
        <v/>
      </c>
      <c r="M540" s="328"/>
      <c r="N540" s="402"/>
      <c r="O540" s="286"/>
      <c r="P540" s="408"/>
      <c r="Q540" s="286"/>
      <c r="R540" s="413" t="str">
        <f t="shared" si="103"/>
        <v/>
      </c>
      <c r="S540" s="419" t="str">
        <f t="shared" si="104"/>
        <v>:NAME</v>
      </c>
      <c r="T540" s="286"/>
      <c r="U540" s="287"/>
      <c r="V540" s="287"/>
      <c r="W540" s="287"/>
      <c r="X540" s="287"/>
      <c r="Y540" s="287"/>
      <c r="Z540" s="288"/>
      <c r="AA540" s="289">
        <f t="shared" si="105"/>
        <v>0</v>
      </c>
      <c r="AB540" s="291"/>
      <c r="AC540" s="291"/>
      <c r="AD540" s="292"/>
      <c r="AE540" s="293"/>
      <c r="AG540" s="295"/>
    </row>
    <row r="541" spans="1:33" s="294" customFormat="1" x14ac:dyDescent="0.25">
      <c r="A541" s="487"/>
      <c r="B541" s="490"/>
      <c r="C541" s="493"/>
      <c r="D541" s="390">
        <v>11</v>
      </c>
      <c r="E541" s="399">
        <v>539</v>
      </c>
      <c r="F541" s="474"/>
      <c r="G541" s="283"/>
      <c r="H541" s="283"/>
      <c r="I541" s="283"/>
      <c r="J541" s="283"/>
      <c r="K541" s="300"/>
      <c r="L541" s="484" t="str">
        <f t="shared" si="106"/>
        <v/>
      </c>
      <c r="M541" s="328"/>
      <c r="N541" s="402"/>
      <c r="O541" s="286"/>
      <c r="P541" s="408"/>
      <c r="Q541" s="286"/>
      <c r="R541" s="413" t="str">
        <f t="shared" si="103"/>
        <v/>
      </c>
      <c r="S541" s="419" t="str">
        <f t="shared" si="104"/>
        <v>:NAME</v>
      </c>
      <c r="T541" s="286"/>
      <c r="U541" s="287"/>
      <c r="V541" s="287"/>
      <c r="W541" s="287"/>
      <c r="X541" s="287"/>
      <c r="Y541" s="287"/>
      <c r="Z541" s="288"/>
      <c r="AA541" s="289">
        <f t="shared" si="105"/>
        <v>0</v>
      </c>
      <c r="AB541" s="291"/>
      <c r="AC541" s="291"/>
      <c r="AD541" s="292"/>
      <c r="AE541" s="293"/>
      <c r="AG541" s="295"/>
    </row>
    <row r="542" spans="1:33" s="294" customFormat="1" x14ac:dyDescent="0.25">
      <c r="A542" s="487"/>
      <c r="B542" s="490"/>
      <c r="C542" s="493"/>
      <c r="D542" s="390">
        <v>12</v>
      </c>
      <c r="E542" s="399">
        <v>540</v>
      </c>
      <c r="F542" s="474"/>
      <c r="G542" s="283"/>
      <c r="H542" s="283"/>
      <c r="I542" s="283"/>
      <c r="J542" s="283"/>
      <c r="K542" s="300"/>
      <c r="L542" s="484" t="str">
        <f t="shared" si="106"/>
        <v/>
      </c>
      <c r="M542" s="328"/>
      <c r="N542" s="402"/>
      <c r="O542" s="286"/>
      <c r="P542" s="408"/>
      <c r="Q542" s="286"/>
      <c r="R542" s="413" t="str">
        <f t="shared" si="103"/>
        <v/>
      </c>
      <c r="S542" s="419" t="str">
        <f t="shared" si="104"/>
        <v>:NAME</v>
      </c>
      <c r="T542" s="286"/>
      <c r="U542" s="287"/>
      <c r="V542" s="287"/>
      <c r="W542" s="287"/>
      <c r="X542" s="287"/>
      <c r="Y542" s="287"/>
      <c r="Z542" s="288"/>
      <c r="AA542" s="289">
        <f t="shared" si="105"/>
        <v>0</v>
      </c>
      <c r="AB542" s="291"/>
      <c r="AC542" s="291"/>
      <c r="AD542" s="292"/>
      <c r="AE542" s="293"/>
      <c r="AG542" s="295"/>
    </row>
    <row r="543" spans="1:33" s="294" customFormat="1" x14ac:dyDescent="0.25">
      <c r="A543" s="487"/>
      <c r="B543" s="490"/>
      <c r="C543" s="493"/>
      <c r="D543" s="390">
        <v>13</v>
      </c>
      <c r="E543" s="399">
        <v>541</v>
      </c>
      <c r="F543" s="474"/>
      <c r="G543" s="283"/>
      <c r="H543" s="283"/>
      <c r="I543" s="283"/>
      <c r="J543" s="283"/>
      <c r="K543" s="300"/>
      <c r="L543" s="484" t="str">
        <f t="shared" si="106"/>
        <v/>
      </c>
      <c r="M543" s="328"/>
      <c r="N543" s="402"/>
      <c r="O543" s="286"/>
      <c r="P543" s="408"/>
      <c r="Q543" s="286"/>
      <c r="R543" s="413" t="str">
        <f t="shared" si="103"/>
        <v/>
      </c>
      <c r="S543" s="419" t="str">
        <f t="shared" si="104"/>
        <v>:NAME</v>
      </c>
      <c r="T543" s="286"/>
      <c r="U543" s="287"/>
      <c r="V543" s="287"/>
      <c r="W543" s="287"/>
      <c r="X543" s="287"/>
      <c r="Y543" s="287"/>
      <c r="Z543" s="288"/>
      <c r="AA543" s="289">
        <f t="shared" si="105"/>
        <v>0</v>
      </c>
      <c r="AB543" s="291"/>
      <c r="AC543" s="291"/>
      <c r="AD543" s="292"/>
      <c r="AE543" s="293"/>
      <c r="AG543" s="295"/>
    </row>
    <row r="544" spans="1:33" s="294" customFormat="1" x14ac:dyDescent="0.25">
      <c r="A544" s="487"/>
      <c r="B544" s="490"/>
      <c r="C544" s="493"/>
      <c r="D544" s="390">
        <v>14</v>
      </c>
      <c r="E544" s="396">
        <v>542</v>
      </c>
      <c r="F544" s="474"/>
      <c r="G544" s="283"/>
      <c r="H544" s="283"/>
      <c r="I544" s="283"/>
      <c r="J544" s="283"/>
      <c r="K544" s="300"/>
      <c r="L544" s="484" t="str">
        <f t="shared" si="106"/>
        <v/>
      </c>
      <c r="M544" s="328"/>
      <c r="N544" s="402"/>
      <c r="O544" s="286"/>
      <c r="P544" s="408"/>
      <c r="Q544" s="286"/>
      <c r="R544" s="413" t="str">
        <f t="shared" si="103"/>
        <v/>
      </c>
      <c r="S544" s="419" t="str">
        <f t="shared" si="104"/>
        <v>:NAME</v>
      </c>
      <c r="T544" s="286"/>
      <c r="U544" s="287"/>
      <c r="V544" s="287"/>
      <c r="W544" s="287"/>
      <c r="X544" s="287"/>
      <c r="Y544" s="287"/>
      <c r="Z544" s="288"/>
      <c r="AA544" s="289">
        <f t="shared" si="105"/>
        <v>0</v>
      </c>
      <c r="AB544" s="291"/>
      <c r="AC544" s="291"/>
      <c r="AD544" s="292"/>
      <c r="AE544" s="293"/>
      <c r="AG544" s="295"/>
    </row>
    <row r="545" spans="1:33" s="326" customFormat="1" ht="15.75" thickBot="1" x14ac:dyDescent="0.3">
      <c r="A545" s="488"/>
      <c r="B545" s="491"/>
      <c r="C545" s="494"/>
      <c r="D545" s="390">
        <v>15</v>
      </c>
      <c r="E545" s="396">
        <v>543</v>
      </c>
      <c r="F545" s="474"/>
      <c r="G545" s="283"/>
      <c r="H545" s="283"/>
      <c r="I545" s="283"/>
      <c r="J545" s="283"/>
      <c r="K545" s="300"/>
      <c r="L545" s="484" t="str">
        <f t="shared" si="106"/>
        <v/>
      </c>
      <c r="M545" s="328"/>
      <c r="N545" s="402"/>
      <c r="O545" s="286"/>
      <c r="P545" s="408"/>
      <c r="Q545" s="286"/>
      <c r="R545" s="413" t="str">
        <f t="shared" si="103"/>
        <v/>
      </c>
      <c r="S545" s="419" t="str">
        <f t="shared" si="104"/>
        <v>:NAME</v>
      </c>
      <c r="T545" s="288"/>
      <c r="U545" s="324"/>
      <c r="V545" s="324"/>
      <c r="W545" s="324"/>
      <c r="X545" s="324"/>
      <c r="Y545" s="287"/>
      <c r="Z545" s="288"/>
      <c r="AA545" s="289">
        <f t="shared" si="105"/>
        <v>0</v>
      </c>
      <c r="AB545" s="281"/>
      <c r="AC545" s="296"/>
      <c r="AD545" s="292"/>
      <c r="AE545" s="293"/>
      <c r="AG545" s="327"/>
    </row>
    <row r="546" spans="1:33" s="279" customFormat="1" x14ac:dyDescent="0.25">
      <c r="A546" s="486" t="s">
        <v>44</v>
      </c>
      <c r="B546" s="489" t="str">
        <f>LOOKUP(A546,Module,IO)</f>
        <v>.</v>
      </c>
      <c r="C546" s="492" t="s">
        <v>42</v>
      </c>
      <c r="D546" s="389" t="s">
        <v>160</v>
      </c>
      <c r="E546" s="395">
        <v>544</v>
      </c>
      <c r="F546" s="476"/>
      <c r="G546" s="268"/>
      <c r="H546" s="268"/>
      <c r="I546" s="268"/>
      <c r="J546" s="268"/>
      <c r="K546" s="318"/>
      <c r="L546" s="483" t="str">
        <f t="shared" si="106"/>
        <v/>
      </c>
      <c r="M546" s="329"/>
      <c r="N546" s="401"/>
      <c r="O546" s="271"/>
      <c r="P546" s="409"/>
      <c r="Q546" s="271"/>
      <c r="R546" s="412" t="str">
        <f t="shared" si="103"/>
        <v/>
      </c>
      <c r="S546" s="418" t="str">
        <f t="shared" si="104"/>
        <v>:NAME</v>
      </c>
      <c r="T546" s="271"/>
      <c r="U546" s="272"/>
      <c r="V546" s="272"/>
      <c r="W546" s="272"/>
      <c r="X546" s="272"/>
      <c r="Y546" s="272"/>
      <c r="Z546" s="273"/>
      <c r="AA546" s="274">
        <f t="shared" si="105"/>
        <v>0</v>
      </c>
      <c r="AB546" s="276"/>
      <c r="AC546" s="276"/>
      <c r="AD546" s="277"/>
      <c r="AE546" s="278"/>
      <c r="AG546" s="280"/>
    </row>
    <row r="547" spans="1:33" s="294" customFormat="1" x14ac:dyDescent="0.25">
      <c r="A547" s="487"/>
      <c r="B547" s="490"/>
      <c r="C547" s="493"/>
      <c r="D547" s="390">
        <v>1</v>
      </c>
      <c r="E547" s="396">
        <v>545</v>
      </c>
      <c r="F547" s="474"/>
      <c r="G547" s="283"/>
      <c r="H547" s="283"/>
      <c r="I547" s="283"/>
      <c r="J547" s="283"/>
      <c r="K547" s="300"/>
      <c r="L547" s="484" t="str">
        <f t="shared" si="106"/>
        <v/>
      </c>
      <c r="M547" s="328"/>
      <c r="N547" s="402"/>
      <c r="O547" s="286"/>
      <c r="P547" s="408"/>
      <c r="Q547" s="286"/>
      <c r="R547" s="413" t="str">
        <f t="shared" si="103"/>
        <v/>
      </c>
      <c r="S547" s="419" t="str">
        <f t="shared" si="104"/>
        <v>:NAME</v>
      </c>
      <c r="T547" s="286"/>
      <c r="U547" s="287"/>
      <c r="V547" s="287"/>
      <c r="W547" s="287"/>
      <c r="X547" s="287"/>
      <c r="Y547" s="287"/>
      <c r="Z547" s="288"/>
      <c r="AA547" s="289">
        <f t="shared" si="105"/>
        <v>0</v>
      </c>
      <c r="AB547" s="291"/>
      <c r="AC547" s="291"/>
      <c r="AD547" s="292"/>
      <c r="AE547" s="293"/>
      <c r="AG547" s="295"/>
    </row>
    <row r="548" spans="1:33" s="294" customFormat="1" x14ac:dyDescent="0.25">
      <c r="A548" s="487"/>
      <c r="B548" s="490"/>
      <c r="C548" s="493"/>
      <c r="D548" s="390">
        <v>2</v>
      </c>
      <c r="E548" s="396">
        <v>546</v>
      </c>
      <c r="F548" s="474"/>
      <c r="G548" s="283"/>
      <c r="H548" s="283"/>
      <c r="I548" s="283"/>
      <c r="J548" s="283"/>
      <c r="K548" s="300"/>
      <c r="L548" s="484" t="str">
        <f t="shared" si="106"/>
        <v/>
      </c>
      <c r="M548" s="328"/>
      <c r="N548" s="402"/>
      <c r="O548" s="286"/>
      <c r="P548" s="408"/>
      <c r="Q548" s="286"/>
      <c r="R548" s="413" t="str">
        <f t="shared" si="103"/>
        <v/>
      </c>
      <c r="S548" s="419" t="str">
        <f t="shared" si="104"/>
        <v>:NAME</v>
      </c>
      <c r="T548" s="286"/>
      <c r="U548" s="287"/>
      <c r="V548" s="287"/>
      <c r="W548" s="287"/>
      <c r="X548" s="287"/>
      <c r="Y548" s="287"/>
      <c r="Z548" s="288"/>
      <c r="AA548" s="289">
        <f t="shared" si="105"/>
        <v>0</v>
      </c>
      <c r="AB548" s="291"/>
      <c r="AC548" s="291"/>
      <c r="AD548" s="292"/>
      <c r="AE548" s="293"/>
      <c r="AG548" s="295"/>
    </row>
    <row r="549" spans="1:33" s="294" customFormat="1" x14ac:dyDescent="0.25">
      <c r="A549" s="487"/>
      <c r="B549" s="490"/>
      <c r="C549" s="493"/>
      <c r="D549" s="390">
        <v>3</v>
      </c>
      <c r="E549" s="396">
        <v>547</v>
      </c>
      <c r="F549" s="474"/>
      <c r="G549" s="283"/>
      <c r="H549" s="283"/>
      <c r="I549" s="283"/>
      <c r="J549" s="283"/>
      <c r="K549" s="300"/>
      <c r="L549" s="484" t="str">
        <f t="shared" si="106"/>
        <v/>
      </c>
      <c r="M549" s="328"/>
      <c r="N549" s="402"/>
      <c r="O549" s="286"/>
      <c r="P549" s="408"/>
      <c r="Q549" s="286"/>
      <c r="R549" s="413" t="str">
        <f t="shared" si="103"/>
        <v/>
      </c>
      <c r="S549" s="419" t="str">
        <f t="shared" si="104"/>
        <v>:NAME</v>
      </c>
      <c r="T549" s="286"/>
      <c r="U549" s="287"/>
      <c r="V549" s="287"/>
      <c r="W549" s="287"/>
      <c r="X549" s="287"/>
      <c r="Y549" s="287"/>
      <c r="Z549" s="288"/>
      <c r="AA549" s="289">
        <f t="shared" si="105"/>
        <v>0</v>
      </c>
      <c r="AB549" s="291"/>
      <c r="AC549" s="291"/>
      <c r="AD549" s="292"/>
      <c r="AE549" s="293"/>
      <c r="AG549" s="295"/>
    </row>
    <row r="550" spans="1:33" s="294" customFormat="1" x14ac:dyDescent="0.25">
      <c r="A550" s="487"/>
      <c r="B550" s="490"/>
      <c r="C550" s="493"/>
      <c r="D550" s="390">
        <v>4</v>
      </c>
      <c r="E550" s="396">
        <v>548</v>
      </c>
      <c r="F550" s="474"/>
      <c r="G550" s="283"/>
      <c r="H550" s="283"/>
      <c r="I550" s="283"/>
      <c r="J550" s="283"/>
      <c r="K550" s="300"/>
      <c r="L550" s="484" t="str">
        <f t="shared" si="106"/>
        <v/>
      </c>
      <c r="M550" s="328"/>
      <c r="N550" s="402"/>
      <c r="O550" s="286"/>
      <c r="P550" s="408"/>
      <c r="Q550" s="286"/>
      <c r="R550" s="413" t="str">
        <f t="shared" si="103"/>
        <v/>
      </c>
      <c r="S550" s="419" t="str">
        <f t="shared" si="104"/>
        <v>:NAME</v>
      </c>
      <c r="T550" s="286"/>
      <c r="U550" s="287"/>
      <c r="V550" s="287"/>
      <c r="W550" s="287"/>
      <c r="X550" s="287"/>
      <c r="Y550" s="287"/>
      <c r="Z550" s="288"/>
      <c r="AA550" s="289">
        <f t="shared" si="105"/>
        <v>0</v>
      </c>
      <c r="AB550" s="291"/>
      <c r="AC550" s="291"/>
      <c r="AD550" s="292"/>
      <c r="AE550" s="293"/>
      <c r="AG550" s="295"/>
    </row>
    <row r="551" spans="1:33" s="294" customFormat="1" x14ac:dyDescent="0.25">
      <c r="A551" s="487"/>
      <c r="B551" s="490"/>
      <c r="C551" s="493"/>
      <c r="D551" s="390">
        <v>5</v>
      </c>
      <c r="E551" s="396">
        <v>549</v>
      </c>
      <c r="F551" s="474"/>
      <c r="G551" s="283"/>
      <c r="H551" s="283"/>
      <c r="I551" s="283"/>
      <c r="J551" s="283"/>
      <c r="K551" s="300"/>
      <c r="L551" s="484" t="str">
        <f t="shared" si="106"/>
        <v/>
      </c>
      <c r="M551" s="328"/>
      <c r="N551" s="402"/>
      <c r="O551" s="286"/>
      <c r="P551" s="408"/>
      <c r="Q551" s="286"/>
      <c r="R551" s="413" t="str">
        <f t="shared" si="103"/>
        <v/>
      </c>
      <c r="S551" s="419" t="str">
        <f t="shared" si="104"/>
        <v>:NAME</v>
      </c>
      <c r="T551" s="286"/>
      <c r="U551" s="287"/>
      <c r="V551" s="287"/>
      <c r="W551" s="287"/>
      <c r="X551" s="287"/>
      <c r="Y551" s="287"/>
      <c r="Z551" s="288"/>
      <c r="AA551" s="289">
        <f t="shared" si="105"/>
        <v>0</v>
      </c>
      <c r="AB551" s="291"/>
      <c r="AC551" s="291"/>
      <c r="AD551" s="292"/>
      <c r="AE551" s="293"/>
      <c r="AG551" s="295"/>
    </row>
    <row r="552" spans="1:33" s="294" customFormat="1" x14ac:dyDescent="0.25">
      <c r="A552" s="487"/>
      <c r="B552" s="490"/>
      <c r="C552" s="493"/>
      <c r="D552" s="390">
        <v>6</v>
      </c>
      <c r="E552" s="396">
        <v>550</v>
      </c>
      <c r="F552" s="474"/>
      <c r="G552" s="283"/>
      <c r="H552" s="283"/>
      <c r="I552" s="283"/>
      <c r="J552" s="283"/>
      <c r="K552" s="300"/>
      <c r="L552" s="484" t="str">
        <f t="shared" si="106"/>
        <v/>
      </c>
      <c r="M552" s="328"/>
      <c r="N552" s="402"/>
      <c r="O552" s="286"/>
      <c r="P552" s="408"/>
      <c r="Q552" s="286"/>
      <c r="R552" s="413" t="str">
        <f t="shared" si="103"/>
        <v/>
      </c>
      <c r="S552" s="419" t="str">
        <f t="shared" si="104"/>
        <v>:NAME</v>
      </c>
      <c r="T552" s="286"/>
      <c r="U552" s="287"/>
      <c r="V552" s="287"/>
      <c r="W552" s="287"/>
      <c r="X552" s="287"/>
      <c r="Y552" s="287"/>
      <c r="Z552" s="288"/>
      <c r="AA552" s="289">
        <f t="shared" si="105"/>
        <v>0</v>
      </c>
      <c r="AB552" s="291"/>
      <c r="AC552" s="291"/>
      <c r="AD552" s="292"/>
      <c r="AE552" s="293"/>
      <c r="AG552" s="295"/>
    </row>
    <row r="553" spans="1:33" s="294" customFormat="1" x14ac:dyDescent="0.25">
      <c r="A553" s="487"/>
      <c r="B553" s="490"/>
      <c r="C553" s="493"/>
      <c r="D553" s="390">
        <v>7</v>
      </c>
      <c r="E553" s="396">
        <v>551</v>
      </c>
      <c r="F553" s="474"/>
      <c r="G553" s="283"/>
      <c r="H553" s="283"/>
      <c r="I553" s="283"/>
      <c r="J553" s="283"/>
      <c r="K553" s="300"/>
      <c r="L553" s="484" t="str">
        <f t="shared" si="106"/>
        <v/>
      </c>
      <c r="M553" s="328"/>
      <c r="N553" s="402"/>
      <c r="O553" s="286"/>
      <c r="P553" s="408"/>
      <c r="Q553" s="286"/>
      <c r="R553" s="413" t="str">
        <f t="shared" si="103"/>
        <v/>
      </c>
      <c r="S553" s="419" t="str">
        <f t="shared" si="104"/>
        <v>:NAME</v>
      </c>
      <c r="T553" s="286"/>
      <c r="U553" s="287"/>
      <c r="V553" s="287"/>
      <c r="W553" s="287"/>
      <c r="X553" s="287"/>
      <c r="Y553" s="287"/>
      <c r="Z553" s="288"/>
      <c r="AA553" s="289">
        <f t="shared" si="105"/>
        <v>0</v>
      </c>
      <c r="AB553" s="291"/>
      <c r="AC553" s="291"/>
      <c r="AD553" s="292"/>
      <c r="AE553" s="293"/>
      <c r="AG553" s="295"/>
    </row>
    <row r="554" spans="1:33" s="294" customFormat="1" x14ac:dyDescent="0.25">
      <c r="A554" s="487"/>
      <c r="B554" s="490"/>
      <c r="C554" s="493"/>
      <c r="D554" s="390">
        <v>8</v>
      </c>
      <c r="E554" s="396">
        <v>552</v>
      </c>
      <c r="F554" s="474"/>
      <c r="G554" s="283"/>
      <c r="H554" s="283"/>
      <c r="I554" s="283"/>
      <c r="J554" s="283"/>
      <c r="K554" s="300"/>
      <c r="L554" s="484" t="str">
        <f t="shared" si="106"/>
        <v/>
      </c>
      <c r="M554" s="328"/>
      <c r="N554" s="402"/>
      <c r="O554" s="286"/>
      <c r="P554" s="408"/>
      <c r="Q554" s="286"/>
      <c r="R554" s="413" t="str">
        <f t="shared" si="103"/>
        <v/>
      </c>
      <c r="S554" s="419" t="str">
        <f t="shared" si="104"/>
        <v>:NAME</v>
      </c>
      <c r="T554" s="286"/>
      <c r="U554" s="287"/>
      <c r="V554" s="287"/>
      <c r="W554" s="287"/>
      <c r="X554" s="287"/>
      <c r="Y554" s="287"/>
      <c r="Z554" s="288"/>
      <c r="AA554" s="289">
        <f t="shared" si="105"/>
        <v>0</v>
      </c>
      <c r="AB554" s="291"/>
      <c r="AC554" s="291"/>
      <c r="AD554" s="292"/>
      <c r="AE554" s="293"/>
      <c r="AG554" s="295"/>
    </row>
    <row r="555" spans="1:33" s="294" customFormat="1" x14ac:dyDescent="0.25">
      <c r="A555" s="487"/>
      <c r="B555" s="490"/>
      <c r="C555" s="493"/>
      <c r="D555" s="390">
        <v>9</v>
      </c>
      <c r="E555" s="396">
        <v>553</v>
      </c>
      <c r="F555" s="474"/>
      <c r="G555" s="283"/>
      <c r="H555" s="283"/>
      <c r="I555" s="283"/>
      <c r="J555" s="283"/>
      <c r="K555" s="300"/>
      <c r="L555" s="484" t="str">
        <f t="shared" si="106"/>
        <v/>
      </c>
      <c r="M555" s="328"/>
      <c r="N555" s="402"/>
      <c r="O555" s="286"/>
      <c r="P555" s="408"/>
      <c r="Q555" s="286"/>
      <c r="R555" s="413" t="str">
        <f t="shared" si="103"/>
        <v/>
      </c>
      <c r="S555" s="419" t="str">
        <f t="shared" si="104"/>
        <v>:NAME</v>
      </c>
      <c r="T555" s="286"/>
      <c r="U555" s="287"/>
      <c r="V555" s="287"/>
      <c r="W555" s="287"/>
      <c r="X555" s="287"/>
      <c r="Y555" s="287"/>
      <c r="Z555" s="288"/>
      <c r="AA555" s="289">
        <f t="shared" si="105"/>
        <v>0</v>
      </c>
      <c r="AB555" s="291"/>
      <c r="AC555" s="291"/>
      <c r="AD555" s="292"/>
      <c r="AE555" s="293"/>
      <c r="AG555" s="295"/>
    </row>
    <row r="556" spans="1:33" s="294" customFormat="1" x14ac:dyDescent="0.25">
      <c r="A556" s="487"/>
      <c r="B556" s="490"/>
      <c r="C556" s="493"/>
      <c r="D556" s="390">
        <v>10</v>
      </c>
      <c r="E556" s="396">
        <v>554</v>
      </c>
      <c r="F556" s="474"/>
      <c r="G556" s="283"/>
      <c r="H556" s="283"/>
      <c r="I556" s="283"/>
      <c r="J556" s="283"/>
      <c r="K556" s="300"/>
      <c r="L556" s="484" t="str">
        <f t="shared" si="106"/>
        <v/>
      </c>
      <c r="M556" s="328"/>
      <c r="N556" s="402"/>
      <c r="O556" s="286"/>
      <c r="P556" s="408"/>
      <c r="Q556" s="286"/>
      <c r="R556" s="413" t="str">
        <f t="shared" si="103"/>
        <v/>
      </c>
      <c r="S556" s="419" t="str">
        <f t="shared" si="104"/>
        <v>:NAME</v>
      </c>
      <c r="T556" s="286"/>
      <c r="U556" s="287"/>
      <c r="V556" s="287"/>
      <c r="W556" s="287"/>
      <c r="X556" s="287"/>
      <c r="Y556" s="287"/>
      <c r="Z556" s="288"/>
      <c r="AA556" s="289">
        <f t="shared" si="105"/>
        <v>0</v>
      </c>
      <c r="AB556" s="291"/>
      <c r="AC556" s="291"/>
      <c r="AD556" s="292"/>
      <c r="AE556" s="293"/>
      <c r="AG556" s="295"/>
    </row>
    <row r="557" spans="1:33" s="294" customFormat="1" x14ac:dyDescent="0.25">
      <c r="A557" s="487"/>
      <c r="B557" s="490"/>
      <c r="C557" s="493"/>
      <c r="D557" s="390">
        <v>11</v>
      </c>
      <c r="E557" s="396">
        <v>555</v>
      </c>
      <c r="F557" s="474"/>
      <c r="G557" s="283"/>
      <c r="H557" s="283"/>
      <c r="I557" s="283"/>
      <c r="J557" s="283"/>
      <c r="K557" s="300"/>
      <c r="L557" s="484" t="str">
        <f t="shared" si="106"/>
        <v/>
      </c>
      <c r="M557" s="328"/>
      <c r="N557" s="402"/>
      <c r="O557" s="286"/>
      <c r="P557" s="408"/>
      <c r="Q557" s="286"/>
      <c r="R557" s="413" t="str">
        <f t="shared" si="103"/>
        <v/>
      </c>
      <c r="S557" s="419" t="str">
        <f t="shared" si="104"/>
        <v>:NAME</v>
      </c>
      <c r="T557" s="286"/>
      <c r="U557" s="287"/>
      <c r="V557" s="287"/>
      <c r="W557" s="287"/>
      <c r="X557" s="287"/>
      <c r="Y557" s="287"/>
      <c r="Z557" s="288"/>
      <c r="AA557" s="289">
        <f t="shared" si="105"/>
        <v>0</v>
      </c>
      <c r="AB557" s="291"/>
      <c r="AC557" s="291"/>
      <c r="AD557" s="292"/>
      <c r="AE557" s="293"/>
      <c r="AG557" s="295"/>
    </row>
    <row r="558" spans="1:33" s="294" customFormat="1" x14ac:dyDescent="0.25">
      <c r="A558" s="487"/>
      <c r="B558" s="490"/>
      <c r="C558" s="493"/>
      <c r="D558" s="390">
        <v>12</v>
      </c>
      <c r="E558" s="396">
        <v>556</v>
      </c>
      <c r="F558" s="474"/>
      <c r="G558" s="283"/>
      <c r="H558" s="283"/>
      <c r="I558" s="283"/>
      <c r="J558" s="283"/>
      <c r="K558" s="300"/>
      <c r="L558" s="484" t="str">
        <f t="shared" si="106"/>
        <v/>
      </c>
      <c r="M558" s="328"/>
      <c r="N558" s="402"/>
      <c r="O558" s="286"/>
      <c r="P558" s="408"/>
      <c r="Q558" s="286"/>
      <c r="R558" s="413" t="str">
        <f t="shared" si="103"/>
        <v/>
      </c>
      <c r="S558" s="419" t="str">
        <f t="shared" si="104"/>
        <v>:NAME</v>
      </c>
      <c r="T558" s="286"/>
      <c r="U558" s="287"/>
      <c r="V558" s="287"/>
      <c r="W558" s="287"/>
      <c r="X558" s="287"/>
      <c r="Y558" s="287"/>
      <c r="Z558" s="288"/>
      <c r="AA558" s="289">
        <f t="shared" si="105"/>
        <v>0</v>
      </c>
      <c r="AB558" s="291"/>
      <c r="AC558" s="291"/>
      <c r="AD558" s="292"/>
      <c r="AE558" s="293"/>
      <c r="AG558" s="295"/>
    </row>
    <row r="559" spans="1:33" s="294" customFormat="1" x14ac:dyDescent="0.25">
      <c r="A559" s="487"/>
      <c r="B559" s="490"/>
      <c r="C559" s="493"/>
      <c r="D559" s="390">
        <v>13</v>
      </c>
      <c r="E559" s="396">
        <v>557</v>
      </c>
      <c r="F559" s="474"/>
      <c r="G559" s="283"/>
      <c r="H559" s="283"/>
      <c r="I559" s="283"/>
      <c r="J559" s="283"/>
      <c r="K559" s="300"/>
      <c r="L559" s="484" t="str">
        <f t="shared" si="106"/>
        <v/>
      </c>
      <c r="M559" s="328"/>
      <c r="N559" s="402"/>
      <c r="O559" s="286"/>
      <c r="P559" s="408"/>
      <c r="Q559" s="286"/>
      <c r="R559" s="413" t="str">
        <f t="shared" si="103"/>
        <v/>
      </c>
      <c r="S559" s="419" t="str">
        <f t="shared" si="104"/>
        <v>:NAME</v>
      </c>
      <c r="T559" s="286"/>
      <c r="U559" s="287"/>
      <c r="V559" s="287"/>
      <c r="W559" s="287"/>
      <c r="X559" s="287"/>
      <c r="Y559" s="287"/>
      <c r="Z559" s="288"/>
      <c r="AA559" s="289">
        <f t="shared" si="105"/>
        <v>0</v>
      </c>
      <c r="AB559" s="291"/>
      <c r="AC559" s="291"/>
      <c r="AD559" s="292"/>
      <c r="AE559" s="293"/>
      <c r="AG559" s="295"/>
    </row>
    <row r="560" spans="1:33" s="294" customFormat="1" x14ac:dyDescent="0.25">
      <c r="A560" s="487"/>
      <c r="B560" s="490"/>
      <c r="C560" s="493"/>
      <c r="D560" s="390">
        <v>14</v>
      </c>
      <c r="E560" s="396">
        <v>558</v>
      </c>
      <c r="F560" s="474"/>
      <c r="G560" s="283"/>
      <c r="H560" s="283"/>
      <c r="I560" s="283"/>
      <c r="J560" s="283"/>
      <c r="K560" s="300"/>
      <c r="L560" s="484" t="str">
        <f t="shared" si="106"/>
        <v/>
      </c>
      <c r="M560" s="328"/>
      <c r="N560" s="402"/>
      <c r="O560" s="286"/>
      <c r="P560" s="408"/>
      <c r="Q560" s="286"/>
      <c r="R560" s="413" t="str">
        <f t="shared" si="103"/>
        <v/>
      </c>
      <c r="S560" s="419" t="str">
        <f t="shared" si="104"/>
        <v>:NAME</v>
      </c>
      <c r="T560" s="286"/>
      <c r="U560" s="287"/>
      <c r="V560" s="287"/>
      <c r="W560" s="287"/>
      <c r="X560" s="287"/>
      <c r="Y560" s="287"/>
      <c r="Z560" s="288"/>
      <c r="AA560" s="289">
        <f t="shared" si="105"/>
        <v>0</v>
      </c>
      <c r="AB560" s="291"/>
      <c r="AC560" s="291"/>
      <c r="AD560" s="292"/>
      <c r="AE560" s="293"/>
      <c r="AG560" s="295"/>
    </row>
    <row r="561" spans="1:33" s="294" customFormat="1" ht="15.75" thickBot="1" x14ac:dyDescent="0.3">
      <c r="A561" s="488"/>
      <c r="B561" s="491"/>
      <c r="C561" s="494"/>
      <c r="D561" s="390">
        <v>15</v>
      </c>
      <c r="E561" s="396">
        <v>559</v>
      </c>
      <c r="F561" s="474"/>
      <c r="G561" s="283"/>
      <c r="H561" s="283"/>
      <c r="I561" s="283"/>
      <c r="J561" s="283"/>
      <c r="K561" s="300"/>
      <c r="L561" s="484" t="str">
        <f t="shared" si="106"/>
        <v/>
      </c>
      <c r="M561" s="328"/>
      <c r="N561" s="402"/>
      <c r="O561" s="286"/>
      <c r="P561" s="408"/>
      <c r="Q561" s="286"/>
      <c r="R561" s="413" t="str">
        <f t="shared" si="103"/>
        <v/>
      </c>
      <c r="S561" s="419" t="str">
        <f t="shared" si="104"/>
        <v>:NAME</v>
      </c>
      <c r="T561" s="286"/>
      <c r="U561" s="287"/>
      <c r="V561" s="287"/>
      <c r="W561" s="287"/>
      <c r="X561" s="287"/>
      <c r="Y561" s="287"/>
      <c r="Z561" s="288"/>
      <c r="AA561" s="289">
        <f t="shared" si="105"/>
        <v>0</v>
      </c>
      <c r="AB561" s="291"/>
      <c r="AC561" s="291"/>
      <c r="AD561" s="292"/>
      <c r="AE561" s="293"/>
      <c r="AG561" s="295"/>
    </row>
    <row r="562" spans="1:33" s="279" customFormat="1" x14ac:dyDescent="0.25">
      <c r="A562" s="486" t="s">
        <v>44</v>
      </c>
      <c r="B562" s="489" t="str">
        <f>LOOKUP(A562,Module,IO)</f>
        <v>.</v>
      </c>
      <c r="C562" s="492" t="s">
        <v>43</v>
      </c>
      <c r="D562" s="389" t="s">
        <v>160</v>
      </c>
      <c r="E562" s="395">
        <v>560</v>
      </c>
      <c r="F562" s="476"/>
      <c r="G562" s="268"/>
      <c r="H562" s="268"/>
      <c r="I562" s="268"/>
      <c r="J562" s="268"/>
      <c r="K562" s="318"/>
      <c r="L562" s="483" t="str">
        <f t="shared" si="106"/>
        <v/>
      </c>
      <c r="M562" s="329"/>
      <c r="N562" s="401"/>
      <c r="O562" s="271"/>
      <c r="P562" s="409"/>
      <c r="Q562" s="271"/>
      <c r="R562" s="412" t="str">
        <f t="shared" si="103"/>
        <v/>
      </c>
      <c r="S562" s="418" t="str">
        <f t="shared" si="104"/>
        <v>:NAME</v>
      </c>
      <c r="T562" s="271"/>
      <c r="U562" s="272"/>
      <c r="V562" s="272"/>
      <c r="W562" s="272"/>
      <c r="X562" s="272"/>
      <c r="Y562" s="272"/>
      <c r="Z562" s="273"/>
      <c r="AA562" s="274">
        <f t="shared" si="105"/>
        <v>0</v>
      </c>
      <c r="AB562" s="276"/>
      <c r="AC562" s="276"/>
      <c r="AD562" s="277"/>
      <c r="AE562" s="278"/>
      <c r="AG562" s="280"/>
    </row>
    <row r="563" spans="1:33" s="294" customFormat="1" x14ac:dyDescent="0.25">
      <c r="A563" s="487"/>
      <c r="B563" s="490"/>
      <c r="C563" s="493"/>
      <c r="D563" s="390">
        <v>1</v>
      </c>
      <c r="E563" s="396">
        <v>561</v>
      </c>
      <c r="F563" s="474"/>
      <c r="G563" s="283"/>
      <c r="H563" s="283"/>
      <c r="I563" s="283"/>
      <c r="J563" s="283"/>
      <c r="K563" s="300"/>
      <c r="L563" s="484" t="str">
        <f t="shared" si="106"/>
        <v/>
      </c>
      <c r="M563" s="328"/>
      <c r="N563" s="402"/>
      <c r="O563" s="286"/>
      <c r="P563" s="408"/>
      <c r="Q563" s="286"/>
      <c r="R563" s="413" t="str">
        <f t="shared" si="103"/>
        <v/>
      </c>
      <c r="S563" s="419" t="str">
        <f t="shared" si="104"/>
        <v>:NAME</v>
      </c>
      <c r="T563" s="286"/>
      <c r="U563" s="287"/>
      <c r="V563" s="287"/>
      <c r="W563" s="287"/>
      <c r="X563" s="287"/>
      <c r="Y563" s="287"/>
      <c r="Z563" s="288"/>
      <c r="AA563" s="289">
        <f t="shared" si="105"/>
        <v>0</v>
      </c>
      <c r="AB563" s="291"/>
      <c r="AC563" s="291"/>
      <c r="AD563" s="292"/>
      <c r="AE563" s="293"/>
      <c r="AG563" s="295"/>
    </row>
    <row r="564" spans="1:33" s="294" customFormat="1" x14ac:dyDescent="0.25">
      <c r="A564" s="487"/>
      <c r="B564" s="490"/>
      <c r="C564" s="493"/>
      <c r="D564" s="390">
        <v>2</v>
      </c>
      <c r="E564" s="396">
        <v>562</v>
      </c>
      <c r="F564" s="474"/>
      <c r="G564" s="283"/>
      <c r="H564" s="283"/>
      <c r="I564" s="283"/>
      <c r="J564" s="283"/>
      <c r="K564" s="300"/>
      <c r="L564" s="484" t="str">
        <f t="shared" si="106"/>
        <v/>
      </c>
      <c r="M564" s="328"/>
      <c r="N564" s="402"/>
      <c r="O564" s="286"/>
      <c r="P564" s="408"/>
      <c r="Q564" s="286"/>
      <c r="R564" s="413" t="str">
        <f t="shared" si="103"/>
        <v/>
      </c>
      <c r="S564" s="419" t="str">
        <f t="shared" si="104"/>
        <v>:NAME</v>
      </c>
      <c r="T564" s="286"/>
      <c r="U564" s="287"/>
      <c r="V564" s="287"/>
      <c r="W564" s="287"/>
      <c r="X564" s="287"/>
      <c r="Y564" s="287"/>
      <c r="Z564" s="288"/>
      <c r="AA564" s="289">
        <f t="shared" si="105"/>
        <v>0</v>
      </c>
      <c r="AB564" s="291"/>
      <c r="AC564" s="291"/>
      <c r="AD564" s="292"/>
      <c r="AE564" s="293"/>
      <c r="AG564" s="295"/>
    </row>
    <row r="565" spans="1:33" s="294" customFormat="1" x14ac:dyDescent="0.25">
      <c r="A565" s="487"/>
      <c r="B565" s="490"/>
      <c r="C565" s="493"/>
      <c r="D565" s="390">
        <v>3</v>
      </c>
      <c r="E565" s="396">
        <v>563</v>
      </c>
      <c r="F565" s="474"/>
      <c r="G565" s="283"/>
      <c r="H565" s="283"/>
      <c r="I565" s="283"/>
      <c r="J565" s="283"/>
      <c r="K565" s="300"/>
      <c r="L565" s="484" t="str">
        <f t="shared" si="106"/>
        <v/>
      </c>
      <c r="M565" s="328"/>
      <c r="N565" s="402"/>
      <c r="O565" s="286"/>
      <c r="P565" s="408"/>
      <c r="Q565" s="286"/>
      <c r="R565" s="413" t="str">
        <f t="shared" si="103"/>
        <v/>
      </c>
      <c r="S565" s="419" t="str">
        <f t="shared" si="104"/>
        <v>:NAME</v>
      </c>
      <c r="T565" s="286"/>
      <c r="U565" s="287"/>
      <c r="V565" s="287"/>
      <c r="W565" s="287"/>
      <c r="X565" s="287"/>
      <c r="Y565" s="287"/>
      <c r="Z565" s="288"/>
      <c r="AA565" s="289">
        <f t="shared" si="105"/>
        <v>0</v>
      </c>
      <c r="AB565" s="291"/>
      <c r="AC565" s="291"/>
      <c r="AD565" s="292"/>
      <c r="AE565" s="293"/>
      <c r="AG565" s="295"/>
    </row>
    <row r="566" spans="1:33" s="294" customFormat="1" x14ac:dyDescent="0.25">
      <c r="A566" s="487"/>
      <c r="B566" s="490"/>
      <c r="C566" s="493"/>
      <c r="D566" s="390">
        <v>4</v>
      </c>
      <c r="E566" s="396">
        <v>564</v>
      </c>
      <c r="F566" s="474"/>
      <c r="G566" s="283"/>
      <c r="H566" s="283"/>
      <c r="I566" s="283"/>
      <c r="J566" s="283"/>
      <c r="K566" s="300"/>
      <c r="L566" s="484" t="str">
        <f t="shared" si="106"/>
        <v/>
      </c>
      <c r="M566" s="328"/>
      <c r="N566" s="402"/>
      <c r="O566" s="286"/>
      <c r="P566" s="408"/>
      <c r="Q566" s="286"/>
      <c r="R566" s="413" t="str">
        <f t="shared" si="103"/>
        <v/>
      </c>
      <c r="S566" s="419" t="str">
        <f t="shared" si="104"/>
        <v>:NAME</v>
      </c>
      <c r="T566" s="286"/>
      <c r="U566" s="287"/>
      <c r="V566" s="287"/>
      <c r="W566" s="287"/>
      <c r="X566" s="287"/>
      <c r="Y566" s="287"/>
      <c r="Z566" s="288"/>
      <c r="AA566" s="289">
        <f t="shared" si="105"/>
        <v>0</v>
      </c>
      <c r="AB566" s="291"/>
      <c r="AC566" s="291"/>
      <c r="AD566" s="292"/>
      <c r="AE566" s="293"/>
      <c r="AG566" s="295"/>
    </row>
    <row r="567" spans="1:33" s="294" customFormat="1" x14ac:dyDescent="0.25">
      <c r="A567" s="487"/>
      <c r="B567" s="490"/>
      <c r="C567" s="493"/>
      <c r="D567" s="390">
        <v>5</v>
      </c>
      <c r="E567" s="396">
        <v>565</v>
      </c>
      <c r="F567" s="474"/>
      <c r="G567" s="283"/>
      <c r="H567" s="283"/>
      <c r="I567" s="283"/>
      <c r="J567" s="283"/>
      <c r="K567" s="300"/>
      <c r="L567" s="484" t="str">
        <f t="shared" si="106"/>
        <v/>
      </c>
      <c r="M567" s="328"/>
      <c r="N567" s="402"/>
      <c r="O567" s="286"/>
      <c r="P567" s="408"/>
      <c r="Q567" s="286"/>
      <c r="R567" s="413" t="str">
        <f t="shared" si="103"/>
        <v/>
      </c>
      <c r="S567" s="419" t="str">
        <f t="shared" si="104"/>
        <v>:NAME</v>
      </c>
      <c r="T567" s="286"/>
      <c r="U567" s="287"/>
      <c r="V567" s="287"/>
      <c r="W567" s="287"/>
      <c r="X567" s="287"/>
      <c r="Y567" s="287"/>
      <c r="Z567" s="288"/>
      <c r="AA567" s="289">
        <f t="shared" si="105"/>
        <v>0</v>
      </c>
      <c r="AB567" s="291"/>
      <c r="AC567" s="291"/>
      <c r="AD567" s="292"/>
      <c r="AE567" s="293"/>
      <c r="AG567" s="295"/>
    </row>
    <row r="568" spans="1:33" s="294" customFormat="1" x14ac:dyDescent="0.25">
      <c r="A568" s="487"/>
      <c r="B568" s="490"/>
      <c r="C568" s="493"/>
      <c r="D568" s="390">
        <v>6</v>
      </c>
      <c r="E568" s="396">
        <v>566</v>
      </c>
      <c r="F568" s="474"/>
      <c r="G568" s="283"/>
      <c r="H568" s="283"/>
      <c r="I568" s="283"/>
      <c r="J568" s="283"/>
      <c r="K568" s="300"/>
      <c r="L568" s="484" t="str">
        <f t="shared" si="106"/>
        <v/>
      </c>
      <c r="M568" s="328"/>
      <c r="N568" s="402"/>
      <c r="O568" s="286"/>
      <c r="P568" s="408"/>
      <c r="Q568" s="286"/>
      <c r="R568" s="413" t="str">
        <f t="shared" si="103"/>
        <v/>
      </c>
      <c r="S568" s="419" t="str">
        <f t="shared" si="104"/>
        <v>:NAME</v>
      </c>
      <c r="T568" s="286"/>
      <c r="U568" s="287"/>
      <c r="V568" s="287"/>
      <c r="W568" s="287"/>
      <c r="X568" s="287"/>
      <c r="Y568" s="287"/>
      <c r="Z568" s="288"/>
      <c r="AA568" s="289">
        <f t="shared" si="105"/>
        <v>0</v>
      </c>
      <c r="AB568" s="291"/>
      <c r="AC568" s="291"/>
      <c r="AD568" s="292"/>
      <c r="AE568" s="293"/>
      <c r="AG568" s="295"/>
    </row>
    <row r="569" spans="1:33" s="294" customFormat="1" x14ac:dyDescent="0.25">
      <c r="A569" s="487"/>
      <c r="B569" s="490"/>
      <c r="C569" s="493"/>
      <c r="D569" s="390">
        <v>7</v>
      </c>
      <c r="E569" s="396">
        <v>567</v>
      </c>
      <c r="F569" s="474"/>
      <c r="G569" s="283"/>
      <c r="H569" s="283"/>
      <c r="I569" s="283"/>
      <c r="J569" s="283"/>
      <c r="K569" s="300"/>
      <c r="L569" s="484" t="str">
        <f t="shared" si="106"/>
        <v/>
      </c>
      <c r="M569" s="328"/>
      <c r="N569" s="402"/>
      <c r="O569" s="286"/>
      <c r="P569" s="408"/>
      <c r="Q569" s="286"/>
      <c r="R569" s="413" t="str">
        <f t="shared" si="103"/>
        <v/>
      </c>
      <c r="S569" s="419" t="str">
        <f t="shared" si="104"/>
        <v>:NAME</v>
      </c>
      <c r="T569" s="286"/>
      <c r="U569" s="287"/>
      <c r="V569" s="287"/>
      <c r="W569" s="287"/>
      <c r="X569" s="287"/>
      <c r="Y569" s="287"/>
      <c r="Z569" s="288"/>
      <c r="AA569" s="289">
        <f t="shared" si="105"/>
        <v>0</v>
      </c>
      <c r="AB569" s="291"/>
      <c r="AC569" s="291"/>
      <c r="AD569" s="292"/>
      <c r="AE569" s="293"/>
      <c r="AG569" s="295"/>
    </row>
    <row r="570" spans="1:33" s="294" customFormat="1" x14ac:dyDescent="0.25">
      <c r="A570" s="487"/>
      <c r="B570" s="490"/>
      <c r="C570" s="493"/>
      <c r="D570" s="390">
        <v>8</v>
      </c>
      <c r="E570" s="396">
        <v>568</v>
      </c>
      <c r="F570" s="474"/>
      <c r="G570" s="283"/>
      <c r="H570" s="283"/>
      <c r="I570" s="283"/>
      <c r="J570" s="283"/>
      <c r="K570" s="300"/>
      <c r="L570" s="484" t="str">
        <f t="shared" si="106"/>
        <v/>
      </c>
      <c r="M570" s="328"/>
      <c r="N570" s="402"/>
      <c r="O570" s="286"/>
      <c r="P570" s="408"/>
      <c r="Q570" s="286"/>
      <c r="R570" s="413" t="str">
        <f t="shared" si="103"/>
        <v/>
      </c>
      <c r="S570" s="419" t="str">
        <f t="shared" si="104"/>
        <v>:NAME</v>
      </c>
      <c r="T570" s="286"/>
      <c r="U570" s="287"/>
      <c r="V570" s="287"/>
      <c r="W570" s="287"/>
      <c r="X570" s="287"/>
      <c r="Y570" s="287"/>
      <c r="Z570" s="288"/>
      <c r="AA570" s="289">
        <f t="shared" si="105"/>
        <v>0</v>
      </c>
      <c r="AB570" s="291"/>
      <c r="AC570" s="291"/>
      <c r="AD570" s="292"/>
      <c r="AE570" s="293"/>
      <c r="AG570" s="295"/>
    </row>
    <row r="571" spans="1:33" s="294" customFormat="1" x14ac:dyDescent="0.25">
      <c r="A571" s="487"/>
      <c r="B571" s="490"/>
      <c r="C571" s="493"/>
      <c r="D571" s="390">
        <v>9</v>
      </c>
      <c r="E571" s="396">
        <v>569</v>
      </c>
      <c r="F571" s="474"/>
      <c r="G571" s="283"/>
      <c r="H571" s="283"/>
      <c r="I571" s="283"/>
      <c r="J571" s="283"/>
      <c r="K571" s="300"/>
      <c r="L571" s="484" t="str">
        <f t="shared" si="106"/>
        <v/>
      </c>
      <c r="M571" s="328"/>
      <c r="N571" s="402"/>
      <c r="O571" s="286"/>
      <c r="P571" s="408"/>
      <c r="Q571" s="286"/>
      <c r="R571" s="413" t="str">
        <f t="shared" si="103"/>
        <v/>
      </c>
      <c r="S571" s="419" t="str">
        <f t="shared" si="104"/>
        <v>:NAME</v>
      </c>
      <c r="T571" s="286"/>
      <c r="U571" s="287"/>
      <c r="V571" s="287"/>
      <c r="W571" s="287"/>
      <c r="X571" s="287"/>
      <c r="Y571" s="287"/>
      <c r="Z571" s="288"/>
      <c r="AA571" s="289">
        <f t="shared" si="105"/>
        <v>0</v>
      </c>
      <c r="AB571" s="291"/>
      <c r="AC571" s="291"/>
      <c r="AD571" s="292"/>
      <c r="AE571" s="293"/>
      <c r="AG571" s="295"/>
    </row>
    <row r="572" spans="1:33" s="294" customFormat="1" x14ac:dyDescent="0.25">
      <c r="A572" s="487"/>
      <c r="B572" s="490"/>
      <c r="C572" s="493"/>
      <c r="D572" s="390">
        <v>10</v>
      </c>
      <c r="E572" s="396">
        <v>570</v>
      </c>
      <c r="F572" s="474"/>
      <c r="G572" s="283"/>
      <c r="H572" s="283"/>
      <c r="I572" s="283"/>
      <c r="J572" s="283"/>
      <c r="K572" s="300"/>
      <c r="L572" s="484" t="str">
        <f t="shared" si="106"/>
        <v/>
      </c>
      <c r="M572" s="328"/>
      <c r="N572" s="402"/>
      <c r="O572" s="286"/>
      <c r="P572" s="408"/>
      <c r="Q572" s="286"/>
      <c r="R572" s="413" t="str">
        <f t="shared" si="103"/>
        <v/>
      </c>
      <c r="S572" s="419" t="str">
        <f t="shared" si="104"/>
        <v>:NAME</v>
      </c>
      <c r="T572" s="286"/>
      <c r="U572" s="287"/>
      <c r="V572" s="287"/>
      <c r="W572" s="287"/>
      <c r="X572" s="287"/>
      <c r="Y572" s="287"/>
      <c r="Z572" s="288"/>
      <c r="AA572" s="289">
        <f t="shared" si="105"/>
        <v>0</v>
      </c>
      <c r="AB572" s="291"/>
      <c r="AC572" s="291"/>
      <c r="AD572" s="292"/>
      <c r="AE572" s="293"/>
      <c r="AG572" s="295"/>
    </row>
    <row r="573" spans="1:33" s="294" customFormat="1" x14ac:dyDescent="0.25">
      <c r="A573" s="487"/>
      <c r="B573" s="490"/>
      <c r="C573" s="493"/>
      <c r="D573" s="390">
        <v>11</v>
      </c>
      <c r="E573" s="396">
        <v>571</v>
      </c>
      <c r="F573" s="474"/>
      <c r="G573" s="283"/>
      <c r="H573" s="283"/>
      <c r="I573" s="283"/>
      <c r="J573" s="283"/>
      <c r="K573" s="300"/>
      <c r="L573" s="484" t="str">
        <f t="shared" si="106"/>
        <v/>
      </c>
      <c r="M573" s="328"/>
      <c r="N573" s="402"/>
      <c r="O573" s="286"/>
      <c r="P573" s="408"/>
      <c r="Q573" s="286"/>
      <c r="R573" s="413" t="str">
        <f t="shared" si="103"/>
        <v/>
      </c>
      <c r="S573" s="419" t="str">
        <f t="shared" si="104"/>
        <v>:NAME</v>
      </c>
      <c r="T573" s="286"/>
      <c r="U573" s="287"/>
      <c r="V573" s="287"/>
      <c r="W573" s="287"/>
      <c r="X573" s="287"/>
      <c r="Y573" s="287"/>
      <c r="Z573" s="288"/>
      <c r="AA573" s="289">
        <f t="shared" si="105"/>
        <v>0</v>
      </c>
      <c r="AB573" s="291"/>
      <c r="AC573" s="291"/>
      <c r="AD573" s="292"/>
      <c r="AE573" s="293"/>
      <c r="AG573" s="295"/>
    </row>
    <row r="574" spans="1:33" s="294" customFormat="1" x14ac:dyDescent="0.25">
      <c r="A574" s="487"/>
      <c r="B574" s="490"/>
      <c r="C574" s="493"/>
      <c r="D574" s="390">
        <v>12</v>
      </c>
      <c r="E574" s="396">
        <v>572</v>
      </c>
      <c r="F574" s="474"/>
      <c r="G574" s="283"/>
      <c r="H574" s="283"/>
      <c r="I574" s="283"/>
      <c r="J574" s="283"/>
      <c r="K574" s="300"/>
      <c r="L574" s="484" t="str">
        <f t="shared" si="106"/>
        <v/>
      </c>
      <c r="M574" s="328"/>
      <c r="N574" s="402"/>
      <c r="O574" s="286"/>
      <c r="P574" s="408"/>
      <c r="Q574" s="286"/>
      <c r="R574" s="413" t="str">
        <f t="shared" si="103"/>
        <v/>
      </c>
      <c r="S574" s="419" t="str">
        <f t="shared" si="104"/>
        <v>:NAME</v>
      </c>
      <c r="T574" s="286"/>
      <c r="U574" s="287"/>
      <c r="V574" s="287"/>
      <c r="W574" s="287"/>
      <c r="X574" s="287"/>
      <c r="Y574" s="287"/>
      <c r="Z574" s="288"/>
      <c r="AA574" s="289">
        <f t="shared" si="105"/>
        <v>0</v>
      </c>
      <c r="AB574" s="291"/>
      <c r="AC574" s="291"/>
      <c r="AD574" s="292"/>
      <c r="AE574" s="293"/>
      <c r="AG574" s="295"/>
    </row>
    <row r="575" spans="1:33" s="294" customFormat="1" x14ac:dyDescent="0.25">
      <c r="A575" s="487"/>
      <c r="B575" s="490"/>
      <c r="C575" s="493"/>
      <c r="D575" s="390">
        <v>13</v>
      </c>
      <c r="E575" s="396">
        <v>573</v>
      </c>
      <c r="F575" s="474"/>
      <c r="G575" s="283"/>
      <c r="H575" s="283"/>
      <c r="I575" s="283"/>
      <c r="J575" s="283"/>
      <c r="K575" s="300"/>
      <c r="L575" s="484" t="str">
        <f t="shared" si="106"/>
        <v/>
      </c>
      <c r="M575" s="328"/>
      <c r="N575" s="402"/>
      <c r="O575" s="286"/>
      <c r="P575" s="408"/>
      <c r="Q575" s="286"/>
      <c r="R575" s="413" t="str">
        <f t="shared" si="103"/>
        <v/>
      </c>
      <c r="S575" s="419" t="str">
        <f t="shared" si="104"/>
        <v>:NAME</v>
      </c>
      <c r="T575" s="286"/>
      <c r="U575" s="287"/>
      <c r="V575" s="287"/>
      <c r="W575" s="287"/>
      <c r="X575" s="287"/>
      <c r="Y575" s="287"/>
      <c r="Z575" s="288"/>
      <c r="AA575" s="289">
        <f t="shared" si="105"/>
        <v>0</v>
      </c>
      <c r="AB575" s="291"/>
      <c r="AC575" s="291"/>
      <c r="AD575" s="292"/>
      <c r="AE575" s="293"/>
      <c r="AG575" s="295"/>
    </row>
    <row r="576" spans="1:33" s="294" customFormat="1" x14ac:dyDescent="0.25">
      <c r="A576" s="487"/>
      <c r="B576" s="490"/>
      <c r="C576" s="493"/>
      <c r="D576" s="390">
        <v>14</v>
      </c>
      <c r="E576" s="396">
        <v>574</v>
      </c>
      <c r="F576" s="474"/>
      <c r="G576" s="283"/>
      <c r="H576" s="283"/>
      <c r="I576" s="283"/>
      <c r="J576" s="283"/>
      <c r="K576" s="300"/>
      <c r="L576" s="484" t="str">
        <f t="shared" si="106"/>
        <v/>
      </c>
      <c r="M576" s="328"/>
      <c r="N576" s="402"/>
      <c r="O576" s="286"/>
      <c r="P576" s="408"/>
      <c r="Q576" s="286"/>
      <c r="R576" s="413" t="str">
        <f t="shared" si="103"/>
        <v/>
      </c>
      <c r="S576" s="419" t="str">
        <f t="shared" si="104"/>
        <v>:NAME</v>
      </c>
      <c r="T576" s="286"/>
      <c r="U576" s="287"/>
      <c r="V576" s="287"/>
      <c r="W576" s="287"/>
      <c r="X576" s="287"/>
      <c r="Y576" s="287"/>
      <c r="Z576" s="288"/>
      <c r="AA576" s="289">
        <f t="shared" si="105"/>
        <v>0</v>
      </c>
      <c r="AB576" s="291"/>
      <c r="AC576" s="291"/>
      <c r="AD576" s="292"/>
      <c r="AE576" s="293"/>
      <c r="AG576" s="295"/>
    </row>
    <row r="577" spans="1:33" s="340" customFormat="1" ht="15.75" thickBot="1" x14ac:dyDescent="0.3">
      <c r="A577" s="488"/>
      <c r="B577" s="491"/>
      <c r="C577" s="494"/>
      <c r="D577" s="392">
        <v>15</v>
      </c>
      <c r="E577" s="400">
        <v>575</v>
      </c>
      <c r="F577" s="478"/>
      <c r="G577" s="330"/>
      <c r="H577" s="330"/>
      <c r="I577" s="330"/>
      <c r="J577" s="330"/>
      <c r="K577" s="331"/>
      <c r="L577" s="485" t="str">
        <f t="shared" si="106"/>
        <v/>
      </c>
      <c r="M577" s="332"/>
      <c r="N577" s="403"/>
      <c r="O577" s="333"/>
      <c r="P577" s="410"/>
      <c r="Q577" s="333"/>
      <c r="R577" s="416" t="str">
        <f t="shared" si="103"/>
        <v/>
      </c>
      <c r="S577" s="421" t="str">
        <f t="shared" si="104"/>
        <v>:NAME</v>
      </c>
      <c r="T577" s="333"/>
      <c r="U577" s="334"/>
      <c r="V577" s="334"/>
      <c r="W577" s="334"/>
      <c r="X577" s="334"/>
      <c r="Y577" s="334"/>
      <c r="Z577" s="335"/>
      <c r="AA577" s="336">
        <f t="shared" si="105"/>
        <v>0</v>
      </c>
      <c r="AB577" s="337"/>
      <c r="AC577" s="337"/>
      <c r="AD577" s="338"/>
      <c r="AE577" s="339"/>
      <c r="AG577" s="341"/>
    </row>
    <row r="578" spans="1:33" x14ac:dyDescent="0.25">
      <c r="A578" s="385" t="s">
        <v>44</v>
      </c>
      <c r="E578" s="396"/>
      <c r="F578" s="479"/>
      <c r="G578" s="343"/>
      <c r="H578" s="343"/>
      <c r="I578" s="343"/>
      <c r="J578" s="344"/>
      <c r="K578" s="345"/>
      <c r="L578" s="382"/>
      <c r="M578" s="346"/>
      <c r="N578" s="402"/>
      <c r="O578" s="286"/>
      <c r="P578" s="408"/>
      <c r="Q578" s="347"/>
      <c r="R578" s="413" t="str">
        <f t="shared" ref="R578" si="107">IF(G578&lt;&gt;"",G578&amp;"."&amp;H578&amp;"."&amp;I578&amp;"."&amp;J578&amp;IF(K578&lt;&gt;"","."&amp;K578,""),"")</f>
        <v/>
      </c>
      <c r="S578" s="419" t="str">
        <f t="shared" si="104"/>
        <v>:NAME</v>
      </c>
      <c r="T578" s="286"/>
      <c r="U578" s="287"/>
      <c r="V578" s="287"/>
      <c r="W578" s="287"/>
      <c r="X578" s="287"/>
      <c r="Y578" s="287"/>
      <c r="Z578" s="288"/>
      <c r="AA578" s="289">
        <f t="shared" si="105"/>
        <v>0</v>
      </c>
      <c r="AD578" s="348"/>
      <c r="AE578" s="349"/>
    </row>
    <row r="579" spans="1:33" x14ac:dyDescent="0.25">
      <c r="E579" s="396"/>
      <c r="J579" s="344"/>
      <c r="K579" s="284"/>
      <c r="N579" s="402"/>
      <c r="O579" s="286"/>
      <c r="P579" s="408"/>
      <c r="Q579" s="353"/>
      <c r="R579" s="413"/>
      <c r="S579" s="419"/>
      <c r="T579" s="286"/>
      <c r="U579" s="287"/>
      <c r="V579" s="287"/>
      <c r="W579" s="287"/>
      <c r="X579" s="287"/>
      <c r="Y579" s="287"/>
      <c r="Z579" s="288"/>
      <c r="AA579" s="289">
        <f t="shared" ref="AA579:AA594" si="108">LEN(L579)</f>
        <v>0</v>
      </c>
    </row>
    <row r="580" spans="1:33" x14ac:dyDescent="0.25">
      <c r="E580" s="396"/>
      <c r="F580" s="481"/>
      <c r="J580" s="344"/>
      <c r="L580" s="383">
        <f>COLUMN()</f>
        <v>12</v>
      </c>
      <c r="N580" s="402"/>
      <c r="O580" s="286"/>
      <c r="P580" s="408"/>
      <c r="Q580" s="353"/>
      <c r="R580" s="413"/>
      <c r="S580" s="419"/>
      <c r="T580" s="286"/>
      <c r="U580" s="287"/>
      <c r="V580" s="287"/>
      <c r="W580" s="287"/>
      <c r="X580" s="287"/>
      <c r="Y580" s="287"/>
      <c r="Z580" s="288"/>
      <c r="AA580" s="289">
        <f t="shared" si="108"/>
        <v>2</v>
      </c>
    </row>
    <row r="581" spans="1:33" x14ac:dyDescent="0.25">
      <c r="E581" s="396"/>
      <c r="J581" s="344"/>
      <c r="N581" s="402"/>
      <c r="O581" s="286"/>
      <c r="P581" s="408"/>
      <c r="Q581" s="353"/>
      <c r="R581" s="413"/>
      <c r="S581" s="419"/>
      <c r="T581" s="286"/>
      <c r="U581" s="287"/>
      <c r="V581" s="287"/>
      <c r="W581" s="287"/>
      <c r="X581" s="287"/>
      <c r="Y581" s="287"/>
      <c r="Z581" s="288"/>
      <c r="AA581" s="289">
        <f t="shared" si="108"/>
        <v>0</v>
      </c>
    </row>
    <row r="582" spans="1:33" x14ac:dyDescent="0.25">
      <c r="E582" s="396"/>
      <c r="J582" s="344"/>
      <c r="N582" s="402"/>
      <c r="O582" s="286"/>
      <c r="P582" s="408"/>
      <c r="Q582" s="353"/>
      <c r="R582" s="413"/>
      <c r="S582" s="419"/>
      <c r="T582" s="286"/>
      <c r="U582" s="287"/>
      <c r="V582" s="287"/>
      <c r="W582" s="287"/>
      <c r="X582" s="287"/>
      <c r="Y582" s="287"/>
      <c r="Z582" s="288"/>
      <c r="AA582" s="289">
        <f t="shared" si="108"/>
        <v>0</v>
      </c>
    </row>
    <row r="583" spans="1:33" x14ac:dyDescent="0.25">
      <c r="E583" s="396"/>
      <c r="J583" s="344"/>
      <c r="N583" s="402"/>
      <c r="O583" s="286"/>
      <c r="P583" s="408"/>
      <c r="Q583" s="353"/>
      <c r="R583" s="413"/>
      <c r="S583" s="419"/>
      <c r="T583" s="286"/>
      <c r="U583" s="287"/>
      <c r="V583" s="287"/>
      <c r="W583" s="287"/>
      <c r="X583" s="287"/>
      <c r="Y583" s="287"/>
      <c r="Z583" s="288"/>
      <c r="AA583" s="289">
        <f t="shared" si="108"/>
        <v>0</v>
      </c>
    </row>
    <row r="584" spans="1:33" x14ac:dyDescent="0.25">
      <c r="E584" s="396"/>
      <c r="J584" s="344"/>
      <c r="N584" s="402"/>
      <c r="O584" s="286"/>
      <c r="P584" s="408"/>
      <c r="Q584" s="353"/>
      <c r="R584" s="413"/>
      <c r="S584" s="419"/>
      <c r="T584" s="286"/>
      <c r="U584" s="287"/>
      <c r="V584" s="287"/>
      <c r="W584" s="287"/>
      <c r="X584" s="287"/>
      <c r="Y584" s="287"/>
      <c r="Z584" s="288"/>
      <c r="AA584" s="289">
        <f t="shared" si="108"/>
        <v>0</v>
      </c>
    </row>
    <row r="585" spans="1:33" x14ac:dyDescent="0.25">
      <c r="E585" s="396"/>
      <c r="J585" s="344"/>
      <c r="N585" s="402"/>
      <c r="O585" s="286"/>
      <c r="P585" s="408"/>
      <c r="Q585" s="353"/>
      <c r="R585" s="413"/>
      <c r="S585" s="419"/>
      <c r="T585" s="286"/>
      <c r="U585" s="287"/>
      <c r="V585" s="287"/>
      <c r="W585" s="287"/>
      <c r="X585" s="287"/>
      <c r="Y585" s="287"/>
      <c r="Z585" s="288"/>
      <c r="AA585" s="289">
        <f t="shared" si="108"/>
        <v>0</v>
      </c>
    </row>
    <row r="586" spans="1:33" x14ac:dyDescent="0.25">
      <c r="E586" s="396"/>
      <c r="J586" s="344"/>
      <c r="N586" s="402"/>
      <c r="O586" s="286"/>
      <c r="P586" s="408"/>
      <c r="Q586" s="353"/>
      <c r="R586" s="413"/>
      <c r="S586" s="419"/>
      <c r="T586" s="286"/>
      <c r="U586" s="287"/>
      <c r="V586" s="287"/>
      <c r="W586" s="287"/>
      <c r="X586" s="287"/>
      <c r="Y586" s="287"/>
      <c r="Z586" s="288"/>
      <c r="AA586" s="289">
        <f t="shared" si="108"/>
        <v>0</v>
      </c>
    </row>
    <row r="587" spans="1:33" x14ac:dyDescent="0.25">
      <c r="E587" s="396"/>
      <c r="J587" s="344"/>
      <c r="N587" s="402"/>
      <c r="O587" s="286"/>
      <c r="P587" s="408"/>
      <c r="Q587" s="353"/>
      <c r="R587" s="413"/>
      <c r="S587" s="419"/>
      <c r="T587" s="286"/>
      <c r="U587" s="287"/>
      <c r="V587" s="287"/>
      <c r="W587" s="287"/>
      <c r="X587" s="287"/>
      <c r="Y587" s="287"/>
      <c r="Z587" s="288"/>
      <c r="AA587" s="289">
        <f t="shared" si="108"/>
        <v>0</v>
      </c>
    </row>
    <row r="588" spans="1:33" x14ac:dyDescent="0.25">
      <c r="E588" s="396"/>
      <c r="J588" s="344"/>
      <c r="N588" s="402"/>
      <c r="O588" s="286"/>
      <c r="P588" s="408"/>
      <c r="Q588" s="353"/>
      <c r="R588" s="413"/>
      <c r="S588" s="419"/>
      <c r="T588" s="286"/>
      <c r="U588" s="287"/>
      <c r="V588" s="287"/>
      <c r="W588" s="287"/>
      <c r="X588" s="287"/>
      <c r="Y588" s="287"/>
      <c r="Z588" s="288"/>
      <c r="AA588" s="289">
        <f t="shared" si="108"/>
        <v>0</v>
      </c>
    </row>
    <row r="589" spans="1:33" x14ac:dyDescent="0.25">
      <c r="E589" s="396"/>
      <c r="J589" s="344"/>
      <c r="N589" s="402"/>
      <c r="O589" s="286"/>
      <c r="P589" s="408"/>
      <c r="Q589" s="353"/>
      <c r="R589" s="413"/>
      <c r="S589" s="419"/>
      <c r="T589" s="286"/>
      <c r="U589" s="287"/>
      <c r="V589" s="287"/>
      <c r="W589" s="287"/>
      <c r="X589" s="287"/>
      <c r="Y589" s="287"/>
      <c r="Z589" s="288"/>
      <c r="AA589" s="289">
        <f t="shared" si="108"/>
        <v>0</v>
      </c>
    </row>
    <row r="590" spans="1:33" x14ac:dyDescent="0.25">
      <c r="E590" s="396"/>
      <c r="J590" s="344"/>
      <c r="N590" s="402"/>
      <c r="O590" s="286"/>
      <c r="P590" s="408"/>
      <c r="Q590" s="353"/>
      <c r="R590" s="413"/>
      <c r="S590" s="419"/>
      <c r="T590" s="286"/>
      <c r="U590" s="287"/>
      <c r="V590" s="287"/>
      <c r="W590" s="287"/>
      <c r="X590" s="287"/>
      <c r="Y590" s="287"/>
      <c r="Z590" s="288"/>
      <c r="AA590" s="289">
        <f t="shared" si="108"/>
        <v>0</v>
      </c>
    </row>
    <row r="591" spans="1:33" x14ac:dyDescent="0.25">
      <c r="E591" s="396"/>
      <c r="J591" s="344"/>
      <c r="N591" s="402"/>
      <c r="O591" s="286"/>
      <c r="P591" s="408"/>
      <c r="Q591" s="353"/>
      <c r="R591" s="413"/>
      <c r="S591" s="419"/>
      <c r="T591" s="286"/>
      <c r="U591" s="287"/>
      <c r="V591" s="287"/>
      <c r="W591" s="287"/>
      <c r="X591" s="287"/>
      <c r="Y591" s="287"/>
      <c r="Z591" s="288"/>
      <c r="AA591" s="289">
        <f t="shared" si="108"/>
        <v>0</v>
      </c>
    </row>
    <row r="592" spans="1:33" ht="15.75" thickBot="1" x14ac:dyDescent="0.3">
      <c r="E592" s="396"/>
      <c r="J592" s="357"/>
      <c r="N592" s="402"/>
      <c r="O592" s="286"/>
      <c r="P592" s="408"/>
      <c r="Q592" s="353"/>
      <c r="R592" s="413"/>
      <c r="S592" s="419"/>
      <c r="T592" s="286"/>
      <c r="U592" s="287"/>
      <c r="V592" s="287"/>
      <c r="W592" s="287"/>
      <c r="X592" s="287"/>
      <c r="Y592" s="287"/>
      <c r="Z592" s="288"/>
      <c r="AA592" s="289">
        <f t="shared" si="108"/>
        <v>0</v>
      </c>
    </row>
    <row r="593" spans="1:33" s="340" customFormat="1" ht="15.75" thickBot="1" x14ac:dyDescent="0.3">
      <c r="A593" s="386"/>
      <c r="B593" s="386"/>
      <c r="C593" s="388"/>
      <c r="D593" s="394"/>
      <c r="E593" s="400"/>
      <c r="F593" s="482"/>
      <c r="G593" s="358"/>
      <c r="H593" s="358"/>
      <c r="I593" s="358"/>
      <c r="J593" s="357"/>
      <c r="K593" s="359"/>
      <c r="L593" s="384"/>
      <c r="M593" s="360"/>
      <c r="N593" s="403"/>
      <c r="O593" s="333"/>
      <c r="P593" s="410"/>
      <c r="Q593" s="361"/>
      <c r="R593" s="416"/>
      <c r="S593" s="421"/>
      <c r="T593" s="333"/>
      <c r="U593" s="334"/>
      <c r="V593" s="334"/>
      <c r="W593" s="334"/>
      <c r="X593" s="334"/>
      <c r="Y593" s="334"/>
      <c r="Z593" s="335"/>
      <c r="AA593" s="336">
        <f t="shared" si="108"/>
        <v>0</v>
      </c>
      <c r="AB593" s="337"/>
      <c r="AC593" s="337"/>
      <c r="AD593" s="362"/>
      <c r="AE593" s="363"/>
      <c r="AG593" s="341"/>
    </row>
    <row r="594" spans="1:33" x14ac:dyDescent="0.25">
      <c r="A594" s="385" t="s">
        <v>44</v>
      </c>
      <c r="E594" s="396"/>
      <c r="F594" s="479"/>
      <c r="G594" s="343"/>
      <c r="H594" s="343"/>
      <c r="I594" s="343"/>
      <c r="J594" s="343"/>
      <c r="K594" s="345"/>
      <c r="L594" s="382"/>
      <c r="M594" s="346"/>
      <c r="N594" s="402"/>
      <c r="O594" s="286"/>
      <c r="P594" s="408"/>
      <c r="Q594" s="347"/>
      <c r="R594" s="413"/>
      <c r="S594" s="419"/>
      <c r="T594" s="286"/>
      <c r="U594" s="287"/>
      <c r="V594" s="287"/>
      <c r="W594" s="287"/>
      <c r="X594" s="287"/>
      <c r="Y594" s="287"/>
      <c r="Z594" s="288"/>
      <c r="AA594" s="289">
        <f t="shared" si="108"/>
        <v>0</v>
      </c>
      <c r="AD594" s="348"/>
      <c r="AE594" s="349"/>
    </row>
    <row r="595" spans="1:33" x14ac:dyDescent="0.25">
      <c r="E595" s="396"/>
    </row>
    <row r="596" spans="1:33" x14ac:dyDescent="0.25">
      <c r="E596" s="396"/>
    </row>
    <row r="597" spans="1:33" x14ac:dyDescent="0.25">
      <c r="E597" s="396"/>
    </row>
    <row r="598" spans="1:33" x14ac:dyDescent="0.25">
      <c r="E598" s="396"/>
    </row>
    <row r="599" spans="1:33" x14ac:dyDescent="0.25">
      <c r="E599" s="396"/>
    </row>
    <row r="600" spans="1:33" x14ac:dyDescent="0.25">
      <c r="E600" s="396"/>
    </row>
    <row r="601" spans="1:33" x14ac:dyDescent="0.25">
      <c r="E601" s="396"/>
    </row>
    <row r="602" spans="1:33" x14ac:dyDescent="0.25">
      <c r="E602" s="396"/>
    </row>
    <row r="603" spans="1:33" x14ac:dyDescent="0.25">
      <c r="E603" s="396"/>
    </row>
    <row r="604" spans="1:33" x14ac:dyDescent="0.25">
      <c r="E604" s="396"/>
    </row>
    <row r="605" spans="1:33" x14ac:dyDescent="0.25">
      <c r="E605" s="396"/>
    </row>
    <row r="606" spans="1:33" x14ac:dyDescent="0.25">
      <c r="E606" s="396"/>
    </row>
    <row r="607" spans="1:33" x14ac:dyDescent="0.25">
      <c r="E607" s="396"/>
    </row>
    <row r="608" spans="1:33" ht="15.75" thickBot="1" x14ac:dyDescent="0.3">
      <c r="E608" s="396"/>
      <c r="J608" s="358"/>
    </row>
    <row r="609" spans="5:10" x14ac:dyDescent="0.25">
      <c r="E609" s="396"/>
      <c r="J609" s="343"/>
    </row>
    <row r="610" spans="5:10" x14ac:dyDescent="0.25">
      <c r="E610" s="396"/>
    </row>
    <row r="611" spans="5:10" x14ac:dyDescent="0.25">
      <c r="E611" s="396"/>
    </row>
    <row r="612" spans="5:10" x14ac:dyDescent="0.25">
      <c r="E612" s="396"/>
    </row>
    <row r="613" spans="5:10" x14ac:dyDescent="0.25">
      <c r="E613" s="396"/>
    </row>
    <row r="614" spans="5:10" x14ac:dyDescent="0.25">
      <c r="E614" s="396"/>
    </row>
    <row r="615" spans="5:10" x14ac:dyDescent="0.25">
      <c r="E615" s="396"/>
    </row>
    <row r="616" spans="5:10" x14ac:dyDescent="0.25">
      <c r="E616" s="396"/>
    </row>
    <row r="617" spans="5:10" x14ac:dyDescent="0.25">
      <c r="E617" s="396"/>
    </row>
    <row r="618" spans="5:10" x14ac:dyDescent="0.25">
      <c r="E618" s="396"/>
    </row>
    <row r="619" spans="5:10" x14ac:dyDescent="0.25">
      <c r="E619" s="396"/>
    </row>
    <row r="620" spans="5:10" x14ac:dyDescent="0.25">
      <c r="E620" s="396"/>
    </row>
    <row r="621" spans="5:10" x14ac:dyDescent="0.25">
      <c r="E621" s="396"/>
    </row>
    <row r="622" spans="5:10" x14ac:dyDescent="0.25">
      <c r="E622" s="396"/>
    </row>
    <row r="623" spans="5:10" x14ac:dyDescent="0.25">
      <c r="E623" s="396"/>
    </row>
    <row r="624" spans="5:10" x14ac:dyDescent="0.25">
      <c r="E624" s="396"/>
    </row>
    <row r="625" spans="5:5" x14ac:dyDescent="0.25">
      <c r="E625" s="396"/>
    </row>
    <row r="626" spans="5:5" x14ac:dyDescent="0.25">
      <c r="E626" s="396"/>
    </row>
    <row r="627" spans="5:5" x14ac:dyDescent="0.25">
      <c r="E627" s="396"/>
    </row>
    <row r="628" spans="5:5" x14ac:dyDescent="0.25">
      <c r="E628" s="396"/>
    </row>
    <row r="629" spans="5:5" x14ac:dyDescent="0.25">
      <c r="E629" s="396"/>
    </row>
    <row r="630" spans="5:5" x14ac:dyDescent="0.25">
      <c r="E630" s="396"/>
    </row>
    <row r="631" spans="5:5" x14ac:dyDescent="0.25">
      <c r="E631" s="396"/>
    </row>
    <row r="632" spans="5:5" x14ac:dyDescent="0.25">
      <c r="E632" s="396"/>
    </row>
    <row r="633" spans="5:5" x14ac:dyDescent="0.25">
      <c r="E633" s="396"/>
    </row>
    <row r="634" spans="5:5" x14ac:dyDescent="0.25">
      <c r="E634" s="396"/>
    </row>
    <row r="635" spans="5:5" x14ac:dyDescent="0.25">
      <c r="E635" s="396"/>
    </row>
    <row r="636" spans="5:5" x14ac:dyDescent="0.25">
      <c r="E636" s="396"/>
    </row>
    <row r="637" spans="5:5" x14ac:dyDescent="0.25">
      <c r="E637" s="396"/>
    </row>
    <row r="638" spans="5:5" x14ac:dyDescent="0.25">
      <c r="E638" s="396"/>
    </row>
    <row r="639" spans="5:5" x14ac:dyDescent="0.25">
      <c r="E639" s="396"/>
    </row>
    <row r="640" spans="5:5" x14ac:dyDescent="0.25">
      <c r="E640" s="396"/>
    </row>
    <row r="641" spans="5:5" x14ac:dyDescent="0.25">
      <c r="E641" s="396"/>
    </row>
    <row r="642" spans="5:5" x14ac:dyDescent="0.25">
      <c r="E642" s="396"/>
    </row>
    <row r="643" spans="5:5" x14ac:dyDescent="0.25">
      <c r="E643" s="396"/>
    </row>
    <row r="644" spans="5:5" x14ac:dyDescent="0.25">
      <c r="E644" s="396"/>
    </row>
    <row r="645" spans="5:5" x14ac:dyDescent="0.25">
      <c r="E645" s="396"/>
    </row>
    <row r="646" spans="5:5" x14ac:dyDescent="0.25">
      <c r="E646" s="396"/>
    </row>
    <row r="647" spans="5:5" x14ac:dyDescent="0.25">
      <c r="E647" s="396"/>
    </row>
    <row r="648" spans="5:5" x14ac:dyDescent="0.25">
      <c r="E648" s="396"/>
    </row>
    <row r="649" spans="5:5" x14ac:dyDescent="0.25">
      <c r="E649" s="396"/>
    </row>
    <row r="650" spans="5:5" x14ac:dyDescent="0.25">
      <c r="E650" s="396"/>
    </row>
    <row r="651" spans="5:5" x14ac:dyDescent="0.25">
      <c r="E651" s="396"/>
    </row>
    <row r="652" spans="5:5" x14ac:dyDescent="0.25">
      <c r="E652" s="396"/>
    </row>
    <row r="653" spans="5:5" x14ac:dyDescent="0.25">
      <c r="E653" s="396"/>
    </row>
    <row r="654" spans="5:5" x14ac:dyDescent="0.25">
      <c r="E654" s="396"/>
    </row>
    <row r="655" spans="5:5" x14ac:dyDescent="0.25">
      <c r="E655" s="396"/>
    </row>
    <row r="656" spans="5:5" x14ac:dyDescent="0.25">
      <c r="E656" s="396"/>
    </row>
    <row r="657" spans="5:5" x14ac:dyDescent="0.25">
      <c r="E657" s="396"/>
    </row>
    <row r="658" spans="5:5" x14ac:dyDescent="0.25">
      <c r="E658" s="396"/>
    </row>
    <row r="659" spans="5:5" x14ac:dyDescent="0.25">
      <c r="E659" s="396"/>
    </row>
    <row r="660" spans="5:5" x14ac:dyDescent="0.25">
      <c r="E660" s="396"/>
    </row>
    <row r="661" spans="5:5" x14ac:dyDescent="0.25">
      <c r="E661" s="396"/>
    </row>
    <row r="662" spans="5:5" x14ac:dyDescent="0.25">
      <c r="E662" s="396"/>
    </row>
    <row r="663" spans="5:5" x14ac:dyDescent="0.25">
      <c r="E663" s="396"/>
    </row>
    <row r="664" spans="5:5" x14ac:dyDescent="0.25">
      <c r="E664" s="396"/>
    </row>
    <row r="665" spans="5:5" x14ac:dyDescent="0.25">
      <c r="E665" s="396"/>
    </row>
    <row r="666" spans="5:5" x14ac:dyDescent="0.25">
      <c r="E666" s="396"/>
    </row>
    <row r="667" spans="5:5" x14ac:dyDescent="0.25">
      <c r="E667" s="396"/>
    </row>
    <row r="668" spans="5:5" x14ac:dyDescent="0.25">
      <c r="E668" s="396"/>
    </row>
    <row r="669" spans="5:5" x14ac:dyDescent="0.25">
      <c r="E669" s="396"/>
    </row>
    <row r="670" spans="5:5" x14ac:dyDescent="0.25">
      <c r="E670" s="396"/>
    </row>
    <row r="671" spans="5:5" x14ac:dyDescent="0.25">
      <c r="E671" s="396"/>
    </row>
    <row r="672" spans="5:5" x14ac:dyDescent="0.25">
      <c r="E672" s="396"/>
    </row>
    <row r="673" spans="5:5" x14ac:dyDescent="0.25">
      <c r="E673" s="396"/>
    </row>
    <row r="674" spans="5:5" x14ac:dyDescent="0.25">
      <c r="E674" s="396"/>
    </row>
    <row r="675" spans="5:5" x14ac:dyDescent="0.25">
      <c r="E675" s="396"/>
    </row>
    <row r="676" spans="5:5" x14ac:dyDescent="0.25">
      <c r="E676" s="396"/>
    </row>
    <row r="677" spans="5:5" x14ac:dyDescent="0.25">
      <c r="E677" s="396"/>
    </row>
    <row r="678" spans="5:5" x14ac:dyDescent="0.25">
      <c r="E678" s="396"/>
    </row>
    <row r="679" spans="5:5" x14ac:dyDescent="0.25">
      <c r="E679" s="396"/>
    </row>
    <row r="680" spans="5:5" x14ac:dyDescent="0.25">
      <c r="E680" s="396"/>
    </row>
    <row r="681" spans="5:5" x14ac:dyDescent="0.25">
      <c r="E681" s="396"/>
    </row>
    <row r="682" spans="5:5" x14ac:dyDescent="0.25">
      <c r="E682" s="396"/>
    </row>
    <row r="683" spans="5:5" x14ac:dyDescent="0.25">
      <c r="E683" s="396"/>
    </row>
    <row r="684" spans="5:5" x14ac:dyDescent="0.25">
      <c r="E684" s="396"/>
    </row>
    <row r="685" spans="5:5" x14ac:dyDescent="0.25">
      <c r="E685" s="396"/>
    </row>
    <row r="686" spans="5:5" x14ac:dyDescent="0.25">
      <c r="E686" s="396"/>
    </row>
    <row r="687" spans="5:5" x14ac:dyDescent="0.25">
      <c r="E687" s="396"/>
    </row>
    <row r="688" spans="5:5" x14ac:dyDescent="0.25">
      <c r="E688" s="396"/>
    </row>
    <row r="689" spans="5:5" x14ac:dyDescent="0.25">
      <c r="E689" s="396"/>
    </row>
    <row r="690" spans="5:5" x14ac:dyDescent="0.25">
      <c r="E690" s="396"/>
    </row>
    <row r="691" spans="5:5" x14ac:dyDescent="0.25">
      <c r="E691" s="396"/>
    </row>
    <row r="692" spans="5:5" x14ac:dyDescent="0.25">
      <c r="E692" s="396"/>
    </row>
    <row r="693" spans="5:5" x14ac:dyDescent="0.25">
      <c r="E693" s="396"/>
    </row>
    <row r="694" spans="5:5" x14ac:dyDescent="0.25">
      <c r="E694" s="396"/>
    </row>
    <row r="695" spans="5:5" x14ac:dyDescent="0.25">
      <c r="E695" s="396"/>
    </row>
    <row r="696" spans="5:5" x14ac:dyDescent="0.25">
      <c r="E696" s="396"/>
    </row>
    <row r="697" spans="5:5" x14ac:dyDescent="0.25">
      <c r="E697" s="396"/>
    </row>
    <row r="698" spans="5:5" x14ac:dyDescent="0.25">
      <c r="E698" s="396"/>
    </row>
    <row r="699" spans="5:5" x14ac:dyDescent="0.25">
      <c r="E699" s="396"/>
    </row>
    <row r="700" spans="5:5" x14ac:dyDescent="0.25">
      <c r="E700" s="396"/>
    </row>
    <row r="701" spans="5:5" x14ac:dyDescent="0.25">
      <c r="E701" s="396"/>
    </row>
    <row r="702" spans="5:5" x14ac:dyDescent="0.25">
      <c r="E702" s="396"/>
    </row>
    <row r="703" spans="5:5" x14ac:dyDescent="0.25">
      <c r="E703" s="396"/>
    </row>
    <row r="704" spans="5:5" x14ac:dyDescent="0.25">
      <c r="E704" s="396"/>
    </row>
    <row r="705" spans="5:5" x14ac:dyDescent="0.25">
      <c r="E705" s="396"/>
    </row>
    <row r="706" spans="5:5" x14ac:dyDescent="0.25">
      <c r="E706" s="396"/>
    </row>
    <row r="707" spans="5:5" x14ac:dyDescent="0.25">
      <c r="E707" s="396"/>
    </row>
    <row r="708" spans="5:5" x14ac:dyDescent="0.25">
      <c r="E708" s="396"/>
    </row>
    <row r="709" spans="5:5" x14ac:dyDescent="0.25">
      <c r="E709" s="396"/>
    </row>
    <row r="710" spans="5:5" x14ac:dyDescent="0.25">
      <c r="E710" s="396"/>
    </row>
    <row r="711" spans="5:5" x14ac:dyDescent="0.25">
      <c r="E711" s="396"/>
    </row>
    <row r="712" spans="5:5" x14ac:dyDescent="0.25">
      <c r="E712" s="396"/>
    </row>
    <row r="713" spans="5:5" x14ac:dyDescent="0.25">
      <c r="E713" s="396"/>
    </row>
    <row r="714" spans="5:5" x14ac:dyDescent="0.25">
      <c r="E714" s="396"/>
    </row>
    <row r="715" spans="5:5" x14ac:dyDescent="0.25">
      <c r="E715" s="396"/>
    </row>
    <row r="716" spans="5:5" x14ac:dyDescent="0.25">
      <c r="E716" s="396"/>
    </row>
    <row r="717" spans="5:5" x14ac:dyDescent="0.25">
      <c r="E717" s="396"/>
    </row>
    <row r="718" spans="5:5" x14ac:dyDescent="0.25">
      <c r="E718" s="396"/>
    </row>
    <row r="719" spans="5:5" x14ac:dyDescent="0.25">
      <c r="E719" s="396"/>
    </row>
    <row r="720" spans="5:5" x14ac:dyDescent="0.25">
      <c r="E720" s="396"/>
    </row>
    <row r="721" spans="5:5" x14ac:dyDescent="0.25">
      <c r="E721" s="396"/>
    </row>
    <row r="722" spans="5:5" x14ac:dyDescent="0.25">
      <c r="E722" s="396"/>
    </row>
    <row r="723" spans="5:5" x14ac:dyDescent="0.25">
      <c r="E723" s="396"/>
    </row>
    <row r="724" spans="5:5" x14ac:dyDescent="0.25">
      <c r="E724" s="396"/>
    </row>
    <row r="725" spans="5:5" x14ac:dyDescent="0.25">
      <c r="E725" s="396"/>
    </row>
    <row r="726" spans="5:5" x14ac:dyDescent="0.25">
      <c r="E726" s="396"/>
    </row>
    <row r="727" spans="5:5" x14ac:dyDescent="0.25">
      <c r="E727" s="396"/>
    </row>
    <row r="728" spans="5:5" x14ac:dyDescent="0.25">
      <c r="E728" s="396"/>
    </row>
    <row r="729" spans="5:5" x14ac:dyDescent="0.25">
      <c r="E729" s="396"/>
    </row>
    <row r="730" spans="5:5" x14ac:dyDescent="0.25">
      <c r="E730" s="396"/>
    </row>
    <row r="731" spans="5:5" x14ac:dyDescent="0.25">
      <c r="E731" s="396"/>
    </row>
    <row r="732" spans="5:5" x14ac:dyDescent="0.25">
      <c r="E732" s="396"/>
    </row>
    <row r="733" spans="5:5" x14ac:dyDescent="0.25">
      <c r="E733" s="396"/>
    </row>
    <row r="734" spans="5:5" x14ac:dyDescent="0.25">
      <c r="E734" s="396"/>
    </row>
    <row r="735" spans="5:5" x14ac:dyDescent="0.25">
      <c r="E735" s="396"/>
    </row>
    <row r="736" spans="5:5" x14ac:dyDescent="0.25">
      <c r="E736" s="396"/>
    </row>
    <row r="737" spans="5:5" x14ac:dyDescent="0.25">
      <c r="E737" s="396"/>
    </row>
    <row r="738" spans="5:5" x14ac:dyDescent="0.25">
      <c r="E738" s="396"/>
    </row>
    <row r="739" spans="5:5" x14ac:dyDescent="0.25">
      <c r="E739" s="396"/>
    </row>
    <row r="740" spans="5:5" x14ac:dyDescent="0.25">
      <c r="E740" s="396"/>
    </row>
    <row r="741" spans="5:5" x14ac:dyDescent="0.25">
      <c r="E741" s="396"/>
    </row>
    <row r="742" spans="5:5" x14ac:dyDescent="0.25">
      <c r="E742" s="396"/>
    </row>
    <row r="743" spans="5:5" x14ac:dyDescent="0.25">
      <c r="E743" s="396"/>
    </row>
    <row r="744" spans="5:5" x14ac:dyDescent="0.25">
      <c r="E744" s="396"/>
    </row>
    <row r="745" spans="5:5" x14ac:dyDescent="0.25">
      <c r="E745" s="396"/>
    </row>
    <row r="746" spans="5:5" x14ac:dyDescent="0.25">
      <c r="E746" s="396"/>
    </row>
    <row r="747" spans="5:5" x14ac:dyDescent="0.25">
      <c r="E747" s="396"/>
    </row>
    <row r="748" spans="5:5" x14ac:dyDescent="0.25">
      <c r="E748" s="396"/>
    </row>
    <row r="749" spans="5:5" x14ac:dyDescent="0.25">
      <c r="E749" s="396"/>
    </row>
    <row r="750" spans="5:5" x14ac:dyDescent="0.25">
      <c r="E750" s="396"/>
    </row>
    <row r="751" spans="5:5" x14ac:dyDescent="0.25">
      <c r="E751" s="396"/>
    </row>
    <row r="752" spans="5:5" x14ac:dyDescent="0.25">
      <c r="E752" s="396"/>
    </row>
    <row r="753" spans="5:5" x14ac:dyDescent="0.25">
      <c r="E753" s="396"/>
    </row>
    <row r="754" spans="5:5" x14ac:dyDescent="0.25">
      <c r="E754" s="396"/>
    </row>
    <row r="755" spans="5:5" x14ac:dyDescent="0.25">
      <c r="E755" s="396"/>
    </row>
    <row r="756" spans="5:5" x14ac:dyDescent="0.25">
      <c r="E756" s="396"/>
    </row>
    <row r="757" spans="5:5" x14ac:dyDescent="0.25">
      <c r="E757" s="396"/>
    </row>
    <row r="758" spans="5:5" x14ac:dyDescent="0.25">
      <c r="E758" s="396"/>
    </row>
    <row r="759" spans="5:5" x14ac:dyDescent="0.25">
      <c r="E759" s="396"/>
    </row>
    <row r="760" spans="5:5" x14ac:dyDescent="0.25">
      <c r="E760" s="396"/>
    </row>
    <row r="761" spans="5:5" x14ac:dyDescent="0.25">
      <c r="E761" s="396"/>
    </row>
    <row r="762" spans="5:5" x14ac:dyDescent="0.25">
      <c r="E762" s="396"/>
    </row>
    <row r="763" spans="5:5" x14ac:dyDescent="0.25">
      <c r="E763" s="396"/>
    </row>
    <row r="764" spans="5:5" x14ac:dyDescent="0.25">
      <c r="E764" s="396"/>
    </row>
    <row r="765" spans="5:5" x14ac:dyDescent="0.25">
      <c r="E765" s="396"/>
    </row>
    <row r="766" spans="5:5" x14ac:dyDescent="0.25">
      <c r="E766" s="396"/>
    </row>
    <row r="767" spans="5:5" x14ac:dyDescent="0.25">
      <c r="E767" s="396"/>
    </row>
    <row r="768" spans="5:5" x14ac:dyDescent="0.25">
      <c r="E768" s="396"/>
    </row>
    <row r="769" spans="5:5" x14ac:dyDescent="0.25">
      <c r="E769" s="396"/>
    </row>
    <row r="770" spans="5:5" x14ac:dyDescent="0.25">
      <c r="E770" s="396"/>
    </row>
    <row r="771" spans="5:5" x14ac:dyDescent="0.25">
      <c r="E771" s="396"/>
    </row>
    <row r="772" spans="5:5" x14ac:dyDescent="0.25">
      <c r="E772" s="396"/>
    </row>
    <row r="773" spans="5:5" x14ac:dyDescent="0.25">
      <c r="E773" s="396"/>
    </row>
    <row r="774" spans="5:5" x14ac:dyDescent="0.25">
      <c r="E774" s="396"/>
    </row>
    <row r="775" spans="5:5" x14ac:dyDescent="0.25">
      <c r="E775" s="396"/>
    </row>
    <row r="776" spans="5:5" x14ac:dyDescent="0.25">
      <c r="E776" s="396"/>
    </row>
    <row r="777" spans="5:5" x14ac:dyDescent="0.25">
      <c r="E777" s="396"/>
    </row>
    <row r="778" spans="5:5" x14ac:dyDescent="0.25">
      <c r="E778" s="396"/>
    </row>
    <row r="779" spans="5:5" x14ac:dyDescent="0.25">
      <c r="E779" s="396"/>
    </row>
    <row r="780" spans="5:5" x14ac:dyDescent="0.25">
      <c r="E780" s="396"/>
    </row>
    <row r="781" spans="5:5" x14ac:dyDescent="0.25">
      <c r="E781" s="396"/>
    </row>
    <row r="782" spans="5:5" x14ac:dyDescent="0.25">
      <c r="E782" s="396"/>
    </row>
    <row r="783" spans="5:5" x14ac:dyDescent="0.25">
      <c r="E783" s="396"/>
    </row>
    <row r="784" spans="5:5" x14ac:dyDescent="0.25">
      <c r="E784" s="396"/>
    </row>
    <row r="785" spans="5:5" x14ac:dyDescent="0.25">
      <c r="E785" s="396"/>
    </row>
    <row r="786" spans="5:5" x14ac:dyDescent="0.25">
      <c r="E786" s="396"/>
    </row>
    <row r="787" spans="5:5" x14ac:dyDescent="0.25">
      <c r="E787" s="396"/>
    </row>
    <row r="788" spans="5:5" x14ac:dyDescent="0.25">
      <c r="E788" s="396"/>
    </row>
    <row r="789" spans="5:5" x14ac:dyDescent="0.25">
      <c r="E789" s="396"/>
    </row>
    <row r="790" spans="5:5" x14ac:dyDescent="0.25">
      <c r="E790" s="396"/>
    </row>
    <row r="791" spans="5:5" x14ac:dyDescent="0.25">
      <c r="E791" s="396"/>
    </row>
    <row r="792" spans="5:5" x14ac:dyDescent="0.25">
      <c r="E792" s="396"/>
    </row>
    <row r="793" spans="5:5" x14ac:dyDescent="0.25">
      <c r="E793" s="396"/>
    </row>
    <row r="794" spans="5:5" x14ac:dyDescent="0.25">
      <c r="E794" s="396"/>
    </row>
    <row r="795" spans="5:5" x14ac:dyDescent="0.25">
      <c r="E795" s="396"/>
    </row>
    <row r="796" spans="5:5" x14ac:dyDescent="0.25">
      <c r="E796" s="396"/>
    </row>
    <row r="797" spans="5:5" x14ac:dyDescent="0.25">
      <c r="E797" s="396"/>
    </row>
    <row r="798" spans="5:5" x14ac:dyDescent="0.25">
      <c r="E798" s="396"/>
    </row>
    <row r="799" spans="5:5" x14ac:dyDescent="0.25">
      <c r="E799" s="396"/>
    </row>
    <row r="800" spans="5:5" x14ac:dyDescent="0.25">
      <c r="E800" s="396"/>
    </row>
    <row r="801" spans="5:5" x14ac:dyDescent="0.25">
      <c r="E801" s="396"/>
    </row>
    <row r="802" spans="5:5" x14ac:dyDescent="0.25">
      <c r="E802" s="396"/>
    </row>
    <row r="803" spans="5:5" x14ac:dyDescent="0.25">
      <c r="E803" s="396"/>
    </row>
    <row r="804" spans="5:5" x14ac:dyDescent="0.25">
      <c r="E804" s="396"/>
    </row>
    <row r="805" spans="5:5" x14ac:dyDescent="0.25">
      <c r="E805" s="396"/>
    </row>
    <row r="806" spans="5:5" x14ac:dyDescent="0.25">
      <c r="E806" s="396"/>
    </row>
    <row r="807" spans="5:5" x14ac:dyDescent="0.25">
      <c r="E807" s="396"/>
    </row>
    <row r="808" spans="5:5" x14ac:dyDescent="0.25">
      <c r="E808" s="396"/>
    </row>
    <row r="809" spans="5:5" x14ac:dyDescent="0.25">
      <c r="E809" s="396"/>
    </row>
    <row r="810" spans="5:5" x14ac:dyDescent="0.25">
      <c r="E810" s="396"/>
    </row>
    <row r="811" spans="5:5" x14ac:dyDescent="0.25">
      <c r="E811" s="396"/>
    </row>
    <row r="812" spans="5:5" x14ac:dyDescent="0.25">
      <c r="E812" s="396"/>
    </row>
    <row r="813" spans="5:5" x14ac:dyDescent="0.25">
      <c r="E813" s="396"/>
    </row>
    <row r="814" spans="5:5" x14ac:dyDescent="0.25">
      <c r="E814" s="396"/>
    </row>
    <row r="815" spans="5:5" x14ac:dyDescent="0.25">
      <c r="E815" s="396"/>
    </row>
    <row r="816" spans="5:5" x14ac:dyDescent="0.25">
      <c r="E816" s="396"/>
    </row>
    <row r="817" spans="5:5" x14ac:dyDescent="0.25">
      <c r="E817" s="396"/>
    </row>
    <row r="818" spans="5:5" x14ac:dyDescent="0.25">
      <c r="E818" s="396"/>
    </row>
    <row r="819" spans="5:5" x14ac:dyDescent="0.25">
      <c r="E819" s="396"/>
    </row>
    <row r="820" spans="5:5" x14ac:dyDescent="0.25">
      <c r="E820" s="396"/>
    </row>
    <row r="821" spans="5:5" x14ac:dyDescent="0.25">
      <c r="E821" s="396"/>
    </row>
    <row r="822" spans="5:5" x14ac:dyDescent="0.25">
      <c r="E822" s="396"/>
    </row>
    <row r="823" spans="5:5" x14ac:dyDescent="0.25">
      <c r="E823" s="396"/>
    </row>
    <row r="824" spans="5:5" x14ac:dyDescent="0.25">
      <c r="E824" s="396"/>
    </row>
    <row r="825" spans="5:5" x14ac:dyDescent="0.25">
      <c r="E825" s="396"/>
    </row>
    <row r="826" spans="5:5" x14ac:dyDescent="0.25">
      <c r="E826" s="396"/>
    </row>
    <row r="827" spans="5:5" x14ac:dyDescent="0.25">
      <c r="E827" s="396"/>
    </row>
    <row r="828" spans="5:5" x14ac:dyDescent="0.25">
      <c r="E828" s="396"/>
    </row>
    <row r="829" spans="5:5" x14ac:dyDescent="0.25">
      <c r="E829" s="396"/>
    </row>
    <row r="830" spans="5:5" x14ac:dyDescent="0.25">
      <c r="E830" s="396"/>
    </row>
    <row r="831" spans="5:5" x14ac:dyDescent="0.25">
      <c r="E831" s="396"/>
    </row>
    <row r="832" spans="5:5" x14ac:dyDescent="0.25">
      <c r="E832" s="396"/>
    </row>
    <row r="833" spans="5:5" x14ac:dyDescent="0.25">
      <c r="E833" s="396"/>
    </row>
    <row r="834" spans="5:5" x14ac:dyDescent="0.25">
      <c r="E834" s="396"/>
    </row>
    <row r="835" spans="5:5" x14ac:dyDescent="0.25">
      <c r="E835" s="396"/>
    </row>
    <row r="836" spans="5:5" x14ac:dyDescent="0.25">
      <c r="E836" s="396"/>
    </row>
    <row r="837" spans="5:5" x14ac:dyDescent="0.25">
      <c r="E837" s="396"/>
    </row>
    <row r="838" spans="5:5" x14ac:dyDescent="0.25">
      <c r="E838" s="396"/>
    </row>
    <row r="839" spans="5:5" x14ac:dyDescent="0.25">
      <c r="E839" s="396"/>
    </row>
    <row r="840" spans="5:5" x14ac:dyDescent="0.25">
      <c r="E840" s="396"/>
    </row>
    <row r="841" spans="5:5" x14ac:dyDescent="0.25">
      <c r="E841" s="396"/>
    </row>
    <row r="842" spans="5:5" x14ac:dyDescent="0.25">
      <c r="E842" s="396"/>
    </row>
    <row r="843" spans="5:5" x14ac:dyDescent="0.25">
      <c r="E843" s="396"/>
    </row>
    <row r="844" spans="5:5" x14ac:dyDescent="0.25">
      <c r="E844" s="396"/>
    </row>
    <row r="845" spans="5:5" x14ac:dyDescent="0.25">
      <c r="E845" s="396"/>
    </row>
    <row r="846" spans="5:5" x14ac:dyDescent="0.25">
      <c r="E846" s="396"/>
    </row>
    <row r="847" spans="5:5" x14ac:dyDescent="0.25">
      <c r="E847" s="396"/>
    </row>
    <row r="848" spans="5:5" x14ac:dyDescent="0.25">
      <c r="E848" s="396"/>
    </row>
    <row r="849" spans="5:5" x14ac:dyDescent="0.25">
      <c r="E849" s="396"/>
    </row>
    <row r="850" spans="5:5" x14ac:dyDescent="0.25">
      <c r="E850" s="396"/>
    </row>
    <row r="851" spans="5:5" x14ac:dyDescent="0.25">
      <c r="E851" s="396"/>
    </row>
    <row r="852" spans="5:5" x14ac:dyDescent="0.25">
      <c r="E852" s="396"/>
    </row>
    <row r="853" spans="5:5" x14ac:dyDescent="0.25">
      <c r="E853" s="396"/>
    </row>
    <row r="854" spans="5:5" x14ac:dyDescent="0.25">
      <c r="E854" s="396"/>
    </row>
    <row r="855" spans="5:5" x14ac:dyDescent="0.25">
      <c r="E855" s="396"/>
    </row>
    <row r="856" spans="5:5" x14ac:dyDescent="0.25">
      <c r="E856" s="396"/>
    </row>
    <row r="857" spans="5:5" x14ac:dyDescent="0.25">
      <c r="E857" s="396"/>
    </row>
    <row r="858" spans="5:5" x14ac:dyDescent="0.25">
      <c r="E858" s="396"/>
    </row>
    <row r="859" spans="5:5" x14ac:dyDescent="0.25">
      <c r="E859" s="396"/>
    </row>
    <row r="860" spans="5:5" x14ac:dyDescent="0.25">
      <c r="E860" s="396"/>
    </row>
    <row r="861" spans="5:5" x14ac:dyDescent="0.25">
      <c r="E861" s="396"/>
    </row>
    <row r="862" spans="5:5" x14ac:dyDescent="0.25">
      <c r="E862" s="396"/>
    </row>
    <row r="863" spans="5:5" x14ac:dyDescent="0.25">
      <c r="E863" s="396"/>
    </row>
    <row r="864" spans="5:5" x14ac:dyDescent="0.25">
      <c r="E864" s="396"/>
    </row>
    <row r="865" spans="5:5" x14ac:dyDescent="0.25">
      <c r="E865" s="396"/>
    </row>
    <row r="866" spans="5:5" x14ac:dyDescent="0.25">
      <c r="E866" s="396"/>
    </row>
    <row r="867" spans="5:5" x14ac:dyDescent="0.25">
      <c r="E867" s="396"/>
    </row>
    <row r="868" spans="5:5" x14ac:dyDescent="0.25">
      <c r="E868" s="396"/>
    </row>
    <row r="869" spans="5:5" x14ac:dyDescent="0.25">
      <c r="E869" s="396"/>
    </row>
    <row r="870" spans="5:5" x14ac:dyDescent="0.25">
      <c r="E870" s="396"/>
    </row>
    <row r="871" spans="5:5" x14ac:dyDescent="0.25">
      <c r="E871" s="396"/>
    </row>
    <row r="872" spans="5:5" x14ac:dyDescent="0.25">
      <c r="E872" s="396"/>
    </row>
    <row r="873" spans="5:5" x14ac:dyDescent="0.25">
      <c r="E873" s="396"/>
    </row>
    <row r="874" spans="5:5" x14ac:dyDescent="0.25">
      <c r="E874" s="396"/>
    </row>
    <row r="875" spans="5:5" x14ac:dyDescent="0.25">
      <c r="E875" s="396"/>
    </row>
    <row r="876" spans="5:5" x14ac:dyDescent="0.25">
      <c r="E876" s="396"/>
    </row>
    <row r="877" spans="5:5" x14ac:dyDescent="0.25">
      <c r="E877" s="396"/>
    </row>
    <row r="878" spans="5:5" x14ac:dyDescent="0.25">
      <c r="E878" s="396"/>
    </row>
    <row r="879" spans="5:5" x14ac:dyDescent="0.25">
      <c r="E879" s="396"/>
    </row>
    <row r="880" spans="5:5" x14ac:dyDescent="0.25">
      <c r="E880" s="396"/>
    </row>
    <row r="881" spans="5:5" x14ac:dyDescent="0.25">
      <c r="E881" s="396"/>
    </row>
    <row r="882" spans="5:5" x14ac:dyDescent="0.25">
      <c r="E882" s="396"/>
    </row>
    <row r="883" spans="5:5" x14ac:dyDescent="0.25">
      <c r="E883" s="396"/>
    </row>
    <row r="884" spans="5:5" x14ac:dyDescent="0.25">
      <c r="E884" s="396"/>
    </row>
    <row r="885" spans="5:5" x14ac:dyDescent="0.25">
      <c r="E885" s="396"/>
    </row>
    <row r="886" spans="5:5" x14ac:dyDescent="0.25">
      <c r="E886" s="396"/>
    </row>
    <row r="887" spans="5:5" x14ac:dyDescent="0.25">
      <c r="E887" s="396"/>
    </row>
    <row r="888" spans="5:5" x14ac:dyDescent="0.25">
      <c r="E888" s="396"/>
    </row>
    <row r="889" spans="5:5" x14ac:dyDescent="0.25">
      <c r="E889" s="396"/>
    </row>
    <row r="890" spans="5:5" x14ac:dyDescent="0.25">
      <c r="E890" s="396"/>
    </row>
    <row r="891" spans="5:5" x14ac:dyDescent="0.25">
      <c r="E891" s="396"/>
    </row>
    <row r="892" spans="5:5" x14ac:dyDescent="0.25">
      <c r="E892" s="396"/>
    </row>
    <row r="893" spans="5:5" x14ac:dyDescent="0.25">
      <c r="E893" s="396"/>
    </row>
    <row r="894" spans="5:5" x14ac:dyDescent="0.25">
      <c r="E894" s="396"/>
    </row>
    <row r="895" spans="5:5" x14ac:dyDescent="0.25">
      <c r="E895" s="396"/>
    </row>
    <row r="896" spans="5:5" x14ac:dyDescent="0.25">
      <c r="E896" s="396"/>
    </row>
    <row r="897" spans="5:5" x14ac:dyDescent="0.25">
      <c r="E897" s="396"/>
    </row>
    <row r="898" spans="5:5" x14ac:dyDescent="0.25">
      <c r="E898" s="396"/>
    </row>
    <row r="899" spans="5:5" x14ac:dyDescent="0.25">
      <c r="E899" s="396"/>
    </row>
    <row r="900" spans="5:5" x14ac:dyDescent="0.25">
      <c r="E900" s="396"/>
    </row>
    <row r="901" spans="5:5" x14ac:dyDescent="0.25">
      <c r="E901" s="396"/>
    </row>
    <row r="902" spans="5:5" x14ac:dyDescent="0.25">
      <c r="E902" s="396"/>
    </row>
    <row r="903" spans="5:5" x14ac:dyDescent="0.25">
      <c r="E903" s="396"/>
    </row>
    <row r="904" spans="5:5" x14ac:dyDescent="0.25">
      <c r="E904" s="396"/>
    </row>
    <row r="905" spans="5:5" x14ac:dyDescent="0.25">
      <c r="E905" s="396"/>
    </row>
    <row r="906" spans="5:5" x14ac:dyDescent="0.25">
      <c r="E906" s="396"/>
    </row>
    <row r="907" spans="5:5" x14ac:dyDescent="0.25">
      <c r="E907" s="396"/>
    </row>
    <row r="908" spans="5:5" x14ac:dyDescent="0.25">
      <c r="E908" s="396"/>
    </row>
    <row r="909" spans="5:5" x14ac:dyDescent="0.25">
      <c r="E909" s="396"/>
    </row>
    <row r="910" spans="5:5" x14ac:dyDescent="0.25">
      <c r="E910" s="396"/>
    </row>
    <row r="911" spans="5:5" x14ac:dyDescent="0.25">
      <c r="E911" s="396"/>
    </row>
    <row r="912" spans="5:5" x14ac:dyDescent="0.25">
      <c r="E912" s="396"/>
    </row>
    <row r="913" spans="5:5" x14ac:dyDescent="0.25">
      <c r="E913" s="396"/>
    </row>
    <row r="914" spans="5:5" x14ac:dyDescent="0.25">
      <c r="E914" s="396"/>
    </row>
    <row r="915" spans="5:5" x14ac:dyDescent="0.25">
      <c r="E915" s="396"/>
    </row>
    <row r="916" spans="5:5" x14ac:dyDescent="0.25">
      <c r="E916" s="396"/>
    </row>
    <row r="917" spans="5:5" x14ac:dyDescent="0.25">
      <c r="E917" s="396"/>
    </row>
    <row r="918" spans="5:5" x14ac:dyDescent="0.25">
      <c r="E918" s="396"/>
    </row>
    <row r="919" spans="5:5" x14ac:dyDescent="0.25">
      <c r="E919" s="396"/>
    </row>
    <row r="920" spans="5:5" x14ac:dyDescent="0.25">
      <c r="E920" s="396"/>
    </row>
    <row r="921" spans="5:5" x14ac:dyDescent="0.25">
      <c r="E921" s="396"/>
    </row>
    <row r="922" spans="5:5" x14ac:dyDescent="0.25">
      <c r="E922" s="396"/>
    </row>
    <row r="923" spans="5:5" x14ac:dyDescent="0.25">
      <c r="E923" s="396"/>
    </row>
    <row r="924" spans="5:5" x14ac:dyDescent="0.25">
      <c r="E924" s="396"/>
    </row>
    <row r="925" spans="5:5" x14ac:dyDescent="0.25">
      <c r="E925" s="396"/>
    </row>
    <row r="926" spans="5:5" x14ac:dyDescent="0.25">
      <c r="E926" s="396"/>
    </row>
    <row r="927" spans="5:5" x14ac:dyDescent="0.25">
      <c r="E927" s="396"/>
    </row>
    <row r="928" spans="5:5" x14ac:dyDescent="0.25">
      <c r="E928" s="396"/>
    </row>
    <row r="929" spans="5:5" x14ac:dyDescent="0.25">
      <c r="E929" s="396"/>
    </row>
    <row r="930" spans="5:5" x14ac:dyDescent="0.25">
      <c r="E930" s="396"/>
    </row>
    <row r="931" spans="5:5" x14ac:dyDescent="0.25">
      <c r="E931" s="396"/>
    </row>
    <row r="932" spans="5:5" x14ac:dyDescent="0.25">
      <c r="E932" s="396"/>
    </row>
    <row r="933" spans="5:5" x14ac:dyDescent="0.25">
      <c r="E933" s="396"/>
    </row>
    <row r="934" spans="5:5" x14ac:dyDescent="0.25">
      <c r="E934" s="396"/>
    </row>
    <row r="935" spans="5:5" x14ac:dyDescent="0.25">
      <c r="E935" s="396"/>
    </row>
    <row r="936" spans="5:5" x14ac:dyDescent="0.25">
      <c r="E936" s="396"/>
    </row>
    <row r="937" spans="5:5" x14ac:dyDescent="0.25">
      <c r="E937" s="396"/>
    </row>
    <row r="938" spans="5:5" x14ac:dyDescent="0.25">
      <c r="E938" s="396"/>
    </row>
    <row r="939" spans="5:5" x14ac:dyDescent="0.25">
      <c r="E939" s="396"/>
    </row>
    <row r="940" spans="5:5" x14ac:dyDescent="0.25">
      <c r="E940" s="396"/>
    </row>
    <row r="941" spans="5:5" x14ac:dyDescent="0.25">
      <c r="E941" s="396"/>
    </row>
    <row r="942" spans="5:5" x14ac:dyDescent="0.25">
      <c r="E942" s="396"/>
    </row>
    <row r="943" spans="5:5" x14ac:dyDescent="0.25">
      <c r="E943" s="396"/>
    </row>
    <row r="944" spans="5:5" x14ac:dyDescent="0.25">
      <c r="E944" s="396"/>
    </row>
    <row r="945" spans="5:5" x14ac:dyDescent="0.25">
      <c r="E945" s="396"/>
    </row>
    <row r="946" spans="5:5" x14ac:dyDescent="0.25">
      <c r="E946" s="396"/>
    </row>
    <row r="947" spans="5:5" x14ac:dyDescent="0.25">
      <c r="E947" s="396"/>
    </row>
    <row r="948" spans="5:5" x14ac:dyDescent="0.25">
      <c r="E948" s="396"/>
    </row>
    <row r="949" spans="5:5" x14ac:dyDescent="0.25">
      <c r="E949" s="396"/>
    </row>
    <row r="950" spans="5:5" x14ac:dyDescent="0.25">
      <c r="E950" s="396"/>
    </row>
    <row r="951" spans="5:5" x14ac:dyDescent="0.25">
      <c r="E951" s="396"/>
    </row>
    <row r="952" spans="5:5" x14ac:dyDescent="0.25">
      <c r="E952" s="396"/>
    </row>
    <row r="953" spans="5:5" x14ac:dyDescent="0.25">
      <c r="E953" s="396"/>
    </row>
    <row r="954" spans="5:5" x14ac:dyDescent="0.25">
      <c r="E954" s="396"/>
    </row>
    <row r="955" spans="5:5" x14ac:dyDescent="0.25">
      <c r="E955" s="396"/>
    </row>
    <row r="956" spans="5:5" x14ac:dyDescent="0.25">
      <c r="E956" s="396"/>
    </row>
    <row r="957" spans="5:5" x14ac:dyDescent="0.25">
      <c r="E957" s="396"/>
    </row>
    <row r="958" spans="5:5" x14ac:dyDescent="0.25">
      <c r="E958" s="396"/>
    </row>
    <row r="959" spans="5:5" x14ac:dyDescent="0.25">
      <c r="E959" s="396"/>
    </row>
    <row r="960" spans="5:5" x14ac:dyDescent="0.25">
      <c r="E960" s="396"/>
    </row>
    <row r="961" spans="5:5" x14ac:dyDescent="0.25">
      <c r="E961" s="396"/>
    </row>
    <row r="962" spans="5:5" x14ac:dyDescent="0.25">
      <c r="E962" s="396"/>
    </row>
    <row r="963" spans="5:5" x14ac:dyDescent="0.25">
      <c r="E963" s="396"/>
    </row>
    <row r="964" spans="5:5" x14ac:dyDescent="0.25">
      <c r="E964" s="396"/>
    </row>
    <row r="965" spans="5:5" x14ac:dyDescent="0.25">
      <c r="E965" s="396"/>
    </row>
    <row r="966" spans="5:5" x14ac:dyDescent="0.25">
      <c r="E966" s="396"/>
    </row>
    <row r="967" spans="5:5" x14ac:dyDescent="0.25">
      <c r="E967" s="396"/>
    </row>
    <row r="968" spans="5:5" x14ac:dyDescent="0.25">
      <c r="E968" s="396"/>
    </row>
    <row r="969" spans="5:5" x14ac:dyDescent="0.25">
      <c r="E969" s="396"/>
    </row>
    <row r="970" spans="5:5" x14ac:dyDescent="0.25">
      <c r="E970" s="396"/>
    </row>
    <row r="971" spans="5:5" x14ac:dyDescent="0.25">
      <c r="E971" s="396"/>
    </row>
    <row r="972" spans="5:5" x14ac:dyDescent="0.25">
      <c r="E972" s="396"/>
    </row>
    <row r="973" spans="5:5" x14ac:dyDescent="0.25">
      <c r="E973" s="396"/>
    </row>
    <row r="974" spans="5:5" x14ac:dyDescent="0.25">
      <c r="E974" s="396"/>
    </row>
    <row r="975" spans="5:5" x14ac:dyDescent="0.25">
      <c r="E975" s="396"/>
    </row>
    <row r="976" spans="5:5" x14ac:dyDescent="0.25">
      <c r="E976" s="396"/>
    </row>
    <row r="977" spans="5:5" x14ac:dyDescent="0.25">
      <c r="E977" s="396"/>
    </row>
    <row r="978" spans="5:5" x14ac:dyDescent="0.25">
      <c r="E978" s="396"/>
    </row>
    <row r="979" spans="5:5" x14ac:dyDescent="0.25">
      <c r="E979" s="396"/>
    </row>
    <row r="980" spans="5:5" x14ac:dyDescent="0.25">
      <c r="E980" s="396"/>
    </row>
    <row r="981" spans="5:5" x14ac:dyDescent="0.25">
      <c r="E981" s="396"/>
    </row>
    <row r="982" spans="5:5" x14ac:dyDescent="0.25">
      <c r="E982" s="396"/>
    </row>
    <row r="983" spans="5:5" x14ac:dyDescent="0.25">
      <c r="E983" s="396"/>
    </row>
    <row r="984" spans="5:5" x14ac:dyDescent="0.25">
      <c r="E984" s="396"/>
    </row>
    <row r="985" spans="5:5" x14ac:dyDescent="0.25">
      <c r="E985" s="396"/>
    </row>
    <row r="986" spans="5:5" x14ac:dyDescent="0.25">
      <c r="E986" s="396"/>
    </row>
    <row r="987" spans="5:5" x14ac:dyDescent="0.25">
      <c r="E987" s="396"/>
    </row>
    <row r="988" spans="5:5" x14ac:dyDescent="0.25">
      <c r="E988" s="396"/>
    </row>
    <row r="989" spans="5:5" x14ac:dyDescent="0.25">
      <c r="E989" s="396"/>
    </row>
    <row r="990" spans="5:5" x14ac:dyDescent="0.25">
      <c r="E990" s="396"/>
    </row>
    <row r="991" spans="5:5" x14ac:dyDescent="0.25">
      <c r="E991" s="396"/>
    </row>
    <row r="992" spans="5:5" x14ac:dyDescent="0.25">
      <c r="E992" s="396"/>
    </row>
    <row r="993" spans="5:5" x14ac:dyDescent="0.25">
      <c r="E993" s="396"/>
    </row>
    <row r="994" spans="5:5" x14ac:dyDescent="0.25">
      <c r="E994" s="396"/>
    </row>
    <row r="995" spans="5:5" x14ac:dyDescent="0.25">
      <c r="E995" s="396"/>
    </row>
    <row r="996" spans="5:5" x14ac:dyDescent="0.25">
      <c r="E996" s="396"/>
    </row>
    <row r="997" spans="5:5" x14ac:dyDescent="0.25">
      <c r="E997" s="396"/>
    </row>
    <row r="998" spans="5:5" x14ac:dyDescent="0.25">
      <c r="E998" s="396"/>
    </row>
    <row r="999" spans="5:5" x14ac:dyDescent="0.25">
      <c r="E999" s="396"/>
    </row>
    <row r="1000" spans="5:5" x14ac:dyDescent="0.25">
      <c r="E1000" s="396"/>
    </row>
    <row r="1001" spans="5:5" x14ac:dyDescent="0.25">
      <c r="E1001" s="396"/>
    </row>
    <row r="1002" spans="5:5" x14ac:dyDescent="0.25">
      <c r="E1002" s="396"/>
    </row>
    <row r="1003" spans="5:5" x14ac:dyDescent="0.25">
      <c r="E1003" s="396"/>
    </row>
    <row r="1004" spans="5:5" x14ac:dyDescent="0.25">
      <c r="E1004" s="396"/>
    </row>
    <row r="1005" spans="5:5" x14ac:dyDescent="0.25">
      <c r="E1005" s="396"/>
    </row>
    <row r="1006" spans="5:5" x14ac:dyDescent="0.25">
      <c r="E1006" s="396"/>
    </row>
    <row r="1007" spans="5:5" x14ac:dyDescent="0.25">
      <c r="E1007" s="396"/>
    </row>
    <row r="1008" spans="5:5" x14ac:dyDescent="0.25">
      <c r="E1008" s="396"/>
    </row>
    <row r="1009" spans="5:5" x14ac:dyDescent="0.25">
      <c r="E1009" s="396"/>
    </row>
    <row r="1010" spans="5:5" x14ac:dyDescent="0.25">
      <c r="E1010" s="396"/>
    </row>
    <row r="1011" spans="5:5" x14ac:dyDescent="0.25">
      <c r="E1011" s="396"/>
    </row>
    <row r="1012" spans="5:5" x14ac:dyDescent="0.25">
      <c r="E1012" s="396"/>
    </row>
    <row r="1013" spans="5:5" x14ac:dyDescent="0.25">
      <c r="E1013" s="396"/>
    </row>
    <row r="1014" spans="5:5" x14ac:dyDescent="0.25">
      <c r="E1014" s="396"/>
    </row>
    <row r="1015" spans="5:5" x14ac:dyDescent="0.25">
      <c r="E1015" s="396"/>
    </row>
    <row r="1016" spans="5:5" x14ac:dyDescent="0.25">
      <c r="E1016" s="396"/>
    </row>
    <row r="1017" spans="5:5" x14ac:dyDescent="0.25">
      <c r="E1017" s="396"/>
    </row>
    <row r="1018" spans="5:5" x14ac:dyDescent="0.25">
      <c r="E1018" s="396"/>
    </row>
    <row r="1019" spans="5:5" x14ac:dyDescent="0.25">
      <c r="E1019" s="396"/>
    </row>
    <row r="1020" spans="5:5" x14ac:dyDescent="0.25">
      <c r="E1020" s="396"/>
    </row>
    <row r="1021" spans="5:5" x14ac:dyDescent="0.25">
      <c r="E1021" s="396"/>
    </row>
    <row r="1022" spans="5:5" x14ac:dyDescent="0.25">
      <c r="E1022" s="396"/>
    </row>
    <row r="1023" spans="5:5" x14ac:dyDescent="0.25">
      <c r="E1023" s="396"/>
    </row>
    <row r="1024" spans="5:5" x14ac:dyDescent="0.25">
      <c r="E1024" s="396"/>
    </row>
    <row r="1025" spans="5:5" x14ac:dyDescent="0.25">
      <c r="E1025" s="396"/>
    </row>
    <row r="1026" spans="5:5" x14ac:dyDescent="0.25">
      <c r="E1026" s="396"/>
    </row>
    <row r="1027" spans="5:5" x14ac:dyDescent="0.25">
      <c r="E1027" s="396"/>
    </row>
    <row r="1028" spans="5:5" x14ac:dyDescent="0.25">
      <c r="E1028" s="396"/>
    </row>
    <row r="1029" spans="5:5" x14ac:dyDescent="0.25">
      <c r="E1029" s="396"/>
    </row>
    <row r="1030" spans="5:5" x14ac:dyDescent="0.25">
      <c r="E1030" s="396"/>
    </row>
    <row r="1031" spans="5:5" x14ac:dyDescent="0.25">
      <c r="E1031" s="396"/>
    </row>
    <row r="1032" spans="5:5" x14ac:dyDescent="0.25">
      <c r="E1032" s="396"/>
    </row>
    <row r="1033" spans="5:5" x14ac:dyDescent="0.25">
      <c r="E1033" s="396"/>
    </row>
    <row r="1034" spans="5:5" x14ac:dyDescent="0.25">
      <c r="E1034" s="396"/>
    </row>
    <row r="1035" spans="5:5" x14ac:dyDescent="0.25">
      <c r="E1035" s="396"/>
    </row>
    <row r="1036" spans="5:5" x14ac:dyDescent="0.25">
      <c r="E1036" s="396"/>
    </row>
    <row r="1037" spans="5:5" x14ac:dyDescent="0.25">
      <c r="E1037" s="396"/>
    </row>
    <row r="1038" spans="5:5" x14ac:dyDescent="0.25">
      <c r="E1038" s="396"/>
    </row>
    <row r="1039" spans="5:5" x14ac:dyDescent="0.25">
      <c r="E1039" s="396"/>
    </row>
    <row r="1040" spans="5:5" x14ac:dyDescent="0.25">
      <c r="E1040" s="396"/>
    </row>
    <row r="1041" spans="5:5" x14ac:dyDescent="0.25">
      <c r="E1041" s="396"/>
    </row>
    <row r="1042" spans="5:5" x14ac:dyDescent="0.25">
      <c r="E1042" s="396"/>
    </row>
    <row r="1043" spans="5:5" x14ac:dyDescent="0.25">
      <c r="E1043" s="396"/>
    </row>
    <row r="1044" spans="5:5" x14ac:dyDescent="0.25">
      <c r="E1044" s="396"/>
    </row>
    <row r="1045" spans="5:5" x14ac:dyDescent="0.25">
      <c r="E1045" s="396"/>
    </row>
    <row r="1046" spans="5:5" x14ac:dyDescent="0.25">
      <c r="E1046" s="396"/>
    </row>
    <row r="1047" spans="5:5" x14ac:dyDescent="0.25">
      <c r="E1047" s="396"/>
    </row>
    <row r="1048" spans="5:5" x14ac:dyDescent="0.25">
      <c r="E1048" s="396"/>
    </row>
    <row r="1049" spans="5:5" x14ac:dyDescent="0.25">
      <c r="E1049" s="396"/>
    </row>
    <row r="1050" spans="5:5" x14ac:dyDescent="0.25">
      <c r="E1050" s="396"/>
    </row>
    <row r="1051" spans="5:5" x14ac:dyDescent="0.25">
      <c r="E1051" s="396"/>
    </row>
    <row r="1052" spans="5:5" x14ac:dyDescent="0.25">
      <c r="E1052" s="396"/>
    </row>
    <row r="1053" spans="5:5" x14ac:dyDescent="0.25">
      <c r="E1053" s="396"/>
    </row>
    <row r="1054" spans="5:5" x14ac:dyDescent="0.25">
      <c r="E1054" s="396"/>
    </row>
    <row r="1055" spans="5:5" x14ac:dyDescent="0.25">
      <c r="E1055" s="396"/>
    </row>
    <row r="1056" spans="5:5" x14ac:dyDescent="0.25">
      <c r="E1056" s="396"/>
    </row>
    <row r="1057" spans="5:5" x14ac:dyDescent="0.25">
      <c r="E1057" s="396"/>
    </row>
    <row r="1058" spans="5:5" x14ac:dyDescent="0.25">
      <c r="E1058" s="396"/>
    </row>
    <row r="1059" spans="5:5" x14ac:dyDescent="0.25">
      <c r="E1059" s="396"/>
    </row>
    <row r="1060" spans="5:5" x14ac:dyDescent="0.25">
      <c r="E1060" s="396"/>
    </row>
    <row r="1061" spans="5:5" x14ac:dyDescent="0.25">
      <c r="E1061" s="396"/>
    </row>
    <row r="1062" spans="5:5" x14ac:dyDescent="0.25">
      <c r="E1062" s="396"/>
    </row>
    <row r="1063" spans="5:5" x14ac:dyDescent="0.25">
      <c r="E1063" s="396"/>
    </row>
    <row r="1064" spans="5:5" x14ac:dyDescent="0.25">
      <c r="E1064" s="396"/>
    </row>
    <row r="1065" spans="5:5" x14ac:dyDescent="0.25">
      <c r="E1065" s="396"/>
    </row>
    <row r="1066" spans="5:5" x14ac:dyDescent="0.25">
      <c r="E1066" s="396"/>
    </row>
    <row r="1067" spans="5:5" x14ac:dyDescent="0.25">
      <c r="E1067" s="396"/>
    </row>
    <row r="1068" spans="5:5" x14ac:dyDescent="0.25">
      <c r="E1068" s="396"/>
    </row>
    <row r="1069" spans="5:5" x14ac:dyDescent="0.25">
      <c r="E1069" s="396"/>
    </row>
    <row r="1070" spans="5:5" x14ac:dyDescent="0.25">
      <c r="E1070" s="396"/>
    </row>
    <row r="1071" spans="5:5" x14ac:dyDescent="0.25">
      <c r="E1071" s="396"/>
    </row>
    <row r="1072" spans="5:5" x14ac:dyDescent="0.25">
      <c r="E1072" s="396"/>
    </row>
    <row r="1073" spans="5:5" x14ac:dyDescent="0.25">
      <c r="E1073" s="396"/>
    </row>
    <row r="1074" spans="5:5" x14ac:dyDescent="0.25">
      <c r="E1074" s="396"/>
    </row>
    <row r="1075" spans="5:5" x14ac:dyDescent="0.25">
      <c r="E1075" s="396"/>
    </row>
    <row r="1076" spans="5:5" x14ac:dyDescent="0.25">
      <c r="E1076" s="396"/>
    </row>
    <row r="1077" spans="5:5" x14ac:dyDescent="0.25">
      <c r="E1077" s="396"/>
    </row>
    <row r="1078" spans="5:5" x14ac:dyDescent="0.25">
      <c r="E1078" s="396"/>
    </row>
    <row r="1079" spans="5:5" x14ac:dyDescent="0.25">
      <c r="E1079" s="396"/>
    </row>
    <row r="1080" spans="5:5" x14ac:dyDescent="0.25">
      <c r="E1080" s="396"/>
    </row>
    <row r="1081" spans="5:5" x14ac:dyDescent="0.25">
      <c r="E1081" s="396"/>
    </row>
    <row r="1082" spans="5:5" x14ac:dyDescent="0.25">
      <c r="E1082" s="396"/>
    </row>
    <row r="1083" spans="5:5" x14ac:dyDescent="0.25">
      <c r="E1083" s="396"/>
    </row>
    <row r="1084" spans="5:5" x14ac:dyDescent="0.25">
      <c r="E1084" s="396"/>
    </row>
    <row r="1085" spans="5:5" x14ac:dyDescent="0.25">
      <c r="E1085" s="396"/>
    </row>
    <row r="1086" spans="5:5" x14ac:dyDescent="0.25">
      <c r="E1086" s="396"/>
    </row>
    <row r="1087" spans="5:5" x14ac:dyDescent="0.25">
      <c r="E1087" s="396"/>
    </row>
    <row r="1088" spans="5:5" x14ac:dyDescent="0.25">
      <c r="E1088" s="396"/>
    </row>
    <row r="1089" spans="5:5" x14ac:dyDescent="0.25">
      <c r="E1089" s="396"/>
    </row>
    <row r="1090" spans="5:5" x14ac:dyDescent="0.25">
      <c r="E1090" s="396"/>
    </row>
    <row r="1091" spans="5:5" x14ac:dyDescent="0.25">
      <c r="E1091" s="396"/>
    </row>
    <row r="1092" spans="5:5" x14ac:dyDescent="0.25">
      <c r="E1092" s="396"/>
    </row>
    <row r="1093" spans="5:5" x14ac:dyDescent="0.25">
      <c r="E1093" s="396"/>
    </row>
    <row r="1094" spans="5:5" x14ac:dyDescent="0.25">
      <c r="E1094" s="396"/>
    </row>
    <row r="1095" spans="5:5" x14ac:dyDescent="0.25">
      <c r="E1095" s="396"/>
    </row>
    <row r="1096" spans="5:5" x14ac:dyDescent="0.25">
      <c r="E1096" s="396"/>
    </row>
    <row r="1097" spans="5:5" x14ac:dyDescent="0.25">
      <c r="E1097" s="396"/>
    </row>
    <row r="1098" spans="5:5" x14ac:dyDescent="0.25">
      <c r="E1098" s="396"/>
    </row>
    <row r="1099" spans="5:5" x14ac:dyDescent="0.25">
      <c r="E1099" s="396"/>
    </row>
    <row r="1100" spans="5:5" x14ac:dyDescent="0.25">
      <c r="E1100" s="396"/>
    </row>
    <row r="1101" spans="5:5" x14ac:dyDescent="0.25">
      <c r="E1101" s="396"/>
    </row>
    <row r="1102" spans="5:5" x14ac:dyDescent="0.25">
      <c r="E1102" s="396"/>
    </row>
    <row r="1103" spans="5:5" x14ac:dyDescent="0.25">
      <c r="E1103" s="396"/>
    </row>
    <row r="1104" spans="5:5" x14ac:dyDescent="0.25">
      <c r="E1104" s="396"/>
    </row>
    <row r="1105" spans="5:5" x14ac:dyDescent="0.25">
      <c r="E1105" s="396"/>
    </row>
    <row r="1106" spans="5:5" x14ac:dyDescent="0.25">
      <c r="E1106" s="396"/>
    </row>
    <row r="1107" spans="5:5" x14ac:dyDescent="0.25">
      <c r="E1107" s="396"/>
    </row>
    <row r="1108" spans="5:5" x14ac:dyDescent="0.25">
      <c r="E1108" s="396"/>
    </row>
    <row r="1109" spans="5:5" x14ac:dyDescent="0.25">
      <c r="E1109" s="396"/>
    </row>
    <row r="1110" spans="5:5" x14ac:dyDescent="0.25">
      <c r="E1110" s="396"/>
    </row>
    <row r="1111" spans="5:5" x14ac:dyDescent="0.25">
      <c r="E1111" s="396"/>
    </row>
    <row r="1112" spans="5:5" x14ac:dyDescent="0.25">
      <c r="E1112" s="396"/>
    </row>
    <row r="1113" spans="5:5" x14ac:dyDescent="0.25">
      <c r="E1113" s="396"/>
    </row>
    <row r="1114" spans="5:5" x14ac:dyDescent="0.25">
      <c r="E1114" s="396"/>
    </row>
    <row r="1115" spans="5:5" x14ac:dyDescent="0.25">
      <c r="E1115" s="396"/>
    </row>
    <row r="1116" spans="5:5" x14ac:dyDescent="0.25">
      <c r="E1116" s="396"/>
    </row>
    <row r="1117" spans="5:5" x14ac:dyDescent="0.25">
      <c r="E1117" s="396"/>
    </row>
    <row r="1118" spans="5:5" x14ac:dyDescent="0.25">
      <c r="E1118" s="396"/>
    </row>
    <row r="1119" spans="5:5" x14ac:dyDescent="0.25">
      <c r="E1119" s="396"/>
    </row>
    <row r="1120" spans="5:5" x14ac:dyDescent="0.25">
      <c r="E1120" s="396"/>
    </row>
    <row r="1121" spans="5:5" x14ac:dyDescent="0.25">
      <c r="E1121" s="396"/>
    </row>
    <row r="1122" spans="5:5" x14ac:dyDescent="0.25">
      <c r="E1122" s="396"/>
    </row>
    <row r="1123" spans="5:5" x14ac:dyDescent="0.25">
      <c r="E1123" s="396"/>
    </row>
    <row r="1124" spans="5:5" x14ac:dyDescent="0.25">
      <c r="E1124" s="396"/>
    </row>
    <row r="1125" spans="5:5" x14ac:dyDescent="0.25">
      <c r="E1125" s="396"/>
    </row>
    <row r="1126" spans="5:5" x14ac:dyDescent="0.25">
      <c r="E1126" s="396"/>
    </row>
    <row r="1127" spans="5:5" x14ac:dyDescent="0.25">
      <c r="E1127" s="396"/>
    </row>
    <row r="1128" spans="5:5" x14ac:dyDescent="0.25">
      <c r="E1128" s="396"/>
    </row>
    <row r="1129" spans="5:5" x14ac:dyDescent="0.25">
      <c r="E1129" s="396"/>
    </row>
    <row r="1130" spans="5:5" x14ac:dyDescent="0.25">
      <c r="E1130" s="396"/>
    </row>
    <row r="1131" spans="5:5" x14ac:dyDescent="0.25">
      <c r="E1131" s="396"/>
    </row>
    <row r="1132" spans="5:5" x14ac:dyDescent="0.25">
      <c r="E1132" s="396"/>
    </row>
    <row r="1133" spans="5:5" x14ac:dyDescent="0.25">
      <c r="E1133" s="396"/>
    </row>
    <row r="1134" spans="5:5" x14ac:dyDescent="0.25">
      <c r="E1134" s="396"/>
    </row>
    <row r="1135" spans="5:5" x14ac:dyDescent="0.25">
      <c r="E1135" s="396"/>
    </row>
    <row r="1136" spans="5:5" x14ac:dyDescent="0.25">
      <c r="E1136" s="396"/>
    </row>
    <row r="1137" spans="5:5" x14ac:dyDescent="0.25">
      <c r="E1137" s="396"/>
    </row>
    <row r="1138" spans="5:5" x14ac:dyDescent="0.25">
      <c r="E1138" s="396"/>
    </row>
    <row r="1139" spans="5:5" x14ac:dyDescent="0.25">
      <c r="E1139" s="396"/>
    </row>
    <row r="1140" spans="5:5" x14ac:dyDescent="0.25">
      <c r="E1140" s="396"/>
    </row>
    <row r="1141" spans="5:5" x14ac:dyDescent="0.25">
      <c r="E1141" s="396"/>
    </row>
    <row r="1142" spans="5:5" x14ac:dyDescent="0.25">
      <c r="E1142" s="396"/>
    </row>
    <row r="1143" spans="5:5" x14ac:dyDescent="0.25">
      <c r="E1143" s="396"/>
    </row>
    <row r="1144" spans="5:5" x14ac:dyDescent="0.25">
      <c r="E1144" s="396"/>
    </row>
    <row r="1145" spans="5:5" x14ac:dyDescent="0.25">
      <c r="E1145" s="396"/>
    </row>
    <row r="1146" spans="5:5" x14ac:dyDescent="0.25">
      <c r="E1146" s="396"/>
    </row>
    <row r="1147" spans="5:5" x14ac:dyDescent="0.25">
      <c r="E1147" s="396"/>
    </row>
    <row r="1148" spans="5:5" x14ac:dyDescent="0.25">
      <c r="E1148" s="396"/>
    </row>
    <row r="1149" spans="5:5" x14ac:dyDescent="0.25">
      <c r="E1149" s="396"/>
    </row>
    <row r="1150" spans="5:5" x14ac:dyDescent="0.25">
      <c r="E1150" s="396"/>
    </row>
    <row r="1151" spans="5:5" x14ac:dyDescent="0.25">
      <c r="E1151" s="396"/>
    </row>
    <row r="1152" spans="5:5" x14ac:dyDescent="0.25">
      <c r="E1152" s="396"/>
    </row>
    <row r="1153" spans="5:5" x14ac:dyDescent="0.25">
      <c r="E1153" s="396"/>
    </row>
    <row r="1154" spans="5:5" x14ac:dyDescent="0.25">
      <c r="E1154" s="396"/>
    </row>
    <row r="1155" spans="5:5" x14ac:dyDescent="0.25">
      <c r="E1155" s="396"/>
    </row>
    <row r="1156" spans="5:5" x14ac:dyDescent="0.25">
      <c r="E1156" s="396"/>
    </row>
    <row r="1157" spans="5:5" x14ac:dyDescent="0.25">
      <c r="E1157" s="396"/>
    </row>
    <row r="1158" spans="5:5" x14ac:dyDescent="0.25">
      <c r="E1158" s="396"/>
    </row>
    <row r="1159" spans="5:5" x14ac:dyDescent="0.25">
      <c r="E1159" s="396"/>
    </row>
    <row r="1160" spans="5:5" x14ac:dyDescent="0.25">
      <c r="E1160" s="396"/>
    </row>
    <row r="1161" spans="5:5" x14ac:dyDescent="0.25">
      <c r="E1161" s="396"/>
    </row>
    <row r="1162" spans="5:5" x14ac:dyDescent="0.25">
      <c r="E1162" s="396"/>
    </row>
    <row r="1163" spans="5:5" x14ac:dyDescent="0.25">
      <c r="E1163" s="396"/>
    </row>
    <row r="1164" spans="5:5" x14ac:dyDescent="0.25">
      <c r="E1164" s="396"/>
    </row>
    <row r="1165" spans="5:5" x14ac:dyDescent="0.25">
      <c r="E1165" s="396"/>
    </row>
    <row r="1166" spans="5:5" x14ac:dyDescent="0.25">
      <c r="E1166" s="396"/>
    </row>
    <row r="1167" spans="5:5" x14ac:dyDescent="0.25">
      <c r="E1167" s="396"/>
    </row>
    <row r="1168" spans="5:5" x14ac:dyDescent="0.25">
      <c r="E1168" s="396"/>
    </row>
    <row r="1169" spans="5:5" x14ac:dyDescent="0.25">
      <c r="E1169" s="396"/>
    </row>
    <row r="1170" spans="5:5" x14ac:dyDescent="0.25">
      <c r="E1170" s="396"/>
    </row>
    <row r="1171" spans="5:5" x14ac:dyDescent="0.25">
      <c r="E1171" s="396"/>
    </row>
    <row r="1172" spans="5:5" x14ac:dyDescent="0.25">
      <c r="E1172" s="396"/>
    </row>
    <row r="1173" spans="5:5" x14ac:dyDescent="0.25">
      <c r="E1173" s="396"/>
    </row>
    <row r="1174" spans="5:5" x14ac:dyDescent="0.25">
      <c r="E1174" s="396"/>
    </row>
    <row r="1175" spans="5:5" x14ac:dyDescent="0.25">
      <c r="E1175" s="396"/>
    </row>
    <row r="1176" spans="5:5" x14ac:dyDescent="0.25">
      <c r="E1176" s="396"/>
    </row>
    <row r="1177" spans="5:5" x14ac:dyDescent="0.25">
      <c r="E1177" s="396"/>
    </row>
    <row r="1178" spans="5:5" x14ac:dyDescent="0.25">
      <c r="E1178" s="396"/>
    </row>
    <row r="1179" spans="5:5" x14ac:dyDescent="0.25">
      <c r="E1179" s="396"/>
    </row>
    <row r="1180" spans="5:5" x14ac:dyDescent="0.25">
      <c r="E1180" s="396"/>
    </row>
    <row r="1181" spans="5:5" x14ac:dyDescent="0.25">
      <c r="E1181" s="396"/>
    </row>
    <row r="1182" spans="5:5" x14ac:dyDescent="0.25">
      <c r="E1182" s="396"/>
    </row>
    <row r="1183" spans="5:5" x14ac:dyDescent="0.25">
      <c r="E1183" s="396"/>
    </row>
    <row r="1184" spans="5:5" x14ac:dyDescent="0.25">
      <c r="E1184" s="396"/>
    </row>
    <row r="1185" spans="5:5" x14ac:dyDescent="0.25">
      <c r="E1185" s="396"/>
    </row>
    <row r="1186" spans="5:5" x14ac:dyDescent="0.25">
      <c r="E1186" s="396"/>
    </row>
    <row r="1187" spans="5:5" x14ac:dyDescent="0.25">
      <c r="E1187" s="396"/>
    </row>
    <row r="1188" spans="5:5" x14ac:dyDescent="0.25">
      <c r="E1188" s="396"/>
    </row>
    <row r="1189" spans="5:5" x14ac:dyDescent="0.25">
      <c r="E1189" s="396"/>
    </row>
    <row r="1190" spans="5:5" x14ac:dyDescent="0.25">
      <c r="E1190" s="396"/>
    </row>
    <row r="1191" spans="5:5" x14ac:dyDescent="0.25">
      <c r="E1191" s="396"/>
    </row>
    <row r="1192" spans="5:5" x14ac:dyDescent="0.25">
      <c r="E1192" s="396"/>
    </row>
    <row r="1193" spans="5:5" x14ac:dyDescent="0.25">
      <c r="E1193" s="396"/>
    </row>
    <row r="1194" spans="5:5" x14ac:dyDescent="0.25">
      <c r="E1194" s="396"/>
    </row>
    <row r="1195" spans="5:5" x14ac:dyDescent="0.25">
      <c r="E1195" s="396"/>
    </row>
    <row r="1196" spans="5:5" x14ac:dyDescent="0.25">
      <c r="E1196" s="396"/>
    </row>
    <row r="1197" spans="5:5" x14ac:dyDescent="0.25">
      <c r="E1197" s="396"/>
    </row>
    <row r="1198" spans="5:5" x14ac:dyDescent="0.25">
      <c r="E1198" s="396"/>
    </row>
    <row r="1199" spans="5:5" x14ac:dyDescent="0.25">
      <c r="E1199" s="396"/>
    </row>
    <row r="1200" spans="5:5" x14ac:dyDescent="0.25">
      <c r="E1200" s="396"/>
    </row>
    <row r="1201" spans="5:5" x14ac:dyDescent="0.25">
      <c r="E1201" s="396"/>
    </row>
    <row r="1202" spans="5:5" x14ac:dyDescent="0.25">
      <c r="E1202" s="396"/>
    </row>
    <row r="1203" spans="5:5" x14ac:dyDescent="0.25">
      <c r="E1203" s="396"/>
    </row>
    <row r="1204" spans="5:5" x14ac:dyDescent="0.25">
      <c r="E1204" s="396"/>
    </row>
    <row r="1205" spans="5:5" x14ac:dyDescent="0.25">
      <c r="E1205" s="396"/>
    </row>
    <row r="1206" spans="5:5" x14ac:dyDescent="0.25">
      <c r="E1206" s="396"/>
    </row>
    <row r="1207" spans="5:5" x14ac:dyDescent="0.25">
      <c r="E1207" s="396"/>
    </row>
    <row r="1208" spans="5:5" x14ac:dyDescent="0.25">
      <c r="E1208" s="396"/>
    </row>
    <row r="1209" spans="5:5" x14ac:dyDescent="0.25">
      <c r="E1209" s="396"/>
    </row>
    <row r="1210" spans="5:5" x14ac:dyDescent="0.25">
      <c r="E1210" s="396"/>
    </row>
    <row r="1211" spans="5:5" x14ac:dyDescent="0.25">
      <c r="E1211" s="396"/>
    </row>
    <row r="1212" spans="5:5" x14ac:dyDescent="0.25">
      <c r="E1212" s="396"/>
    </row>
    <row r="1213" spans="5:5" x14ac:dyDescent="0.25">
      <c r="E1213" s="396"/>
    </row>
    <row r="1214" spans="5:5" x14ac:dyDescent="0.25">
      <c r="E1214" s="396"/>
    </row>
    <row r="1215" spans="5:5" x14ac:dyDescent="0.25">
      <c r="E1215" s="396"/>
    </row>
    <row r="1216" spans="5:5" x14ac:dyDescent="0.25">
      <c r="E1216" s="396"/>
    </row>
    <row r="1217" spans="5:5" x14ac:dyDescent="0.25">
      <c r="E1217" s="396"/>
    </row>
    <row r="1218" spans="5:5" x14ac:dyDescent="0.25">
      <c r="E1218" s="396"/>
    </row>
    <row r="1219" spans="5:5" x14ac:dyDescent="0.25">
      <c r="E1219" s="396"/>
    </row>
    <row r="1220" spans="5:5" x14ac:dyDescent="0.25">
      <c r="E1220" s="396"/>
    </row>
    <row r="1221" spans="5:5" x14ac:dyDescent="0.25">
      <c r="E1221" s="396"/>
    </row>
    <row r="1222" spans="5:5" x14ac:dyDescent="0.25">
      <c r="E1222" s="396"/>
    </row>
    <row r="1223" spans="5:5" x14ac:dyDescent="0.25">
      <c r="E1223" s="396"/>
    </row>
    <row r="1224" spans="5:5" x14ac:dyDescent="0.25">
      <c r="E1224" s="396"/>
    </row>
    <row r="1225" spans="5:5" x14ac:dyDescent="0.25">
      <c r="E1225" s="396"/>
    </row>
    <row r="1226" spans="5:5" x14ac:dyDescent="0.25">
      <c r="E1226" s="396"/>
    </row>
    <row r="1227" spans="5:5" x14ac:dyDescent="0.25">
      <c r="E1227" s="396"/>
    </row>
    <row r="1228" spans="5:5" x14ac:dyDescent="0.25">
      <c r="E1228" s="396"/>
    </row>
    <row r="1229" spans="5:5" x14ac:dyDescent="0.25">
      <c r="E1229" s="396"/>
    </row>
    <row r="1230" spans="5:5" x14ac:dyDescent="0.25">
      <c r="E1230" s="396"/>
    </row>
    <row r="1231" spans="5:5" x14ac:dyDescent="0.25">
      <c r="E1231" s="396"/>
    </row>
    <row r="1232" spans="5:5" x14ac:dyDescent="0.25">
      <c r="E1232" s="396"/>
    </row>
    <row r="1233" spans="5:5" x14ac:dyDescent="0.25">
      <c r="E1233" s="396"/>
    </row>
    <row r="1234" spans="5:5" x14ac:dyDescent="0.25">
      <c r="E1234" s="396"/>
    </row>
    <row r="1235" spans="5:5" x14ac:dyDescent="0.25">
      <c r="E1235" s="396"/>
    </row>
    <row r="1236" spans="5:5" x14ac:dyDescent="0.25">
      <c r="E1236" s="396"/>
    </row>
    <row r="1237" spans="5:5" x14ac:dyDescent="0.25">
      <c r="E1237" s="396"/>
    </row>
    <row r="1238" spans="5:5" x14ac:dyDescent="0.25">
      <c r="E1238" s="396"/>
    </row>
    <row r="1239" spans="5:5" x14ac:dyDescent="0.25">
      <c r="E1239" s="396"/>
    </row>
    <row r="1240" spans="5:5" x14ac:dyDescent="0.25">
      <c r="E1240" s="396"/>
    </row>
    <row r="1241" spans="5:5" x14ac:dyDescent="0.25">
      <c r="E1241" s="396"/>
    </row>
    <row r="1242" spans="5:5" x14ac:dyDescent="0.25">
      <c r="E1242" s="396"/>
    </row>
    <row r="1243" spans="5:5" x14ac:dyDescent="0.25">
      <c r="E1243" s="396"/>
    </row>
    <row r="1244" spans="5:5" x14ac:dyDescent="0.25">
      <c r="E1244" s="396"/>
    </row>
    <row r="1245" spans="5:5" x14ac:dyDescent="0.25">
      <c r="E1245" s="396"/>
    </row>
    <row r="1246" spans="5:5" x14ac:dyDescent="0.25">
      <c r="E1246" s="396"/>
    </row>
    <row r="1247" spans="5:5" x14ac:dyDescent="0.25">
      <c r="E1247" s="396"/>
    </row>
    <row r="1248" spans="5:5" x14ac:dyDescent="0.25">
      <c r="E1248" s="396"/>
    </row>
    <row r="1249" spans="5:5" x14ac:dyDescent="0.25">
      <c r="E1249" s="396"/>
    </row>
    <row r="1250" spans="5:5" x14ac:dyDescent="0.25">
      <c r="E1250" s="396"/>
    </row>
    <row r="1251" spans="5:5" x14ac:dyDescent="0.25">
      <c r="E1251" s="396"/>
    </row>
    <row r="1252" spans="5:5" x14ac:dyDescent="0.25">
      <c r="E1252" s="396"/>
    </row>
    <row r="1253" spans="5:5" x14ac:dyDescent="0.25">
      <c r="E1253" s="396"/>
    </row>
    <row r="1254" spans="5:5" x14ac:dyDescent="0.25">
      <c r="E1254" s="396"/>
    </row>
    <row r="1255" spans="5:5" x14ac:dyDescent="0.25">
      <c r="E1255" s="396"/>
    </row>
    <row r="1256" spans="5:5" x14ac:dyDescent="0.25">
      <c r="E1256" s="396"/>
    </row>
    <row r="1257" spans="5:5" x14ac:dyDescent="0.25">
      <c r="E1257" s="396"/>
    </row>
    <row r="1258" spans="5:5" x14ac:dyDescent="0.25">
      <c r="E1258" s="396"/>
    </row>
    <row r="1259" spans="5:5" x14ac:dyDescent="0.25">
      <c r="E1259" s="396"/>
    </row>
    <row r="1260" spans="5:5" x14ac:dyDescent="0.25">
      <c r="E1260" s="396"/>
    </row>
    <row r="1261" spans="5:5" x14ac:dyDescent="0.25">
      <c r="E1261" s="396"/>
    </row>
    <row r="1262" spans="5:5" x14ac:dyDescent="0.25">
      <c r="E1262" s="396"/>
    </row>
    <row r="1263" spans="5:5" x14ac:dyDescent="0.25">
      <c r="E1263" s="396"/>
    </row>
    <row r="1264" spans="5:5" x14ac:dyDescent="0.25">
      <c r="E1264" s="396"/>
    </row>
    <row r="1265" spans="5:5" x14ac:dyDescent="0.25">
      <c r="E1265" s="396"/>
    </row>
    <row r="1266" spans="5:5" x14ac:dyDescent="0.25">
      <c r="E1266" s="396"/>
    </row>
    <row r="1267" spans="5:5" x14ac:dyDescent="0.25">
      <c r="E1267" s="396"/>
    </row>
    <row r="1268" spans="5:5" x14ac:dyDescent="0.25">
      <c r="E1268" s="396"/>
    </row>
    <row r="1269" spans="5:5" x14ac:dyDescent="0.25">
      <c r="E1269" s="396"/>
    </row>
    <row r="1270" spans="5:5" x14ac:dyDescent="0.25">
      <c r="E1270" s="396"/>
    </row>
    <row r="1271" spans="5:5" x14ac:dyDescent="0.25">
      <c r="E1271" s="396"/>
    </row>
    <row r="1272" spans="5:5" x14ac:dyDescent="0.25">
      <c r="E1272" s="396"/>
    </row>
    <row r="1273" spans="5:5" x14ac:dyDescent="0.25">
      <c r="E1273" s="396"/>
    </row>
    <row r="1274" spans="5:5" x14ac:dyDescent="0.25">
      <c r="E1274" s="396"/>
    </row>
    <row r="1275" spans="5:5" x14ac:dyDescent="0.25">
      <c r="E1275" s="396"/>
    </row>
    <row r="1276" spans="5:5" x14ac:dyDescent="0.25">
      <c r="E1276" s="396"/>
    </row>
    <row r="1277" spans="5:5" x14ac:dyDescent="0.25">
      <c r="E1277" s="396"/>
    </row>
    <row r="1278" spans="5:5" x14ac:dyDescent="0.25">
      <c r="E1278" s="396"/>
    </row>
    <row r="1279" spans="5:5" x14ac:dyDescent="0.25">
      <c r="E1279" s="396"/>
    </row>
    <row r="1280" spans="5:5" x14ac:dyDescent="0.25">
      <c r="E1280" s="396"/>
    </row>
    <row r="1281" spans="5:5" x14ac:dyDescent="0.25">
      <c r="E1281" s="396"/>
    </row>
    <row r="1282" spans="5:5" x14ac:dyDescent="0.25">
      <c r="E1282" s="396"/>
    </row>
    <row r="1283" spans="5:5" x14ac:dyDescent="0.25">
      <c r="E1283" s="396"/>
    </row>
    <row r="1284" spans="5:5" x14ac:dyDescent="0.25">
      <c r="E1284" s="396"/>
    </row>
    <row r="1285" spans="5:5" x14ac:dyDescent="0.25">
      <c r="E1285" s="396"/>
    </row>
    <row r="1286" spans="5:5" x14ac:dyDescent="0.25">
      <c r="E1286" s="396"/>
    </row>
    <row r="1287" spans="5:5" x14ac:dyDescent="0.25">
      <c r="E1287" s="396"/>
    </row>
    <row r="1288" spans="5:5" x14ac:dyDescent="0.25">
      <c r="E1288" s="396"/>
    </row>
    <row r="1289" spans="5:5" x14ac:dyDescent="0.25">
      <c r="E1289" s="396"/>
    </row>
    <row r="1290" spans="5:5" x14ac:dyDescent="0.25">
      <c r="E1290" s="396"/>
    </row>
    <row r="1291" spans="5:5" x14ac:dyDescent="0.25">
      <c r="E1291" s="396"/>
    </row>
    <row r="1292" spans="5:5" x14ac:dyDescent="0.25">
      <c r="E1292" s="396"/>
    </row>
    <row r="1293" spans="5:5" x14ac:dyDescent="0.25">
      <c r="E1293" s="396"/>
    </row>
    <row r="1294" spans="5:5" x14ac:dyDescent="0.25">
      <c r="E1294" s="396"/>
    </row>
    <row r="1295" spans="5:5" x14ac:dyDescent="0.25">
      <c r="E1295" s="396"/>
    </row>
    <row r="1296" spans="5:5" x14ac:dyDescent="0.25">
      <c r="E1296" s="396"/>
    </row>
    <row r="1297" spans="5:5" x14ac:dyDescent="0.25">
      <c r="E1297" s="396"/>
    </row>
    <row r="1298" spans="5:5" x14ac:dyDescent="0.25">
      <c r="E1298" s="396"/>
    </row>
    <row r="1299" spans="5:5" x14ac:dyDescent="0.25">
      <c r="E1299" s="396"/>
    </row>
    <row r="1300" spans="5:5" x14ac:dyDescent="0.25">
      <c r="E1300" s="396"/>
    </row>
    <row r="1301" spans="5:5" x14ac:dyDescent="0.25">
      <c r="E1301" s="396"/>
    </row>
    <row r="1302" spans="5:5" x14ac:dyDescent="0.25">
      <c r="E1302" s="396"/>
    </row>
    <row r="1303" spans="5:5" x14ac:dyDescent="0.25">
      <c r="E1303" s="396"/>
    </row>
    <row r="1304" spans="5:5" x14ac:dyDescent="0.25">
      <c r="E1304" s="396"/>
    </row>
    <row r="1305" spans="5:5" x14ac:dyDescent="0.25">
      <c r="E1305" s="396"/>
    </row>
    <row r="1306" spans="5:5" x14ac:dyDescent="0.25">
      <c r="E1306" s="396"/>
    </row>
    <row r="1307" spans="5:5" x14ac:dyDescent="0.25">
      <c r="E1307" s="396"/>
    </row>
    <row r="1308" spans="5:5" x14ac:dyDescent="0.25">
      <c r="E1308" s="396"/>
    </row>
    <row r="1309" spans="5:5" x14ac:dyDescent="0.25">
      <c r="E1309" s="396"/>
    </row>
    <row r="1310" spans="5:5" x14ac:dyDescent="0.25">
      <c r="E1310" s="396"/>
    </row>
    <row r="1311" spans="5:5" x14ac:dyDescent="0.25">
      <c r="E1311" s="396"/>
    </row>
    <row r="1312" spans="5:5" x14ac:dyDescent="0.25">
      <c r="E1312" s="396"/>
    </row>
    <row r="1313" spans="5:5" x14ac:dyDescent="0.25">
      <c r="E1313" s="396"/>
    </row>
    <row r="1314" spans="5:5" x14ac:dyDescent="0.25">
      <c r="E1314" s="396"/>
    </row>
    <row r="1315" spans="5:5" x14ac:dyDescent="0.25">
      <c r="E1315" s="396"/>
    </row>
    <row r="1316" spans="5:5" x14ac:dyDescent="0.25">
      <c r="E1316" s="396"/>
    </row>
    <row r="1317" spans="5:5" x14ac:dyDescent="0.25">
      <c r="E1317" s="396"/>
    </row>
    <row r="1318" spans="5:5" x14ac:dyDescent="0.25">
      <c r="E1318" s="396"/>
    </row>
    <row r="1319" spans="5:5" x14ac:dyDescent="0.25">
      <c r="E1319" s="396"/>
    </row>
    <row r="1320" spans="5:5" x14ac:dyDescent="0.25">
      <c r="E1320" s="396"/>
    </row>
    <row r="1321" spans="5:5" x14ac:dyDescent="0.25">
      <c r="E1321" s="396"/>
    </row>
    <row r="1322" spans="5:5" x14ac:dyDescent="0.25">
      <c r="E1322" s="396"/>
    </row>
    <row r="1323" spans="5:5" x14ac:dyDescent="0.25">
      <c r="E1323" s="396"/>
    </row>
    <row r="1324" spans="5:5" x14ac:dyDescent="0.25">
      <c r="E1324" s="396"/>
    </row>
    <row r="1325" spans="5:5" x14ac:dyDescent="0.25">
      <c r="E1325" s="396"/>
    </row>
    <row r="1326" spans="5:5" x14ac:dyDescent="0.25">
      <c r="E1326" s="396"/>
    </row>
    <row r="1327" spans="5:5" x14ac:dyDescent="0.25">
      <c r="E1327" s="396"/>
    </row>
    <row r="1328" spans="5:5" x14ac:dyDescent="0.25">
      <c r="E1328" s="396"/>
    </row>
    <row r="1329" spans="5:5" x14ac:dyDescent="0.25">
      <c r="E1329" s="396"/>
    </row>
    <row r="1330" spans="5:5" x14ac:dyDescent="0.25">
      <c r="E1330" s="396"/>
    </row>
    <row r="1331" spans="5:5" x14ac:dyDescent="0.25">
      <c r="E1331" s="396"/>
    </row>
    <row r="1332" spans="5:5" x14ac:dyDescent="0.25">
      <c r="E1332" s="396"/>
    </row>
    <row r="1333" spans="5:5" x14ac:dyDescent="0.25">
      <c r="E1333" s="396"/>
    </row>
    <row r="1334" spans="5:5" x14ac:dyDescent="0.25">
      <c r="E1334" s="396"/>
    </row>
    <row r="1335" spans="5:5" x14ac:dyDescent="0.25">
      <c r="E1335" s="396"/>
    </row>
    <row r="1336" spans="5:5" x14ac:dyDescent="0.25">
      <c r="E1336" s="396"/>
    </row>
    <row r="1337" spans="5:5" x14ac:dyDescent="0.25">
      <c r="E1337" s="396"/>
    </row>
    <row r="1338" spans="5:5" x14ac:dyDescent="0.25">
      <c r="E1338" s="396"/>
    </row>
    <row r="1339" spans="5:5" x14ac:dyDescent="0.25">
      <c r="E1339" s="396"/>
    </row>
    <row r="1340" spans="5:5" x14ac:dyDescent="0.25">
      <c r="E1340" s="396"/>
    </row>
    <row r="1341" spans="5:5" x14ac:dyDescent="0.25">
      <c r="E1341" s="396"/>
    </row>
    <row r="1342" spans="5:5" x14ac:dyDescent="0.25">
      <c r="E1342" s="396"/>
    </row>
    <row r="1343" spans="5:5" x14ac:dyDescent="0.25">
      <c r="E1343" s="396"/>
    </row>
    <row r="1344" spans="5:5" x14ac:dyDescent="0.25">
      <c r="E1344" s="396"/>
    </row>
    <row r="1345" spans="5:5" x14ac:dyDescent="0.25">
      <c r="E1345" s="396"/>
    </row>
    <row r="1346" spans="5:5" x14ac:dyDescent="0.25">
      <c r="E1346" s="396"/>
    </row>
    <row r="1347" spans="5:5" x14ac:dyDescent="0.25">
      <c r="E1347" s="396"/>
    </row>
    <row r="1348" spans="5:5" x14ac:dyDescent="0.25">
      <c r="E1348" s="396"/>
    </row>
    <row r="1349" spans="5:5" x14ac:dyDescent="0.25">
      <c r="E1349" s="396"/>
    </row>
    <row r="1350" spans="5:5" x14ac:dyDescent="0.25">
      <c r="E1350" s="396"/>
    </row>
    <row r="1351" spans="5:5" x14ac:dyDescent="0.25">
      <c r="E1351" s="396"/>
    </row>
    <row r="1352" spans="5:5" x14ac:dyDescent="0.25">
      <c r="E1352" s="396"/>
    </row>
    <row r="1353" spans="5:5" x14ac:dyDescent="0.25">
      <c r="E1353" s="396"/>
    </row>
    <row r="1354" spans="5:5" x14ac:dyDescent="0.25">
      <c r="E1354" s="396"/>
    </row>
    <row r="1355" spans="5:5" x14ac:dyDescent="0.25">
      <c r="E1355" s="396"/>
    </row>
    <row r="1356" spans="5:5" x14ac:dyDescent="0.25">
      <c r="E1356" s="396"/>
    </row>
    <row r="1357" spans="5:5" x14ac:dyDescent="0.25">
      <c r="E1357" s="396"/>
    </row>
    <row r="1358" spans="5:5" x14ac:dyDescent="0.25">
      <c r="E1358" s="396"/>
    </row>
    <row r="1359" spans="5:5" x14ac:dyDescent="0.25">
      <c r="E1359" s="396"/>
    </row>
    <row r="1360" spans="5:5" x14ac:dyDescent="0.25">
      <c r="E1360" s="396"/>
    </row>
    <row r="1361" spans="5:5" x14ac:dyDescent="0.25">
      <c r="E1361" s="396"/>
    </row>
    <row r="1362" spans="5:5" x14ac:dyDescent="0.25">
      <c r="E1362" s="396"/>
    </row>
    <row r="1363" spans="5:5" x14ac:dyDescent="0.25">
      <c r="E1363" s="396"/>
    </row>
    <row r="1364" spans="5:5" x14ac:dyDescent="0.25">
      <c r="E1364" s="396"/>
    </row>
    <row r="1365" spans="5:5" x14ac:dyDescent="0.25">
      <c r="E1365" s="396"/>
    </row>
    <row r="1366" spans="5:5" x14ac:dyDescent="0.25">
      <c r="E1366" s="396"/>
    </row>
    <row r="1367" spans="5:5" x14ac:dyDescent="0.25">
      <c r="E1367" s="396"/>
    </row>
    <row r="1368" spans="5:5" x14ac:dyDescent="0.25">
      <c r="E1368" s="396"/>
    </row>
    <row r="1369" spans="5:5" x14ac:dyDescent="0.25">
      <c r="E1369" s="396"/>
    </row>
    <row r="1370" spans="5:5" x14ac:dyDescent="0.25">
      <c r="E1370" s="396"/>
    </row>
    <row r="1371" spans="5:5" x14ac:dyDescent="0.25">
      <c r="E1371" s="396"/>
    </row>
    <row r="1372" spans="5:5" x14ac:dyDescent="0.25">
      <c r="E1372" s="396"/>
    </row>
    <row r="1373" spans="5:5" x14ac:dyDescent="0.25">
      <c r="E1373" s="396"/>
    </row>
    <row r="1374" spans="5:5" x14ac:dyDescent="0.25">
      <c r="E1374" s="396"/>
    </row>
    <row r="1375" spans="5:5" x14ac:dyDescent="0.25">
      <c r="E1375" s="396"/>
    </row>
    <row r="1376" spans="5:5" x14ac:dyDescent="0.25">
      <c r="E1376" s="396"/>
    </row>
    <row r="1377" spans="5:5" x14ac:dyDescent="0.25">
      <c r="E1377" s="396"/>
    </row>
    <row r="1378" spans="5:5" x14ac:dyDescent="0.25">
      <c r="E1378" s="396"/>
    </row>
    <row r="1379" spans="5:5" x14ac:dyDescent="0.25">
      <c r="E1379" s="396"/>
    </row>
    <row r="1380" spans="5:5" x14ac:dyDescent="0.25">
      <c r="E1380" s="396"/>
    </row>
    <row r="1381" spans="5:5" x14ac:dyDescent="0.25">
      <c r="E1381" s="396"/>
    </row>
    <row r="1382" spans="5:5" x14ac:dyDescent="0.25">
      <c r="E1382" s="396"/>
    </row>
    <row r="1383" spans="5:5" x14ac:dyDescent="0.25">
      <c r="E1383" s="396"/>
    </row>
    <row r="1384" spans="5:5" x14ac:dyDescent="0.25">
      <c r="E1384" s="396"/>
    </row>
    <row r="1385" spans="5:5" x14ac:dyDescent="0.25">
      <c r="E1385" s="396"/>
    </row>
    <row r="1386" spans="5:5" x14ac:dyDescent="0.25">
      <c r="E1386" s="396"/>
    </row>
    <row r="1387" spans="5:5" x14ac:dyDescent="0.25">
      <c r="E1387" s="396"/>
    </row>
    <row r="1388" spans="5:5" x14ac:dyDescent="0.25">
      <c r="E1388" s="396"/>
    </row>
    <row r="1389" spans="5:5" x14ac:dyDescent="0.25">
      <c r="E1389" s="396"/>
    </row>
    <row r="1390" spans="5:5" x14ac:dyDescent="0.25">
      <c r="E1390" s="396"/>
    </row>
    <row r="1391" spans="5:5" x14ac:dyDescent="0.25">
      <c r="E1391" s="396"/>
    </row>
    <row r="1392" spans="5:5" x14ac:dyDescent="0.25">
      <c r="E1392" s="396"/>
    </row>
    <row r="1393" spans="5:5" x14ac:dyDescent="0.25">
      <c r="E1393" s="396"/>
    </row>
    <row r="1394" spans="5:5" x14ac:dyDescent="0.25">
      <c r="E1394" s="396"/>
    </row>
    <row r="1395" spans="5:5" x14ac:dyDescent="0.25">
      <c r="E1395" s="396"/>
    </row>
    <row r="1396" spans="5:5" x14ac:dyDescent="0.25">
      <c r="E1396" s="396"/>
    </row>
    <row r="1397" spans="5:5" x14ac:dyDescent="0.25">
      <c r="E1397" s="396"/>
    </row>
    <row r="1398" spans="5:5" x14ac:dyDescent="0.25">
      <c r="E1398" s="396"/>
    </row>
    <row r="1399" spans="5:5" x14ac:dyDescent="0.25">
      <c r="E1399" s="396"/>
    </row>
    <row r="1400" spans="5:5" x14ac:dyDescent="0.25">
      <c r="E1400" s="396"/>
    </row>
    <row r="1401" spans="5:5" x14ac:dyDescent="0.25">
      <c r="E1401" s="396"/>
    </row>
    <row r="1402" spans="5:5" x14ac:dyDescent="0.25">
      <c r="E1402" s="396"/>
    </row>
    <row r="1403" spans="5:5" x14ac:dyDescent="0.25">
      <c r="E1403" s="396"/>
    </row>
    <row r="1404" spans="5:5" x14ac:dyDescent="0.25">
      <c r="E1404" s="396"/>
    </row>
    <row r="1405" spans="5:5" x14ac:dyDescent="0.25">
      <c r="E1405" s="396"/>
    </row>
    <row r="1406" spans="5:5" x14ac:dyDescent="0.25">
      <c r="E1406" s="396"/>
    </row>
    <row r="1407" spans="5:5" x14ac:dyDescent="0.25">
      <c r="E1407" s="396"/>
    </row>
    <row r="1408" spans="5:5" x14ac:dyDescent="0.25">
      <c r="E1408" s="396"/>
    </row>
    <row r="1409" spans="5:5" x14ac:dyDescent="0.25">
      <c r="E1409" s="396"/>
    </row>
    <row r="1410" spans="5:5" x14ac:dyDescent="0.25">
      <c r="E1410" s="396"/>
    </row>
    <row r="1411" spans="5:5" x14ac:dyDescent="0.25">
      <c r="E1411" s="396"/>
    </row>
    <row r="1412" spans="5:5" x14ac:dyDescent="0.25">
      <c r="E1412" s="396"/>
    </row>
    <row r="1413" spans="5:5" x14ac:dyDescent="0.25">
      <c r="E1413" s="396"/>
    </row>
    <row r="1414" spans="5:5" x14ac:dyDescent="0.25">
      <c r="E1414" s="396"/>
    </row>
    <row r="1415" spans="5:5" x14ac:dyDescent="0.25">
      <c r="E1415" s="396"/>
    </row>
    <row r="1416" spans="5:5" x14ac:dyDescent="0.25">
      <c r="E1416" s="396"/>
    </row>
    <row r="1417" spans="5:5" x14ac:dyDescent="0.25">
      <c r="E1417" s="396"/>
    </row>
    <row r="1418" spans="5:5" x14ac:dyDescent="0.25">
      <c r="E1418" s="396"/>
    </row>
    <row r="1419" spans="5:5" x14ac:dyDescent="0.25">
      <c r="E1419" s="396"/>
    </row>
    <row r="1420" spans="5:5" x14ac:dyDescent="0.25">
      <c r="E1420" s="396"/>
    </row>
    <row r="1421" spans="5:5" x14ac:dyDescent="0.25">
      <c r="E1421" s="396"/>
    </row>
    <row r="1422" spans="5:5" x14ac:dyDescent="0.25">
      <c r="E1422" s="396"/>
    </row>
    <row r="1423" spans="5:5" x14ac:dyDescent="0.25">
      <c r="E1423" s="396"/>
    </row>
    <row r="1424" spans="5:5" x14ac:dyDescent="0.25">
      <c r="E1424" s="396"/>
    </row>
    <row r="1425" spans="5:5" x14ac:dyDescent="0.25">
      <c r="E1425" s="396"/>
    </row>
    <row r="1426" spans="5:5" x14ac:dyDescent="0.25">
      <c r="E1426" s="396"/>
    </row>
    <row r="1427" spans="5:5" x14ac:dyDescent="0.25">
      <c r="E1427" s="396"/>
    </row>
    <row r="1428" spans="5:5" x14ac:dyDescent="0.25">
      <c r="E1428" s="396"/>
    </row>
    <row r="1429" spans="5:5" x14ac:dyDescent="0.25">
      <c r="E1429" s="396"/>
    </row>
    <row r="1430" spans="5:5" x14ac:dyDescent="0.25">
      <c r="E1430" s="396"/>
    </row>
    <row r="1431" spans="5:5" x14ac:dyDescent="0.25">
      <c r="E1431" s="396"/>
    </row>
    <row r="1432" spans="5:5" x14ac:dyDescent="0.25">
      <c r="E1432" s="396"/>
    </row>
    <row r="1433" spans="5:5" x14ac:dyDescent="0.25">
      <c r="E1433" s="396"/>
    </row>
    <row r="1434" spans="5:5" x14ac:dyDescent="0.25">
      <c r="E1434" s="396"/>
    </row>
    <row r="1435" spans="5:5" x14ac:dyDescent="0.25">
      <c r="E1435" s="396"/>
    </row>
    <row r="1436" spans="5:5" x14ac:dyDescent="0.25">
      <c r="E1436" s="396"/>
    </row>
    <row r="1437" spans="5:5" x14ac:dyDescent="0.25">
      <c r="E1437" s="396"/>
    </row>
    <row r="1438" spans="5:5" x14ac:dyDescent="0.25">
      <c r="E1438" s="396"/>
    </row>
    <row r="1439" spans="5:5" x14ac:dyDescent="0.25">
      <c r="E1439" s="396"/>
    </row>
    <row r="1440" spans="5:5" x14ac:dyDescent="0.25">
      <c r="E1440" s="396"/>
    </row>
    <row r="1441" spans="5:5" x14ac:dyDescent="0.25">
      <c r="E1441" s="396"/>
    </row>
    <row r="1442" spans="5:5" x14ac:dyDescent="0.25">
      <c r="E1442" s="396"/>
    </row>
    <row r="1443" spans="5:5" x14ac:dyDescent="0.25">
      <c r="E1443" s="396"/>
    </row>
    <row r="1444" spans="5:5" x14ac:dyDescent="0.25">
      <c r="E1444" s="396"/>
    </row>
    <row r="1445" spans="5:5" x14ac:dyDescent="0.25">
      <c r="E1445" s="396"/>
    </row>
    <row r="1446" spans="5:5" x14ac:dyDescent="0.25">
      <c r="E1446" s="396"/>
    </row>
    <row r="1447" spans="5:5" x14ac:dyDescent="0.25">
      <c r="E1447" s="396"/>
    </row>
    <row r="1448" spans="5:5" x14ac:dyDescent="0.25">
      <c r="E1448" s="396"/>
    </row>
    <row r="1449" spans="5:5" x14ac:dyDescent="0.25">
      <c r="E1449" s="396"/>
    </row>
    <row r="1450" spans="5:5" x14ac:dyDescent="0.25">
      <c r="E1450" s="396"/>
    </row>
    <row r="1451" spans="5:5" x14ac:dyDescent="0.25">
      <c r="E1451" s="396"/>
    </row>
    <row r="1452" spans="5:5" x14ac:dyDescent="0.25">
      <c r="E1452" s="396"/>
    </row>
    <row r="1453" spans="5:5" x14ac:dyDescent="0.25">
      <c r="E1453" s="396"/>
    </row>
    <row r="1454" spans="5:5" x14ac:dyDescent="0.25">
      <c r="E1454" s="396"/>
    </row>
    <row r="1455" spans="5:5" x14ac:dyDescent="0.25">
      <c r="E1455" s="396"/>
    </row>
    <row r="1456" spans="5:5" x14ac:dyDescent="0.25">
      <c r="E1456" s="396"/>
    </row>
    <row r="1457" spans="5:5" x14ac:dyDescent="0.25">
      <c r="E1457" s="396"/>
    </row>
    <row r="1458" spans="5:5" x14ac:dyDescent="0.25">
      <c r="E1458" s="396"/>
    </row>
    <row r="1459" spans="5:5" x14ac:dyDescent="0.25">
      <c r="E1459" s="396"/>
    </row>
    <row r="1460" spans="5:5" x14ac:dyDescent="0.25">
      <c r="E1460" s="396"/>
    </row>
    <row r="1461" spans="5:5" x14ac:dyDescent="0.25">
      <c r="E1461" s="396"/>
    </row>
    <row r="1462" spans="5:5" x14ac:dyDescent="0.25">
      <c r="E1462" s="396"/>
    </row>
    <row r="1463" spans="5:5" x14ac:dyDescent="0.25">
      <c r="E1463" s="396"/>
    </row>
    <row r="1464" spans="5:5" x14ac:dyDescent="0.25">
      <c r="E1464" s="396"/>
    </row>
    <row r="1465" spans="5:5" x14ac:dyDescent="0.25">
      <c r="E1465" s="396"/>
    </row>
    <row r="1466" spans="5:5" x14ac:dyDescent="0.25">
      <c r="E1466" s="396"/>
    </row>
    <row r="1467" spans="5:5" x14ac:dyDescent="0.25">
      <c r="E1467" s="396"/>
    </row>
    <row r="1468" spans="5:5" x14ac:dyDescent="0.25">
      <c r="E1468" s="396"/>
    </row>
    <row r="1469" spans="5:5" x14ac:dyDescent="0.25">
      <c r="E1469" s="396"/>
    </row>
    <row r="1470" spans="5:5" x14ac:dyDescent="0.25">
      <c r="E1470" s="396"/>
    </row>
    <row r="1471" spans="5:5" x14ac:dyDescent="0.25">
      <c r="E1471" s="396"/>
    </row>
    <row r="1472" spans="5:5" x14ac:dyDescent="0.25">
      <c r="E1472" s="396"/>
    </row>
    <row r="1473" spans="5:5" x14ac:dyDescent="0.25">
      <c r="E1473" s="396"/>
    </row>
    <row r="1474" spans="5:5" x14ac:dyDescent="0.25">
      <c r="E1474" s="396"/>
    </row>
    <row r="1475" spans="5:5" x14ac:dyDescent="0.25">
      <c r="E1475" s="396"/>
    </row>
    <row r="1476" spans="5:5" x14ac:dyDescent="0.25">
      <c r="E1476" s="396"/>
    </row>
    <row r="1477" spans="5:5" x14ac:dyDescent="0.25">
      <c r="E1477" s="396"/>
    </row>
    <row r="1478" spans="5:5" x14ac:dyDescent="0.25">
      <c r="E1478" s="396"/>
    </row>
    <row r="1479" spans="5:5" x14ac:dyDescent="0.25">
      <c r="E1479" s="396"/>
    </row>
    <row r="1480" spans="5:5" x14ac:dyDescent="0.25">
      <c r="E1480" s="396"/>
    </row>
    <row r="1481" spans="5:5" x14ac:dyDescent="0.25">
      <c r="E1481" s="396"/>
    </row>
    <row r="1482" spans="5:5" x14ac:dyDescent="0.25">
      <c r="E1482" s="396"/>
    </row>
    <row r="1483" spans="5:5" x14ac:dyDescent="0.25">
      <c r="E1483" s="396"/>
    </row>
    <row r="1484" spans="5:5" x14ac:dyDescent="0.25">
      <c r="E1484" s="396"/>
    </row>
    <row r="1485" spans="5:5" x14ac:dyDescent="0.25">
      <c r="E1485" s="396"/>
    </row>
    <row r="1486" spans="5:5" x14ac:dyDescent="0.25">
      <c r="E1486" s="396"/>
    </row>
    <row r="1487" spans="5:5" x14ac:dyDescent="0.25">
      <c r="E1487" s="396"/>
    </row>
    <row r="1488" spans="5:5" x14ac:dyDescent="0.25">
      <c r="E1488" s="396"/>
    </row>
    <row r="1489" spans="5:5" x14ac:dyDescent="0.25">
      <c r="E1489" s="396"/>
    </row>
    <row r="1490" spans="5:5" x14ac:dyDescent="0.25">
      <c r="E1490" s="396"/>
    </row>
    <row r="1491" spans="5:5" x14ac:dyDescent="0.25">
      <c r="E1491" s="396"/>
    </row>
    <row r="1492" spans="5:5" x14ac:dyDescent="0.25">
      <c r="E1492" s="396"/>
    </row>
    <row r="1493" spans="5:5" x14ac:dyDescent="0.25">
      <c r="E1493" s="396"/>
    </row>
    <row r="1494" spans="5:5" x14ac:dyDescent="0.25">
      <c r="E1494" s="396"/>
    </row>
    <row r="1495" spans="5:5" x14ac:dyDescent="0.25">
      <c r="E1495" s="396"/>
    </row>
    <row r="1496" spans="5:5" x14ac:dyDescent="0.25">
      <c r="E1496" s="396"/>
    </row>
    <row r="1497" spans="5:5" x14ac:dyDescent="0.25">
      <c r="E1497" s="396"/>
    </row>
    <row r="1498" spans="5:5" x14ac:dyDescent="0.25">
      <c r="E1498" s="396"/>
    </row>
    <row r="1499" spans="5:5" x14ac:dyDescent="0.25">
      <c r="E1499" s="396"/>
    </row>
    <row r="1500" spans="5:5" x14ac:dyDescent="0.25">
      <c r="E1500" s="396"/>
    </row>
    <row r="1501" spans="5:5" x14ac:dyDescent="0.25">
      <c r="E1501" s="396"/>
    </row>
    <row r="1502" spans="5:5" x14ac:dyDescent="0.25">
      <c r="E1502" s="396"/>
    </row>
    <row r="1503" spans="5:5" x14ac:dyDescent="0.25">
      <c r="E1503" s="396"/>
    </row>
    <row r="1504" spans="5:5" x14ac:dyDescent="0.25">
      <c r="E1504" s="396"/>
    </row>
    <row r="1505" spans="5:5" x14ac:dyDescent="0.25">
      <c r="E1505" s="396"/>
    </row>
    <row r="1506" spans="5:5" x14ac:dyDescent="0.25">
      <c r="E1506" s="396"/>
    </row>
    <row r="1507" spans="5:5" x14ac:dyDescent="0.25">
      <c r="E1507" s="396"/>
    </row>
    <row r="1508" spans="5:5" x14ac:dyDescent="0.25">
      <c r="E1508" s="396"/>
    </row>
    <row r="1509" spans="5:5" x14ac:dyDescent="0.25">
      <c r="E1509" s="396"/>
    </row>
    <row r="1510" spans="5:5" x14ac:dyDescent="0.25">
      <c r="E1510" s="396"/>
    </row>
    <row r="1511" spans="5:5" x14ac:dyDescent="0.25">
      <c r="E1511" s="396"/>
    </row>
    <row r="1512" spans="5:5" x14ac:dyDescent="0.25">
      <c r="E1512" s="396"/>
    </row>
    <row r="1513" spans="5:5" x14ac:dyDescent="0.25">
      <c r="E1513" s="396"/>
    </row>
    <row r="1514" spans="5:5" x14ac:dyDescent="0.25">
      <c r="E1514" s="396"/>
    </row>
    <row r="1515" spans="5:5" x14ac:dyDescent="0.25">
      <c r="E1515" s="396"/>
    </row>
    <row r="1516" spans="5:5" x14ac:dyDescent="0.25">
      <c r="E1516" s="396"/>
    </row>
    <row r="1517" spans="5:5" x14ac:dyDescent="0.25">
      <c r="E1517" s="396"/>
    </row>
    <row r="1518" spans="5:5" x14ac:dyDescent="0.25">
      <c r="E1518" s="396"/>
    </row>
    <row r="1519" spans="5:5" x14ac:dyDescent="0.25">
      <c r="E1519" s="396"/>
    </row>
    <row r="1520" spans="5:5" x14ac:dyDescent="0.25">
      <c r="E1520" s="396"/>
    </row>
    <row r="1521" spans="5:5" x14ac:dyDescent="0.25">
      <c r="E1521" s="396"/>
    </row>
    <row r="1522" spans="5:5" x14ac:dyDescent="0.25">
      <c r="E1522" s="396"/>
    </row>
    <row r="1523" spans="5:5" x14ac:dyDescent="0.25">
      <c r="E1523" s="396"/>
    </row>
    <row r="1524" spans="5:5" x14ac:dyDescent="0.25">
      <c r="E1524" s="396"/>
    </row>
    <row r="1525" spans="5:5" x14ac:dyDescent="0.25">
      <c r="E1525" s="396"/>
    </row>
    <row r="1526" spans="5:5" x14ac:dyDescent="0.25">
      <c r="E1526" s="396"/>
    </row>
    <row r="1527" spans="5:5" x14ac:dyDescent="0.25">
      <c r="E1527" s="396"/>
    </row>
    <row r="1528" spans="5:5" x14ac:dyDescent="0.25">
      <c r="E1528" s="396"/>
    </row>
    <row r="1529" spans="5:5" x14ac:dyDescent="0.25">
      <c r="E1529" s="396"/>
    </row>
    <row r="1530" spans="5:5" x14ac:dyDescent="0.25">
      <c r="E1530" s="396"/>
    </row>
    <row r="1531" spans="5:5" x14ac:dyDescent="0.25">
      <c r="E1531" s="396"/>
    </row>
    <row r="1532" spans="5:5" x14ac:dyDescent="0.25">
      <c r="E1532" s="396"/>
    </row>
    <row r="1533" spans="5:5" x14ac:dyDescent="0.25">
      <c r="E1533" s="396"/>
    </row>
    <row r="1534" spans="5:5" x14ac:dyDescent="0.25">
      <c r="E1534" s="396"/>
    </row>
    <row r="1535" spans="5:5" x14ac:dyDescent="0.25">
      <c r="E1535" s="396"/>
    </row>
    <row r="1536" spans="5:5" x14ac:dyDescent="0.25">
      <c r="E1536" s="396"/>
    </row>
    <row r="1537" spans="5:5" x14ac:dyDescent="0.25">
      <c r="E1537" s="396"/>
    </row>
    <row r="1538" spans="5:5" x14ac:dyDescent="0.25">
      <c r="E1538" s="396"/>
    </row>
    <row r="1539" spans="5:5" x14ac:dyDescent="0.25">
      <c r="E1539" s="396"/>
    </row>
    <row r="1540" spans="5:5" x14ac:dyDescent="0.25">
      <c r="E1540" s="396"/>
    </row>
    <row r="1541" spans="5:5" x14ac:dyDescent="0.25">
      <c r="E1541" s="396"/>
    </row>
    <row r="1542" spans="5:5" x14ac:dyDescent="0.25">
      <c r="E1542" s="396"/>
    </row>
    <row r="1543" spans="5:5" x14ac:dyDescent="0.25">
      <c r="E1543" s="396"/>
    </row>
    <row r="1544" spans="5:5" x14ac:dyDescent="0.25">
      <c r="E1544" s="396"/>
    </row>
    <row r="1545" spans="5:5" x14ac:dyDescent="0.25">
      <c r="E1545" s="396"/>
    </row>
    <row r="1546" spans="5:5" x14ac:dyDescent="0.25">
      <c r="E1546" s="396"/>
    </row>
    <row r="1547" spans="5:5" x14ac:dyDescent="0.25">
      <c r="E1547" s="396"/>
    </row>
    <row r="1548" spans="5:5" x14ac:dyDescent="0.25">
      <c r="E1548" s="396"/>
    </row>
    <row r="1549" spans="5:5" x14ac:dyDescent="0.25">
      <c r="E1549" s="396"/>
    </row>
    <row r="1550" spans="5:5" x14ac:dyDescent="0.25">
      <c r="E1550" s="396"/>
    </row>
    <row r="1551" spans="5:5" x14ac:dyDescent="0.25">
      <c r="E1551" s="396"/>
    </row>
    <row r="1552" spans="5:5" x14ac:dyDescent="0.25">
      <c r="E1552" s="396"/>
    </row>
    <row r="1553" spans="5:5" x14ac:dyDescent="0.25">
      <c r="E1553" s="396"/>
    </row>
    <row r="1554" spans="5:5" x14ac:dyDescent="0.25">
      <c r="E1554" s="396"/>
    </row>
    <row r="1555" spans="5:5" x14ac:dyDescent="0.25">
      <c r="E1555" s="396"/>
    </row>
    <row r="1556" spans="5:5" x14ac:dyDescent="0.25">
      <c r="E1556" s="396"/>
    </row>
    <row r="1557" spans="5:5" x14ac:dyDescent="0.25">
      <c r="E1557" s="396"/>
    </row>
    <row r="1558" spans="5:5" x14ac:dyDescent="0.25">
      <c r="E1558" s="396"/>
    </row>
    <row r="1559" spans="5:5" x14ac:dyDescent="0.25">
      <c r="E1559" s="396"/>
    </row>
    <row r="1560" spans="5:5" x14ac:dyDescent="0.25">
      <c r="E1560" s="396"/>
    </row>
    <row r="1561" spans="5:5" x14ac:dyDescent="0.25">
      <c r="E1561" s="396"/>
    </row>
    <row r="1562" spans="5:5" x14ac:dyDescent="0.25">
      <c r="E1562" s="396"/>
    </row>
    <row r="1563" spans="5:5" x14ac:dyDescent="0.25">
      <c r="E1563" s="396"/>
    </row>
    <row r="1564" spans="5:5" x14ac:dyDescent="0.25">
      <c r="E1564" s="396"/>
    </row>
    <row r="1565" spans="5:5" x14ac:dyDescent="0.25">
      <c r="E1565" s="396"/>
    </row>
    <row r="1566" spans="5:5" x14ac:dyDescent="0.25">
      <c r="E1566" s="396"/>
    </row>
    <row r="1567" spans="5:5" x14ac:dyDescent="0.25">
      <c r="E1567" s="396"/>
    </row>
    <row r="1568" spans="5:5" x14ac:dyDescent="0.25">
      <c r="E1568" s="396"/>
    </row>
    <row r="1569" spans="5:5" x14ac:dyDescent="0.25">
      <c r="E1569" s="396"/>
    </row>
    <row r="1570" spans="5:5" x14ac:dyDescent="0.25">
      <c r="E1570" s="396"/>
    </row>
    <row r="1571" spans="5:5" x14ac:dyDescent="0.25">
      <c r="E1571" s="396"/>
    </row>
    <row r="1572" spans="5:5" x14ac:dyDescent="0.25">
      <c r="E1572" s="396"/>
    </row>
    <row r="1573" spans="5:5" x14ac:dyDescent="0.25">
      <c r="E1573" s="396"/>
    </row>
    <row r="1574" spans="5:5" x14ac:dyDescent="0.25">
      <c r="E1574" s="396"/>
    </row>
    <row r="1575" spans="5:5" x14ac:dyDescent="0.25">
      <c r="E1575" s="396"/>
    </row>
    <row r="1576" spans="5:5" x14ac:dyDescent="0.25">
      <c r="E1576" s="396"/>
    </row>
    <row r="1577" spans="5:5" x14ac:dyDescent="0.25">
      <c r="E1577" s="396"/>
    </row>
    <row r="1578" spans="5:5" x14ac:dyDescent="0.25">
      <c r="E1578" s="396"/>
    </row>
    <row r="1579" spans="5:5" x14ac:dyDescent="0.25">
      <c r="E1579" s="396"/>
    </row>
    <row r="1580" spans="5:5" x14ac:dyDescent="0.25">
      <c r="E1580" s="396"/>
    </row>
    <row r="1581" spans="5:5" x14ac:dyDescent="0.25">
      <c r="E1581" s="396"/>
    </row>
    <row r="1582" spans="5:5" x14ac:dyDescent="0.25">
      <c r="E1582" s="396"/>
    </row>
    <row r="1583" spans="5:5" x14ac:dyDescent="0.25">
      <c r="E1583" s="396"/>
    </row>
    <row r="1584" spans="5:5" x14ac:dyDescent="0.25">
      <c r="E1584" s="396"/>
    </row>
    <row r="1585" spans="5:5" x14ac:dyDescent="0.25">
      <c r="E1585" s="396"/>
    </row>
    <row r="1586" spans="5:5" x14ac:dyDescent="0.25">
      <c r="E1586" s="396"/>
    </row>
    <row r="1587" spans="5:5" x14ac:dyDescent="0.25">
      <c r="E1587" s="396"/>
    </row>
    <row r="1588" spans="5:5" x14ac:dyDescent="0.25">
      <c r="E1588" s="396"/>
    </row>
    <row r="1589" spans="5:5" x14ac:dyDescent="0.25">
      <c r="E1589" s="396"/>
    </row>
    <row r="1590" spans="5:5" x14ac:dyDescent="0.25">
      <c r="E1590" s="396"/>
    </row>
    <row r="1591" spans="5:5" x14ac:dyDescent="0.25">
      <c r="E1591" s="396"/>
    </row>
    <row r="1592" spans="5:5" x14ac:dyDescent="0.25">
      <c r="E1592" s="396"/>
    </row>
    <row r="1593" spans="5:5" x14ac:dyDescent="0.25">
      <c r="E1593" s="396"/>
    </row>
    <row r="1594" spans="5:5" x14ac:dyDescent="0.25">
      <c r="E1594" s="396"/>
    </row>
    <row r="1595" spans="5:5" x14ac:dyDescent="0.25">
      <c r="E1595" s="396"/>
    </row>
    <row r="1596" spans="5:5" x14ac:dyDescent="0.25">
      <c r="E1596" s="396"/>
    </row>
    <row r="1597" spans="5:5" x14ac:dyDescent="0.25">
      <c r="E1597" s="396"/>
    </row>
    <row r="1598" spans="5:5" x14ac:dyDescent="0.25">
      <c r="E1598" s="396"/>
    </row>
    <row r="1599" spans="5:5" x14ac:dyDescent="0.25">
      <c r="E1599" s="396"/>
    </row>
    <row r="1600" spans="5:5" x14ac:dyDescent="0.25">
      <c r="E1600" s="396"/>
    </row>
    <row r="1601" spans="5:5" x14ac:dyDescent="0.25">
      <c r="E1601" s="396"/>
    </row>
    <row r="1602" spans="5:5" x14ac:dyDescent="0.25">
      <c r="E1602" s="396"/>
    </row>
    <row r="1603" spans="5:5" x14ac:dyDescent="0.25">
      <c r="E1603" s="396"/>
    </row>
    <row r="1604" spans="5:5" x14ac:dyDescent="0.25">
      <c r="E1604" s="396"/>
    </row>
    <row r="1605" spans="5:5" x14ac:dyDescent="0.25">
      <c r="E1605" s="396"/>
    </row>
    <row r="1606" spans="5:5" x14ac:dyDescent="0.25">
      <c r="E1606" s="396"/>
    </row>
    <row r="1607" spans="5:5" x14ac:dyDescent="0.25">
      <c r="E1607" s="396"/>
    </row>
    <row r="1608" spans="5:5" x14ac:dyDescent="0.25">
      <c r="E1608" s="396"/>
    </row>
    <row r="1609" spans="5:5" x14ac:dyDescent="0.25">
      <c r="E1609" s="396"/>
    </row>
    <row r="1610" spans="5:5" x14ac:dyDescent="0.25">
      <c r="E1610" s="396"/>
    </row>
    <row r="1611" spans="5:5" x14ac:dyDescent="0.25">
      <c r="E1611" s="396"/>
    </row>
    <row r="1612" spans="5:5" x14ac:dyDescent="0.25">
      <c r="E1612" s="396"/>
    </row>
    <row r="1613" spans="5:5" x14ac:dyDescent="0.25">
      <c r="E1613" s="396"/>
    </row>
    <row r="1614" spans="5:5" x14ac:dyDescent="0.25">
      <c r="E1614" s="396"/>
    </row>
    <row r="1615" spans="5:5" x14ac:dyDescent="0.25">
      <c r="E1615" s="396"/>
    </row>
    <row r="1616" spans="5:5" x14ac:dyDescent="0.25">
      <c r="E1616" s="396"/>
    </row>
    <row r="1617" spans="5:5" x14ac:dyDescent="0.25">
      <c r="E1617" s="396"/>
    </row>
    <row r="1618" spans="5:5" x14ac:dyDescent="0.25">
      <c r="E1618" s="396"/>
    </row>
    <row r="1619" spans="5:5" x14ac:dyDescent="0.25">
      <c r="E1619" s="396"/>
    </row>
    <row r="1620" spans="5:5" x14ac:dyDescent="0.25">
      <c r="E1620" s="396"/>
    </row>
    <row r="1621" spans="5:5" x14ac:dyDescent="0.25">
      <c r="E1621" s="396"/>
    </row>
    <row r="1622" spans="5:5" x14ac:dyDescent="0.25">
      <c r="E1622" s="396"/>
    </row>
    <row r="1623" spans="5:5" x14ac:dyDescent="0.25">
      <c r="E1623" s="396"/>
    </row>
    <row r="1624" spans="5:5" x14ac:dyDescent="0.25">
      <c r="E1624" s="396"/>
    </row>
    <row r="1625" spans="5:5" x14ac:dyDescent="0.25">
      <c r="E1625" s="396"/>
    </row>
    <row r="1626" spans="5:5" x14ac:dyDescent="0.25">
      <c r="E1626" s="396"/>
    </row>
    <row r="1627" spans="5:5" x14ac:dyDescent="0.25">
      <c r="E1627" s="396"/>
    </row>
    <row r="1628" spans="5:5" x14ac:dyDescent="0.25">
      <c r="E1628" s="396"/>
    </row>
    <row r="1629" spans="5:5" x14ac:dyDescent="0.25">
      <c r="E1629" s="396"/>
    </row>
    <row r="1630" spans="5:5" x14ac:dyDescent="0.25">
      <c r="E1630" s="396"/>
    </row>
    <row r="1631" spans="5:5" x14ac:dyDescent="0.25">
      <c r="E1631" s="396"/>
    </row>
    <row r="1632" spans="5:5" x14ac:dyDescent="0.25">
      <c r="E1632" s="396"/>
    </row>
    <row r="1633" spans="5:5" x14ac:dyDescent="0.25">
      <c r="E1633" s="396"/>
    </row>
    <row r="1634" spans="5:5" x14ac:dyDescent="0.25">
      <c r="E1634" s="396"/>
    </row>
    <row r="1635" spans="5:5" x14ac:dyDescent="0.25">
      <c r="E1635" s="396"/>
    </row>
    <row r="1636" spans="5:5" x14ac:dyDescent="0.25">
      <c r="E1636" s="396"/>
    </row>
    <row r="1637" spans="5:5" x14ac:dyDescent="0.25">
      <c r="E1637" s="396"/>
    </row>
    <row r="1638" spans="5:5" x14ac:dyDescent="0.25">
      <c r="E1638" s="396"/>
    </row>
    <row r="1639" spans="5:5" x14ac:dyDescent="0.25">
      <c r="E1639" s="396"/>
    </row>
    <row r="1640" spans="5:5" x14ac:dyDescent="0.25">
      <c r="E1640" s="396"/>
    </row>
    <row r="1641" spans="5:5" x14ac:dyDescent="0.25">
      <c r="E1641" s="396"/>
    </row>
    <row r="1642" spans="5:5" x14ac:dyDescent="0.25">
      <c r="E1642" s="396"/>
    </row>
    <row r="1643" spans="5:5" x14ac:dyDescent="0.25">
      <c r="E1643" s="396"/>
    </row>
    <row r="1644" spans="5:5" x14ac:dyDescent="0.25">
      <c r="E1644" s="396"/>
    </row>
    <row r="1645" spans="5:5" x14ac:dyDescent="0.25">
      <c r="E1645" s="396"/>
    </row>
    <row r="1646" spans="5:5" x14ac:dyDescent="0.25">
      <c r="E1646" s="396"/>
    </row>
    <row r="1647" spans="5:5" x14ac:dyDescent="0.25">
      <c r="E1647" s="396"/>
    </row>
    <row r="1648" spans="5:5" x14ac:dyDescent="0.25">
      <c r="E1648" s="396"/>
    </row>
    <row r="1649" spans="5:5" x14ac:dyDescent="0.25">
      <c r="E1649" s="396"/>
    </row>
    <row r="1650" spans="5:5" x14ac:dyDescent="0.25">
      <c r="E1650" s="396"/>
    </row>
    <row r="1651" spans="5:5" x14ac:dyDescent="0.25">
      <c r="E1651" s="396"/>
    </row>
    <row r="1652" spans="5:5" x14ac:dyDescent="0.25">
      <c r="E1652" s="396"/>
    </row>
    <row r="1653" spans="5:5" x14ac:dyDescent="0.25">
      <c r="E1653" s="396"/>
    </row>
    <row r="1654" spans="5:5" x14ac:dyDescent="0.25">
      <c r="E1654" s="396"/>
    </row>
    <row r="1655" spans="5:5" x14ac:dyDescent="0.25">
      <c r="E1655" s="396"/>
    </row>
    <row r="1656" spans="5:5" x14ac:dyDescent="0.25">
      <c r="E1656" s="396"/>
    </row>
    <row r="1657" spans="5:5" x14ac:dyDescent="0.25">
      <c r="E1657" s="396"/>
    </row>
    <row r="1658" spans="5:5" x14ac:dyDescent="0.25">
      <c r="E1658" s="396"/>
    </row>
    <row r="1659" spans="5:5" x14ac:dyDescent="0.25">
      <c r="E1659" s="396"/>
    </row>
    <row r="1660" spans="5:5" x14ac:dyDescent="0.25">
      <c r="E1660" s="396"/>
    </row>
    <row r="1661" spans="5:5" x14ac:dyDescent="0.25">
      <c r="E1661" s="396"/>
    </row>
    <row r="1662" spans="5:5" x14ac:dyDescent="0.25">
      <c r="E1662" s="396"/>
    </row>
    <row r="1663" spans="5:5" x14ac:dyDescent="0.25">
      <c r="E1663" s="396"/>
    </row>
    <row r="1664" spans="5:5" x14ac:dyDescent="0.25">
      <c r="E1664" s="396"/>
    </row>
    <row r="1665" spans="5:5" x14ac:dyDescent="0.25">
      <c r="E1665" s="396"/>
    </row>
    <row r="1666" spans="5:5" x14ac:dyDescent="0.25">
      <c r="E1666" s="396"/>
    </row>
    <row r="1667" spans="5:5" x14ac:dyDescent="0.25">
      <c r="E1667" s="396"/>
    </row>
    <row r="1668" spans="5:5" x14ac:dyDescent="0.25">
      <c r="E1668" s="396"/>
    </row>
    <row r="1669" spans="5:5" x14ac:dyDescent="0.25">
      <c r="E1669" s="396"/>
    </row>
    <row r="1670" spans="5:5" x14ac:dyDescent="0.25">
      <c r="E1670" s="396"/>
    </row>
    <row r="1671" spans="5:5" x14ac:dyDescent="0.25">
      <c r="E1671" s="396"/>
    </row>
    <row r="1672" spans="5:5" x14ac:dyDescent="0.25">
      <c r="E1672" s="396"/>
    </row>
    <row r="1673" spans="5:5" x14ac:dyDescent="0.25">
      <c r="E1673" s="396"/>
    </row>
    <row r="1674" spans="5:5" x14ac:dyDescent="0.25">
      <c r="E1674" s="396"/>
    </row>
    <row r="1675" spans="5:5" x14ac:dyDescent="0.25">
      <c r="E1675" s="396"/>
    </row>
    <row r="1676" spans="5:5" x14ac:dyDescent="0.25">
      <c r="E1676" s="396"/>
    </row>
    <row r="1677" spans="5:5" x14ac:dyDescent="0.25">
      <c r="E1677" s="396"/>
    </row>
    <row r="1678" spans="5:5" x14ac:dyDescent="0.25">
      <c r="E1678" s="396"/>
    </row>
    <row r="1679" spans="5:5" x14ac:dyDescent="0.25">
      <c r="E1679" s="396"/>
    </row>
    <row r="1680" spans="5:5" x14ac:dyDescent="0.25">
      <c r="E1680" s="396"/>
    </row>
    <row r="1681" spans="5:5" x14ac:dyDescent="0.25">
      <c r="E1681" s="396"/>
    </row>
    <row r="1682" spans="5:5" x14ac:dyDescent="0.25">
      <c r="E1682" s="396"/>
    </row>
    <row r="1683" spans="5:5" x14ac:dyDescent="0.25">
      <c r="E1683" s="396"/>
    </row>
    <row r="1684" spans="5:5" x14ac:dyDescent="0.25">
      <c r="E1684" s="396"/>
    </row>
    <row r="1685" spans="5:5" x14ac:dyDescent="0.25">
      <c r="E1685" s="396"/>
    </row>
    <row r="1686" spans="5:5" x14ac:dyDescent="0.25">
      <c r="E1686" s="396"/>
    </row>
    <row r="1687" spans="5:5" x14ac:dyDescent="0.25">
      <c r="E1687" s="396"/>
    </row>
    <row r="1688" spans="5:5" x14ac:dyDescent="0.25">
      <c r="E1688" s="396"/>
    </row>
    <row r="1689" spans="5:5" x14ac:dyDescent="0.25">
      <c r="E1689" s="396"/>
    </row>
    <row r="1690" spans="5:5" x14ac:dyDescent="0.25">
      <c r="E1690" s="396"/>
    </row>
    <row r="1691" spans="5:5" x14ac:dyDescent="0.25">
      <c r="E1691" s="396"/>
    </row>
    <row r="1692" spans="5:5" x14ac:dyDescent="0.25">
      <c r="E1692" s="396"/>
    </row>
    <row r="1693" spans="5:5" x14ac:dyDescent="0.25">
      <c r="E1693" s="396"/>
    </row>
    <row r="1694" spans="5:5" x14ac:dyDescent="0.25">
      <c r="E1694" s="396"/>
    </row>
    <row r="1695" spans="5:5" x14ac:dyDescent="0.25">
      <c r="E1695" s="396"/>
    </row>
    <row r="1696" spans="5:5" x14ac:dyDescent="0.25">
      <c r="E1696" s="396"/>
    </row>
    <row r="1697" spans="5:5" x14ac:dyDescent="0.25">
      <c r="E1697" s="396"/>
    </row>
    <row r="1698" spans="5:5" x14ac:dyDescent="0.25">
      <c r="E1698" s="396"/>
    </row>
    <row r="1699" spans="5:5" x14ac:dyDescent="0.25">
      <c r="E1699" s="396"/>
    </row>
    <row r="1700" spans="5:5" x14ac:dyDescent="0.25">
      <c r="E1700" s="396"/>
    </row>
    <row r="1701" spans="5:5" x14ac:dyDescent="0.25">
      <c r="E1701" s="396"/>
    </row>
    <row r="1702" spans="5:5" x14ac:dyDescent="0.25">
      <c r="E1702" s="396"/>
    </row>
    <row r="1703" spans="5:5" x14ac:dyDescent="0.25">
      <c r="E1703" s="396"/>
    </row>
    <row r="1704" spans="5:5" x14ac:dyDescent="0.25">
      <c r="E1704" s="396"/>
    </row>
    <row r="1705" spans="5:5" x14ac:dyDescent="0.25">
      <c r="E1705" s="396"/>
    </row>
    <row r="1706" spans="5:5" x14ac:dyDescent="0.25">
      <c r="E1706" s="396"/>
    </row>
    <row r="1707" spans="5:5" x14ac:dyDescent="0.25">
      <c r="E1707" s="396"/>
    </row>
    <row r="1708" spans="5:5" x14ac:dyDescent="0.25">
      <c r="E1708" s="396"/>
    </row>
    <row r="1709" spans="5:5" x14ac:dyDescent="0.25">
      <c r="E1709" s="396"/>
    </row>
    <row r="1710" spans="5:5" x14ac:dyDescent="0.25">
      <c r="E1710" s="396"/>
    </row>
    <row r="1711" spans="5:5" x14ac:dyDescent="0.25">
      <c r="E1711" s="396"/>
    </row>
    <row r="1712" spans="5:5" x14ac:dyDescent="0.25">
      <c r="E1712" s="396"/>
    </row>
    <row r="1713" spans="5:5" x14ac:dyDescent="0.25">
      <c r="E1713" s="396"/>
    </row>
    <row r="1714" spans="5:5" x14ac:dyDescent="0.25">
      <c r="E1714" s="396"/>
    </row>
    <row r="1715" spans="5:5" x14ac:dyDescent="0.25">
      <c r="E1715" s="396"/>
    </row>
    <row r="1716" spans="5:5" x14ac:dyDescent="0.25">
      <c r="E1716" s="396"/>
    </row>
    <row r="1717" spans="5:5" x14ac:dyDescent="0.25">
      <c r="E1717" s="396"/>
    </row>
    <row r="1718" spans="5:5" x14ac:dyDescent="0.25">
      <c r="E1718" s="396"/>
    </row>
    <row r="1719" spans="5:5" x14ac:dyDescent="0.25">
      <c r="E1719" s="396"/>
    </row>
    <row r="1720" spans="5:5" x14ac:dyDescent="0.25">
      <c r="E1720" s="396"/>
    </row>
    <row r="1721" spans="5:5" x14ac:dyDescent="0.25">
      <c r="E1721" s="396"/>
    </row>
    <row r="1722" spans="5:5" x14ac:dyDescent="0.25">
      <c r="E1722" s="396"/>
    </row>
    <row r="1723" spans="5:5" x14ac:dyDescent="0.25">
      <c r="E1723" s="396"/>
    </row>
    <row r="1724" spans="5:5" x14ac:dyDescent="0.25">
      <c r="E1724" s="396"/>
    </row>
    <row r="1725" spans="5:5" x14ac:dyDescent="0.25">
      <c r="E1725" s="396"/>
    </row>
    <row r="1726" spans="5:5" x14ac:dyDescent="0.25">
      <c r="E1726" s="396"/>
    </row>
    <row r="1727" spans="5:5" x14ac:dyDescent="0.25">
      <c r="E1727" s="396"/>
    </row>
    <row r="1728" spans="5:5" x14ac:dyDescent="0.25">
      <c r="E1728" s="396"/>
    </row>
    <row r="1729" spans="5:5" x14ac:dyDescent="0.25">
      <c r="E1729" s="396"/>
    </row>
    <row r="1730" spans="5:5" x14ac:dyDescent="0.25">
      <c r="E1730" s="396"/>
    </row>
    <row r="1731" spans="5:5" x14ac:dyDescent="0.25">
      <c r="E1731" s="396"/>
    </row>
    <row r="1732" spans="5:5" x14ac:dyDescent="0.25">
      <c r="E1732" s="396"/>
    </row>
    <row r="1733" spans="5:5" x14ac:dyDescent="0.25">
      <c r="E1733" s="396"/>
    </row>
    <row r="1734" spans="5:5" x14ac:dyDescent="0.25">
      <c r="E1734" s="396"/>
    </row>
    <row r="1735" spans="5:5" x14ac:dyDescent="0.25">
      <c r="E1735" s="396"/>
    </row>
    <row r="1736" spans="5:5" x14ac:dyDescent="0.25">
      <c r="E1736" s="396"/>
    </row>
    <row r="1737" spans="5:5" x14ac:dyDescent="0.25">
      <c r="E1737" s="396"/>
    </row>
    <row r="1738" spans="5:5" x14ac:dyDescent="0.25">
      <c r="E1738" s="396"/>
    </row>
    <row r="1739" spans="5:5" x14ac:dyDescent="0.25">
      <c r="E1739" s="396"/>
    </row>
    <row r="1740" spans="5:5" x14ac:dyDescent="0.25">
      <c r="E1740" s="396"/>
    </row>
    <row r="1741" spans="5:5" x14ac:dyDescent="0.25">
      <c r="E1741" s="396"/>
    </row>
    <row r="1742" spans="5:5" x14ac:dyDescent="0.25">
      <c r="E1742" s="396"/>
    </row>
    <row r="1743" spans="5:5" x14ac:dyDescent="0.25">
      <c r="E1743" s="396"/>
    </row>
    <row r="1744" spans="5:5" x14ac:dyDescent="0.25">
      <c r="E1744" s="396"/>
    </row>
    <row r="1745" spans="5:5" x14ac:dyDescent="0.25">
      <c r="E1745" s="396"/>
    </row>
    <row r="1746" spans="5:5" x14ac:dyDescent="0.25">
      <c r="E1746" s="396"/>
    </row>
    <row r="1747" spans="5:5" x14ac:dyDescent="0.25">
      <c r="E1747" s="396"/>
    </row>
    <row r="1748" spans="5:5" x14ac:dyDescent="0.25">
      <c r="E1748" s="396"/>
    </row>
    <row r="1749" spans="5:5" x14ac:dyDescent="0.25">
      <c r="E1749" s="396"/>
    </row>
    <row r="1750" spans="5:5" x14ac:dyDescent="0.25">
      <c r="E1750" s="396"/>
    </row>
    <row r="1751" spans="5:5" x14ac:dyDescent="0.25">
      <c r="E1751" s="396"/>
    </row>
    <row r="1752" spans="5:5" x14ac:dyDescent="0.25">
      <c r="E1752" s="396"/>
    </row>
    <row r="1753" spans="5:5" x14ac:dyDescent="0.25">
      <c r="E1753" s="396"/>
    </row>
    <row r="1754" spans="5:5" x14ac:dyDescent="0.25">
      <c r="E1754" s="396"/>
    </row>
    <row r="1755" spans="5:5" x14ac:dyDescent="0.25">
      <c r="E1755" s="396"/>
    </row>
    <row r="1756" spans="5:5" x14ac:dyDescent="0.25">
      <c r="E1756" s="396"/>
    </row>
    <row r="1757" spans="5:5" x14ac:dyDescent="0.25">
      <c r="E1757" s="396"/>
    </row>
    <row r="1758" spans="5:5" x14ac:dyDescent="0.25">
      <c r="E1758" s="396"/>
    </row>
    <row r="1759" spans="5:5" x14ac:dyDescent="0.25">
      <c r="E1759" s="396"/>
    </row>
    <row r="1760" spans="5:5" x14ac:dyDescent="0.25">
      <c r="E1760" s="396"/>
    </row>
    <row r="1761" spans="5:5" x14ac:dyDescent="0.25">
      <c r="E1761" s="396"/>
    </row>
    <row r="1762" spans="5:5" x14ac:dyDescent="0.25">
      <c r="E1762" s="396"/>
    </row>
    <row r="1763" spans="5:5" x14ac:dyDescent="0.25">
      <c r="E1763" s="396"/>
    </row>
    <row r="1764" spans="5:5" x14ac:dyDescent="0.25">
      <c r="E1764" s="396"/>
    </row>
    <row r="1765" spans="5:5" x14ac:dyDescent="0.25">
      <c r="E1765" s="396"/>
    </row>
    <row r="1766" spans="5:5" x14ac:dyDescent="0.25">
      <c r="E1766" s="396"/>
    </row>
    <row r="1767" spans="5:5" x14ac:dyDescent="0.25">
      <c r="E1767" s="396"/>
    </row>
    <row r="1768" spans="5:5" x14ac:dyDescent="0.25">
      <c r="E1768" s="396"/>
    </row>
    <row r="1769" spans="5:5" x14ac:dyDescent="0.25">
      <c r="E1769" s="396"/>
    </row>
    <row r="1770" spans="5:5" x14ac:dyDescent="0.25">
      <c r="E1770" s="396"/>
    </row>
    <row r="1771" spans="5:5" x14ac:dyDescent="0.25">
      <c r="E1771" s="396"/>
    </row>
    <row r="1772" spans="5:5" x14ac:dyDescent="0.25">
      <c r="E1772" s="396"/>
    </row>
    <row r="1773" spans="5:5" x14ac:dyDescent="0.25">
      <c r="E1773" s="396"/>
    </row>
    <row r="1774" spans="5:5" x14ac:dyDescent="0.25">
      <c r="E1774" s="396"/>
    </row>
    <row r="1775" spans="5:5" x14ac:dyDescent="0.25">
      <c r="E1775" s="396"/>
    </row>
    <row r="1776" spans="5:5" x14ac:dyDescent="0.25">
      <c r="E1776" s="396"/>
    </row>
    <row r="1777" spans="5:5" x14ac:dyDescent="0.25">
      <c r="E1777" s="396"/>
    </row>
    <row r="1778" spans="5:5" x14ac:dyDescent="0.25">
      <c r="E1778" s="396"/>
    </row>
    <row r="1779" spans="5:5" x14ac:dyDescent="0.25">
      <c r="E1779" s="396"/>
    </row>
    <row r="1780" spans="5:5" x14ac:dyDescent="0.25">
      <c r="E1780" s="396"/>
    </row>
    <row r="1781" spans="5:5" x14ac:dyDescent="0.25">
      <c r="E1781" s="396"/>
    </row>
    <row r="1782" spans="5:5" x14ac:dyDescent="0.25">
      <c r="E1782" s="396"/>
    </row>
    <row r="1783" spans="5:5" x14ac:dyDescent="0.25">
      <c r="E1783" s="396"/>
    </row>
    <row r="1784" spans="5:5" x14ac:dyDescent="0.25">
      <c r="E1784" s="396"/>
    </row>
    <row r="1785" spans="5:5" x14ac:dyDescent="0.25">
      <c r="E1785" s="396"/>
    </row>
    <row r="1786" spans="5:5" x14ac:dyDescent="0.25">
      <c r="E1786" s="396"/>
    </row>
    <row r="1787" spans="5:5" x14ac:dyDescent="0.25">
      <c r="E1787" s="396"/>
    </row>
    <row r="1788" spans="5:5" x14ac:dyDescent="0.25">
      <c r="E1788" s="396"/>
    </row>
    <row r="1789" spans="5:5" x14ac:dyDescent="0.25">
      <c r="E1789" s="396"/>
    </row>
    <row r="1790" spans="5:5" x14ac:dyDescent="0.25">
      <c r="E1790" s="396"/>
    </row>
    <row r="1791" spans="5:5" x14ac:dyDescent="0.25">
      <c r="E1791" s="396"/>
    </row>
    <row r="1792" spans="5:5" x14ac:dyDescent="0.25">
      <c r="E1792" s="396"/>
    </row>
    <row r="1793" spans="5:5" x14ac:dyDescent="0.25">
      <c r="E1793" s="396"/>
    </row>
    <row r="1794" spans="5:5" x14ac:dyDescent="0.25">
      <c r="E1794" s="396"/>
    </row>
    <row r="1795" spans="5:5" x14ac:dyDescent="0.25">
      <c r="E1795" s="396"/>
    </row>
    <row r="1796" spans="5:5" x14ac:dyDescent="0.25">
      <c r="E1796" s="396"/>
    </row>
    <row r="1797" spans="5:5" x14ac:dyDescent="0.25">
      <c r="E1797" s="396"/>
    </row>
    <row r="1798" spans="5:5" x14ac:dyDescent="0.25">
      <c r="E1798" s="396"/>
    </row>
    <row r="1799" spans="5:5" x14ac:dyDescent="0.25">
      <c r="E1799" s="396"/>
    </row>
    <row r="1800" spans="5:5" x14ac:dyDescent="0.25">
      <c r="E1800" s="396"/>
    </row>
    <row r="1801" spans="5:5" x14ac:dyDescent="0.25">
      <c r="E1801" s="396"/>
    </row>
    <row r="1802" spans="5:5" x14ac:dyDescent="0.25">
      <c r="E1802" s="396"/>
    </row>
    <row r="1803" spans="5:5" x14ac:dyDescent="0.25">
      <c r="E1803" s="396"/>
    </row>
    <row r="1804" spans="5:5" x14ac:dyDescent="0.25">
      <c r="E1804" s="396"/>
    </row>
    <row r="1805" spans="5:5" x14ac:dyDescent="0.25">
      <c r="E1805" s="396"/>
    </row>
    <row r="1806" spans="5:5" x14ac:dyDescent="0.25">
      <c r="E1806" s="396"/>
    </row>
    <row r="1807" spans="5:5" x14ac:dyDescent="0.25">
      <c r="E1807" s="396"/>
    </row>
    <row r="1808" spans="5:5" x14ac:dyDescent="0.25">
      <c r="E1808" s="396"/>
    </row>
    <row r="1809" spans="5:5" x14ac:dyDescent="0.25">
      <c r="E1809" s="396"/>
    </row>
    <row r="1810" spans="5:5" x14ac:dyDescent="0.25">
      <c r="E1810" s="396"/>
    </row>
    <row r="1811" spans="5:5" x14ac:dyDescent="0.25">
      <c r="E1811" s="396"/>
    </row>
    <row r="1812" spans="5:5" x14ac:dyDescent="0.25">
      <c r="E1812" s="396"/>
    </row>
    <row r="1813" spans="5:5" x14ac:dyDescent="0.25">
      <c r="E1813" s="396"/>
    </row>
    <row r="1814" spans="5:5" x14ac:dyDescent="0.25">
      <c r="E1814" s="396"/>
    </row>
    <row r="1815" spans="5:5" x14ac:dyDescent="0.25">
      <c r="E1815" s="396"/>
    </row>
    <row r="1816" spans="5:5" x14ac:dyDescent="0.25">
      <c r="E1816" s="396"/>
    </row>
    <row r="1817" spans="5:5" x14ac:dyDescent="0.25">
      <c r="E1817" s="396"/>
    </row>
    <row r="1818" spans="5:5" x14ac:dyDescent="0.25">
      <c r="E1818" s="396"/>
    </row>
    <row r="1819" spans="5:5" x14ac:dyDescent="0.25">
      <c r="E1819" s="396"/>
    </row>
    <row r="1820" spans="5:5" x14ac:dyDescent="0.25">
      <c r="E1820" s="396"/>
    </row>
    <row r="1821" spans="5:5" x14ac:dyDescent="0.25">
      <c r="E1821" s="396"/>
    </row>
    <row r="1822" spans="5:5" x14ac:dyDescent="0.25">
      <c r="E1822" s="396"/>
    </row>
    <row r="1823" spans="5:5" x14ac:dyDescent="0.25">
      <c r="E1823" s="396"/>
    </row>
    <row r="1824" spans="5:5" x14ac:dyDescent="0.25">
      <c r="E1824" s="396"/>
    </row>
    <row r="1825" spans="5:5" x14ac:dyDescent="0.25">
      <c r="E1825" s="396"/>
    </row>
    <row r="1826" spans="5:5" x14ac:dyDescent="0.25">
      <c r="E1826" s="396"/>
    </row>
    <row r="1827" spans="5:5" x14ac:dyDescent="0.25">
      <c r="E1827" s="396"/>
    </row>
    <row r="1828" spans="5:5" x14ac:dyDescent="0.25">
      <c r="E1828" s="396"/>
    </row>
    <row r="1829" spans="5:5" x14ac:dyDescent="0.25">
      <c r="E1829" s="396"/>
    </row>
    <row r="1830" spans="5:5" x14ac:dyDescent="0.25">
      <c r="E1830" s="396"/>
    </row>
    <row r="1831" spans="5:5" x14ac:dyDescent="0.25">
      <c r="E1831" s="396"/>
    </row>
    <row r="1832" spans="5:5" x14ac:dyDescent="0.25">
      <c r="E1832" s="396"/>
    </row>
    <row r="1833" spans="5:5" x14ac:dyDescent="0.25">
      <c r="E1833" s="396"/>
    </row>
    <row r="1834" spans="5:5" x14ac:dyDescent="0.25">
      <c r="E1834" s="396"/>
    </row>
    <row r="1835" spans="5:5" x14ac:dyDescent="0.25">
      <c r="E1835" s="396"/>
    </row>
    <row r="1836" spans="5:5" x14ac:dyDescent="0.25">
      <c r="E1836" s="396"/>
    </row>
    <row r="1837" spans="5:5" x14ac:dyDescent="0.25">
      <c r="E1837" s="396"/>
    </row>
    <row r="1838" spans="5:5" x14ac:dyDescent="0.25">
      <c r="E1838" s="396"/>
    </row>
    <row r="1839" spans="5:5" x14ac:dyDescent="0.25">
      <c r="E1839" s="396"/>
    </row>
    <row r="1840" spans="5:5" x14ac:dyDescent="0.25">
      <c r="E1840" s="396"/>
    </row>
    <row r="1841" spans="5:5" x14ac:dyDescent="0.25">
      <c r="E1841" s="396"/>
    </row>
    <row r="1842" spans="5:5" x14ac:dyDescent="0.25">
      <c r="E1842" s="396"/>
    </row>
    <row r="1843" spans="5:5" x14ac:dyDescent="0.25">
      <c r="E1843" s="396"/>
    </row>
    <row r="1844" spans="5:5" x14ac:dyDescent="0.25">
      <c r="E1844" s="396"/>
    </row>
    <row r="1845" spans="5:5" x14ac:dyDescent="0.25">
      <c r="E1845" s="396"/>
    </row>
    <row r="1846" spans="5:5" x14ac:dyDescent="0.25">
      <c r="E1846" s="396"/>
    </row>
    <row r="1847" spans="5:5" x14ac:dyDescent="0.25">
      <c r="E1847" s="396"/>
    </row>
    <row r="1848" spans="5:5" x14ac:dyDescent="0.25">
      <c r="E1848" s="396"/>
    </row>
    <row r="1849" spans="5:5" x14ac:dyDescent="0.25">
      <c r="E1849" s="396"/>
    </row>
    <row r="1850" spans="5:5" x14ac:dyDescent="0.25">
      <c r="E1850" s="396"/>
    </row>
    <row r="1851" spans="5:5" x14ac:dyDescent="0.25">
      <c r="E1851" s="396"/>
    </row>
    <row r="1852" spans="5:5" x14ac:dyDescent="0.25">
      <c r="E1852" s="396"/>
    </row>
    <row r="1853" spans="5:5" x14ac:dyDescent="0.25">
      <c r="E1853" s="396"/>
    </row>
    <row r="1854" spans="5:5" x14ac:dyDescent="0.25">
      <c r="E1854" s="396"/>
    </row>
    <row r="1855" spans="5:5" x14ac:dyDescent="0.25">
      <c r="E1855" s="396"/>
    </row>
    <row r="1856" spans="5:5" x14ac:dyDescent="0.25">
      <c r="E1856" s="396"/>
    </row>
    <row r="1857" spans="5:5" x14ac:dyDescent="0.25">
      <c r="E1857" s="396"/>
    </row>
    <row r="1858" spans="5:5" x14ac:dyDescent="0.25">
      <c r="E1858" s="396"/>
    </row>
    <row r="1859" spans="5:5" x14ac:dyDescent="0.25">
      <c r="E1859" s="396"/>
    </row>
    <row r="1860" spans="5:5" x14ac:dyDescent="0.25">
      <c r="E1860" s="396"/>
    </row>
    <row r="1861" spans="5:5" x14ac:dyDescent="0.25">
      <c r="E1861" s="396"/>
    </row>
    <row r="1862" spans="5:5" x14ac:dyDescent="0.25">
      <c r="E1862" s="396"/>
    </row>
    <row r="1863" spans="5:5" x14ac:dyDescent="0.25">
      <c r="E1863" s="396"/>
    </row>
    <row r="1864" spans="5:5" x14ac:dyDescent="0.25">
      <c r="E1864" s="396"/>
    </row>
    <row r="1865" spans="5:5" x14ac:dyDescent="0.25">
      <c r="E1865" s="396"/>
    </row>
    <row r="1866" spans="5:5" x14ac:dyDescent="0.25">
      <c r="E1866" s="396"/>
    </row>
    <row r="1867" spans="5:5" x14ac:dyDescent="0.25">
      <c r="E1867" s="396"/>
    </row>
    <row r="1868" spans="5:5" x14ac:dyDescent="0.25">
      <c r="E1868" s="396"/>
    </row>
    <row r="1869" spans="5:5" x14ac:dyDescent="0.25">
      <c r="E1869" s="396"/>
    </row>
    <row r="1870" spans="5:5" x14ac:dyDescent="0.25">
      <c r="E1870" s="396"/>
    </row>
    <row r="1871" spans="5:5" x14ac:dyDescent="0.25">
      <c r="E1871" s="396"/>
    </row>
    <row r="1872" spans="5:5" x14ac:dyDescent="0.25">
      <c r="E1872" s="396"/>
    </row>
    <row r="1873" spans="5:5" x14ac:dyDescent="0.25">
      <c r="E1873" s="396"/>
    </row>
    <row r="1874" spans="5:5" x14ac:dyDescent="0.25">
      <c r="E1874" s="396"/>
    </row>
    <row r="1875" spans="5:5" x14ac:dyDescent="0.25">
      <c r="E1875" s="396"/>
    </row>
    <row r="1876" spans="5:5" x14ac:dyDescent="0.25">
      <c r="E1876" s="396"/>
    </row>
    <row r="1877" spans="5:5" x14ac:dyDescent="0.25">
      <c r="E1877" s="396"/>
    </row>
    <row r="1878" spans="5:5" x14ac:dyDescent="0.25">
      <c r="E1878" s="396"/>
    </row>
    <row r="1879" spans="5:5" x14ac:dyDescent="0.25">
      <c r="E1879" s="396"/>
    </row>
    <row r="1880" spans="5:5" x14ac:dyDescent="0.25">
      <c r="E1880" s="396"/>
    </row>
    <row r="1881" spans="5:5" x14ac:dyDescent="0.25">
      <c r="E1881" s="396"/>
    </row>
    <row r="1882" spans="5:5" x14ac:dyDescent="0.25">
      <c r="E1882" s="396"/>
    </row>
    <row r="1883" spans="5:5" x14ac:dyDescent="0.25">
      <c r="E1883" s="396"/>
    </row>
    <row r="1884" spans="5:5" x14ac:dyDescent="0.25">
      <c r="E1884" s="396"/>
    </row>
    <row r="1885" spans="5:5" x14ac:dyDescent="0.25">
      <c r="E1885" s="396"/>
    </row>
    <row r="1886" spans="5:5" x14ac:dyDescent="0.25">
      <c r="E1886" s="396"/>
    </row>
    <row r="1887" spans="5:5" x14ac:dyDescent="0.25">
      <c r="E1887" s="396"/>
    </row>
    <row r="1888" spans="5:5" x14ac:dyDescent="0.25">
      <c r="E1888" s="396"/>
    </row>
    <row r="1889" spans="5:5" x14ac:dyDescent="0.25">
      <c r="E1889" s="396"/>
    </row>
    <row r="1890" spans="5:5" x14ac:dyDescent="0.25">
      <c r="E1890" s="396"/>
    </row>
    <row r="1891" spans="5:5" x14ac:dyDescent="0.25">
      <c r="E1891" s="396"/>
    </row>
    <row r="1892" spans="5:5" x14ac:dyDescent="0.25">
      <c r="E1892" s="396"/>
    </row>
    <row r="1893" spans="5:5" x14ac:dyDescent="0.25">
      <c r="E1893" s="396"/>
    </row>
    <row r="1894" spans="5:5" x14ac:dyDescent="0.25">
      <c r="E1894" s="396"/>
    </row>
    <row r="1895" spans="5:5" x14ac:dyDescent="0.25">
      <c r="E1895" s="396"/>
    </row>
    <row r="1896" spans="5:5" x14ac:dyDescent="0.25">
      <c r="E1896" s="396"/>
    </row>
    <row r="1897" spans="5:5" x14ac:dyDescent="0.25">
      <c r="E1897" s="396"/>
    </row>
    <row r="1898" spans="5:5" x14ac:dyDescent="0.25">
      <c r="E1898" s="396"/>
    </row>
    <row r="1899" spans="5:5" x14ac:dyDescent="0.25">
      <c r="E1899" s="396"/>
    </row>
    <row r="1900" spans="5:5" x14ac:dyDescent="0.25">
      <c r="E1900" s="396"/>
    </row>
    <row r="1901" spans="5:5" x14ac:dyDescent="0.25">
      <c r="E1901" s="396"/>
    </row>
    <row r="1902" spans="5:5" x14ac:dyDescent="0.25">
      <c r="E1902" s="396"/>
    </row>
    <row r="1903" spans="5:5" x14ac:dyDescent="0.25">
      <c r="E1903" s="396"/>
    </row>
    <row r="1904" spans="5:5" x14ac:dyDescent="0.25">
      <c r="E1904" s="396"/>
    </row>
    <row r="1905" spans="5:5" x14ac:dyDescent="0.25">
      <c r="E1905" s="396"/>
    </row>
    <row r="1906" spans="5:5" x14ac:dyDescent="0.25">
      <c r="E1906" s="396"/>
    </row>
    <row r="1907" spans="5:5" x14ac:dyDescent="0.25">
      <c r="E1907" s="396"/>
    </row>
    <row r="1908" spans="5:5" x14ac:dyDescent="0.25">
      <c r="E1908" s="396"/>
    </row>
    <row r="1909" spans="5:5" x14ac:dyDescent="0.25">
      <c r="E1909" s="396"/>
    </row>
    <row r="1910" spans="5:5" x14ac:dyDescent="0.25">
      <c r="E1910" s="396"/>
    </row>
    <row r="1911" spans="5:5" x14ac:dyDescent="0.25">
      <c r="E1911" s="396"/>
    </row>
    <row r="1912" spans="5:5" x14ac:dyDescent="0.25">
      <c r="E1912" s="396"/>
    </row>
    <row r="1913" spans="5:5" x14ac:dyDescent="0.25">
      <c r="E1913" s="396"/>
    </row>
    <row r="1914" spans="5:5" x14ac:dyDescent="0.25">
      <c r="E1914" s="396"/>
    </row>
    <row r="1915" spans="5:5" x14ac:dyDescent="0.25">
      <c r="E1915" s="396"/>
    </row>
    <row r="1916" spans="5:5" x14ac:dyDescent="0.25">
      <c r="E1916" s="396"/>
    </row>
    <row r="1917" spans="5:5" x14ac:dyDescent="0.25">
      <c r="E1917" s="396"/>
    </row>
    <row r="1918" spans="5:5" x14ac:dyDescent="0.25">
      <c r="E1918" s="396"/>
    </row>
    <row r="1919" spans="5:5" x14ac:dyDescent="0.25">
      <c r="E1919" s="396"/>
    </row>
    <row r="1920" spans="5:5" x14ac:dyDescent="0.25">
      <c r="E1920" s="396"/>
    </row>
    <row r="1921" spans="5:5" x14ac:dyDescent="0.25">
      <c r="E1921" s="396"/>
    </row>
    <row r="1922" spans="5:5" x14ac:dyDescent="0.25">
      <c r="E1922" s="396"/>
    </row>
    <row r="1923" spans="5:5" x14ac:dyDescent="0.25">
      <c r="E1923" s="396"/>
    </row>
    <row r="1924" spans="5:5" x14ac:dyDescent="0.25">
      <c r="E1924" s="396"/>
    </row>
    <row r="1925" spans="5:5" x14ac:dyDescent="0.25">
      <c r="E1925" s="396"/>
    </row>
    <row r="1926" spans="5:5" x14ac:dyDescent="0.25">
      <c r="E1926" s="396"/>
    </row>
    <row r="1927" spans="5:5" x14ac:dyDescent="0.25">
      <c r="E1927" s="396"/>
    </row>
    <row r="1928" spans="5:5" x14ac:dyDescent="0.25">
      <c r="E1928" s="396"/>
    </row>
    <row r="1929" spans="5:5" x14ac:dyDescent="0.25">
      <c r="E1929" s="396"/>
    </row>
    <row r="1930" spans="5:5" x14ac:dyDescent="0.25">
      <c r="E1930" s="396"/>
    </row>
    <row r="1931" spans="5:5" x14ac:dyDescent="0.25">
      <c r="E1931" s="396"/>
    </row>
    <row r="1932" spans="5:5" x14ac:dyDescent="0.25">
      <c r="E1932" s="396"/>
    </row>
    <row r="1933" spans="5:5" x14ac:dyDescent="0.25">
      <c r="E1933" s="396"/>
    </row>
    <row r="1934" spans="5:5" x14ac:dyDescent="0.25">
      <c r="E1934" s="396"/>
    </row>
    <row r="1935" spans="5:5" x14ac:dyDescent="0.25">
      <c r="E1935" s="396"/>
    </row>
    <row r="1936" spans="5:5" x14ac:dyDescent="0.25">
      <c r="E1936" s="396"/>
    </row>
    <row r="1937" spans="5:5" x14ac:dyDescent="0.25">
      <c r="E1937" s="396"/>
    </row>
    <row r="1938" spans="5:5" x14ac:dyDescent="0.25">
      <c r="E1938" s="396"/>
    </row>
    <row r="1939" spans="5:5" x14ac:dyDescent="0.25">
      <c r="E1939" s="396"/>
    </row>
    <row r="1940" spans="5:5" x14ac:dyDescent="0.25">
      <c r="E1940" s="396"/>
    </row>
    <row r="1941" spans="5:5" x14ac:dyDescent="0.25">
      <c r="E1941" s="396"/>
    </row>
    <row r="1942" spans="5:5" x14ac:dyDescent="0.25">
      <c r="E1942" s="396"/>
    </row>
    <row r="1943" spans="5:5" x14ac:dyDescent="0.25">
      <c r="E1943" s="396"/>
    </row>
    <row r="1944" spans="5:5" x14ac:dyDescent="0.25">
      <c r="E1944" s="396"/>
    </row>
    <row r="1945" spans="5:5" x14ac:dyDescent="0.25">
      <c r="E1945" s="396"/>
    </row>
    <row r="1946" spans="5:5" x14ac:dyDescent="0.25">
      <c r="E1946" s="396"/>
    </row>
    <row r="1947" spans="5:5" x14ac:dyDescent="0.25">
      <c r="E1947" s="396"/>
    </row>
    <row r="1948" spans="5:5" x14ac:dyDescent="0.25">
      <c r="E1948" s="396"/>
    </row>
    <row r="1949" spans="5:5" x14ac:dyDescent="0.25">
      <c r="E1949" s="396"/>
    </row>
    <row r="1950" spans="5:5" x14ac:dyDescent="0.25">
      <c r="E1950" s="396"/>
    </row>
    <row r="1951" spans="5:5" x14ac:dyDescent="0.25">
      <c r="E1951" s="396"/>
    </row>
    <row r="1952" spans="5:5" x14ac:dyDescent="0.25">
      <c r="E1952" s="396"/>
    </row>
    <row r="1953" spans="5:5" x14ac:dyDescent="0.25">
      <c r="E1953" s="396"/>
    </row>
    <row r="1954" spans="5:5" x14ac:dyDescent="0.25">
      <c r="E1954" s="396"/>
    </row>
    <row r="1955" spans="5:5" x14ac:dyDescent="0.25">
      <c r="E1955" s="396"/>
    </row>
    <row r="1956" spans="5:5" x14ac:dyDescent="0.25">
      <c r="E1956" s="396"/>
    </row>
    <row r="1957" spans="5:5" x14ac:dyDescent="0.25">
      <c r="E1957" s="396"/>
    </row>
    <row r="1958" spans="5:5" x14ac:dyDescent="0.25">
      <c r="E1958" s="396"/>
    </row>
    <row r="1959" spans="5:5" x14ac:dyDescent="0.25">
      <c r="E1959" s="396"/>
    </row>
    <row r="1960" spans="5:5" x14ac:dyDescent="0.25">
      <c r="E1960" s="396"/>
    </row>
    <row r="1961" spans="5:5" x14ac:dyDescent="0.25">
      <c r="E1961" s="396"/>
    </row>
    <row r="1962" spans="5:5" x14ac:dyDescent="0.25">
      <c r="E1962" s="396"/>
    </row>
    <row r="1963" spans="5:5" x14ac:dyDescent="0.25">
      <c r="E1963" s="396"/>
    </row>
    <row r="1964" spans="5:5" x14ac:dyDescent="0.25">
      <c r="E1964" s="396"/>
    </row>
    <row r="1965" spans="5:5" x14ac:dyDescent="0.25">
      <c r="E1965" s="396"/>
    </row>
    <row r="1966" spans="5:5" x14ac:dyDescent="0.25">
      <c r="E1966" s="396"/>
    </row>
    <row r="1967" spans="5:5" x14ac:dyDescent="0.25">
      <c r="E1967" s="396"/>
    </row>
    <row r="1968" spans="5:5" x14ac:dyDescent="0.25">
      <c r="E1968" s="396"/>
    </row>
    <row r="1969" spans="5:5" x14ac:dyDescent="0.25">
      <c r="E1969" s="396"/>
    </row>
    <row r="1970" spans="5:5" x14ac:dyDescent="0.25">
      <c r="E1970" s="396"/>
    </row>
    <row r="1971" spans="5:5" x14ac:dyDescent="0.25">
      <c r="E1971" s="396"/>
    </row>
    <row r="1972" spans="5:5" x14ac:dyDescent="0.25">
      <c r="E1972" s="396"/>
    </row>
    <row r="1973" spans="5:5" x14ac:dyDescent="0.25">
      <c r="E1973" s="396"/>
    </row>
    <row r="1974" spans="5:5" x14ac:dyDescent="0.25">
      <c r="E1974" s="396"/>
    </row>
    <row r="1975" spans="5:5" x14ac:dyDescent="0.25">
      <c r="E1975" s="396"/>
    </row>
    <row r="1976" spans="5:5" x14ac:dyDescent="0.25">
      <c r="E1976" s="396"/>
    </row>
    <row r="1977" spans="5:5" x14ac:dyDescent="0.25">
      <c r="E1977" s="396"/>
    </row>
    <row r="1978" spans="5:5" x14ac:dyDescent="0.25">
      <c r="E1978" s="396"/>
    </row>
    <row r="1979" spans="5:5" x14ac:dyDescent="0.25">
      <c r="E1979" s="396"/>
    </row>
    <row r="1980" spans="5:5" x14ac:dyDescent="0.25">
      <c r="E1980" s="396"/>
    </row>
    <row r="1981" spans="5:5" x14ac:dyDescent="0.25">
      <c r="E1981" s="396"/>
    </row>
    <row r="1982" spans="5:5" x14ac:dyDescent="0.25">
      <c r="E1982" s="396"/>
    </row>
    <row r="1983" spans="5:5" x14ac:dyDescent="0.25">
      <c r="E1983" s="396"/>
    </row>
    <row r="1984" spans="5:5" x14ac:dyDescent="0.25">
      <c r="E1984" s="396"/>
    </row>
    <row r="1985" spans="5:11" x14ac:dyDescent="0.25">
      <c r="E1985" s="396"/>
    </row>
    <row r="1986" spans="5:11" x14ac:dyDescent="0.25">
      <c r="E1986" s="396"/>
    </row>
    <row r="1987" spans="5:11" x14ac:dyDescent="0.25">
      <c r="E1987" s="396"/>
    </row>
    <row r="1988" spans="5:11" x14ac:dyDescent="0.25">
      <c r="E1988" s="396"/>
    </row>
    <row r="1989" spans="5:11" x14ac:dyDescent="0.25">
      <c r="E1989" s="396"/>
    </row>
    <row r="1990" spans="5:11" x14ac:dyDescent="0.25">
      <c r="E1990" s="396"/>
    </row>
    <row r="1991" spans="5:11" x14ac:dyDescent="0.25">
      <c r="E1991" s="396"/>
    </row>
    <row r="1992" spans="5:11" x14ac:dyDescent="0.25">
      <c r="E1992" s="396"/>
    </row>
    <row r="1993" spans="5:11" x14ac:dyDescent="0.25">
      <c r="E1993" s="396"/>
    </row>
    <row r="1994" spans="5:11" x14ac:dyDescent="0.25">
      <c r="E1994" s="396"/>
    </row>
    <row r="1995" spans="5:11" x14ac:dyDescent="0.25">
      <c r="E1995" s="396"/>
    </row>
    <row r="1996" spans="5:11" x14ac:dyDescent="0.25">
      <c r="E1996" s="396"/>
    </row>
    <row r="1997" spans="5:11" x14ac:dyDescent="0.25">
      <c r="E1997" s="396"/>
    </row>
    <row r="1998" spans="5:11" x14ac:dyDescent="0.25">
      <c r="E1998" s="396"/>
    </row>
    <row r="1999" spans="5:11" x14ac:dyDescent="0.25">
      <c r="E1999" s="396"/>
    </row>
    <row r="2000" spans="5:11" ht="15.75" thickBot="1" x14ac:dyDescent="0.3">
      <c r="E2000" s="396"/>
      <c r="G2000" s="351" t="s">
        <v>546</v>
      </c>
      <c r="H2000" s="351" t="s">
        <v>547</v>
      </c>
      <c r="I2000" s="351" t="s">
        <v>548</v>
      </c>
      <c r="J2000" s="351" t="s">
        <v>549</v>
      </c>
      <c r="K2000" s="351" t="s">
        <v>550</v>
      </c>
    </row>
    <row r="2001" spans="5:36" ht="15.75" thickBot="1" x14ac:dyDescent="0.3">
      <c r="E2001" s="425"/>
      <c r="G2001" s="267"/>
      <c r="AJ2001" s="429"/>
    </row>
    <row r="2002" spans="5:36" ht="15.75" thickBot="1" x14ac:dyDescent="0.3">
      <c r="G2002" s="267"/>
    </row>
    <row r="2003" spans="5:36" x14ac:dyDescent="0.25">
      <c r="G2003" s="267"/>
    </row>
    <row r="1048575" spans="8:33" ht="15.75" thickBot="1" x14ac:dyDescent="0.3"/>
    <row r="1048576" spans="8:33" x14ac:dyDescent="0.25">
      <c r="H1048576" s="268"/>
      <c r="I1048576" s="368"/>
      <c r="X1048576" s="290"/>
      <c r="Y1048576" s="369"/>
      <c r="AG1048576" s="295"/>
    </row>
  </sheetData>
  <autoFilter ref="A1:AB2000" xr:uid="{CAF5558C-A190-4B94-B097-9C32A655ACDD}">
    <filterColumn colId="0" showButton="0"/>
  </autoFilter>
  <mergeCells count="109">
    <mergeCell ref="A1:B1"/>
    <mergeCell ref="A34:A49"/>
    <mergeCell ref="B34:B49"/>
    <mergeCell ref="C34:C49"/>
    <mergeCell ref="A50:A65"/>
    <mergeCell ref="B50:B65"/>
    <mergeCell ref="C50:C65"/>
    <mergeCell ref="A2:A17"/>
    <mergeCell ref="B2:B17"/>
    <mergeCell ref="C2:C17"/>
    <mergeCell ref="A18:A33"/>
    <mergeCell ref="B18:B33"/>
    <mergeCell ref="C18:C33"/>
    <mergeCell ref="A98:A113"/>
    <mergeCell ref="B98:B113"/>
    <mergeCell ref="C98:C113"/>
    <mergeCell ref="A114:A129"/>
    <mergeCell ref="B114:B129"/>
    <mergeCell ref="C114:C129"/>
    <mergeCell ref="A66:A81"/>
    <mergeCell ref="B66:B81"/>
    <mergeCell ref="C66:C81"/>
    <mergeCell ref="A82:A97"/>
    <mergeCell ref="B82:B97"/>
    <mergeCell ref="C82:C97"/>
    <mergeCell ref="A162:A177"/>
    <mergeCell ref="B162:B177"/>
    <mergeCell ref="C162:C177"/>
    <mergeCell ref="A178:A193"/>
    <mergeCell ref="B178:B193"/>
    <mergeCell ref="C178:C193"/>
    <mergeCell ref="A130:A145"/>
    <mergeCell ref="B130:B145"/>
    <mergeCell ref="C130:C145"/>
    <mergeCell ref="A146:A161"/>
    <mergeCell ref="B146:B161"/>
    <mergeCell ref="C146:C161"/>
    <mergeCell ref="A226:A241"/>
    <mergeCell ref="B226:B241"/>
    <mergeCell ref="C226:C241"/>
    <mergeCell ref="A242:A257"/>
    <mergeCell ref="B242:B257"/>
    <mergeCell ref="C242:C257"/>
    <mergeCell ref="A194:A209"/>
    <mergeCell ref="B194:B209"/>
    <mergeCell ref="C194:C209"/>
    <mergeCell ref="A210:A225"/>
    <mergeCell ref="B210:B225"/>
    <mergeCell ref="C210:C225"/>
    <mergeCell ref="A290:A305"/>
    <mergeCell ref="B290:B305"/>
    <mergeCell ref="C290:C305"/>
    <mergeCell ref="A306:A321"/>
    <mergeCell ref="B306:B321"/>
    <mergeCell ref="C306:C321"/>
    <mergeCell ref="A258:A273"/>
    <mergeCell ref="B258:B273"/>
    <mergeCell ref="C258:C273"/>
    <mergeCell ref="A274:A289"/>
    <mergeCell ref="B274:B289"/>
    <mergeCell ref="C274:C289"/>
    <mergeCell ref="A354:A369"/>
    <mergeCell ref="B354:B369"/>
    <mergeCell ref="C354:C369"/>
    <mergeCell ref="A370:A385"/>
    <mergeCell ref="B370:B385"/>
    <mergeCell ref="C370:C385"/>
    <mergeCell ref="A322:A337"/>
    <mergeCell ref="B322:B337"/>
    <mergeCell ref="C322:C337"/>
    <mergeCell ref="A338:A353"/>
    <mergeCell ref="B338:B353"/>
    <mergeCell ref="C338:C353"/>
    <mergeCell ref="A418:A433"/>
    <mergeCell ref="B418:B433"/>
    <mergeCell ref="C418:C433"/>
    <mergeCell ref="A434:A449"/>
    <mergeCell ref="B434:B449"/>
    <mergeCell ref="C434:C449"/>
    <mergeCell ref="A386:A401"/>
    <mergeCell ref="B386:B401"/>
    <mergeCell ref="C386:C401"/>
    <mergeCell ref="A402:A417"/>
    <mergeCell ref="B402:B417"/>
    <mergeCell ref="C402:C417"/>
    <mergeCell ref="A482:A497"/>
    <mergeCell ref="B482:B497"/>
    <mergeCell ref="C482:C497"/>
    <mergeCell ref="A498:A513"/>
    <mergeCell ref="B498:B513"/>
    <mergeCell ref="C498:C513"/>
    <mergeCell ref="A450:A465"/>
    <mergeCell ref="B450:B465"/>
    <mergeCell ref="C450:C465"/>
    <mergeCell ref="A466:A481"/>
    <mergeCell ref="B466:B481"/>
    <mergeCell ref="C466:C481"/>
    <mergeCell ref="A546:A561"/>
    <mergeCell ref="B546:B561"/>
    <mergeCell ref="C546:C561"/>
    <mergeCell ref="A562:A577"/>
    <mergeCell ref="B562:B577"/>
    <mergeCell ref="C562:C577"/>
    <mergeCell ref="A514:A529"/>
    <mergeCell ref="B514:B529"/>
    <mergeCell ref="C514:C529"/>
    <mergeCell ref="A530:A545"/>
    <mergeCell ref="B530:B545"/>
    <mergeCell ref="C530:C545"/>
  </mergeCells>
  <phoneticPr fontId="18" type="noConversion"/>
  <conditionalFormatting sqref="AA2:AA594">
    <cfRule type="expression" dxfId="1" priority="1">
      <formula>LEN(L2)&lt;$AA$1</formula>
    </cfRule>
    <cfRule type="expression" dxfId="0" priority="2">
      <formula>LEN(L2)&gt;$AA$1</formula>
    </cfRule>
  </conditionalFormatting>
  <dataValidations xWindow="1175" yWindow="237" count="7">
    <dataValidation type="list" allowBlank="1" showInputMessage="1" showErrorMessage="1" sqref="A2:A577" xr:uid="{00000000-0002-0000-0000-000000000000}">
      <formula1>Module</formula1>
    </dataValidation>
    <dataValidation type="list" allowBlank="1" showInputMessage="1" showErrorMessage="1" sqref="Q578:Q659" xr:uid="{00000000-0002-0000-0000-000001000000}">
      <formula1>Endungen</formula1>
    </dataValidation>
    <dataValidation type="list" allowBlank="1" showInputMessage="1" showErrorMessage="1" sqref="M1:M1048576" xr:uid="{00000000-0002-0000-0000-000002000000}">
      <formula1>Objecte</formula1>
    </dataValidation>
    <dataValidation type="list" allowBlank="1" showInputMessage="1" showErrorMessage="1" sqref="Q2:Q577" xr:uid="{00000000-0002-0000-0000-000003000000}">
      <formula1>INDIRECT(M2)</formula1>
    </dataValidation>
    <dataValidation type="list" allowBlank="1" showInputMessage="1" showErrorMessage="1" sqref="AD3:AD577" xr:uid="{1A06E074-C639-456A-BA9A-DD6924737C31}">
      <formula1>INDIRECT(G3)</formula1>
    </dataValidation>
    <dataValidation type="list" allowBlank="1" showInputMessage="1" showErrorMessage="1" sqref="AE2:AE577" xr:uid="{D65DAEAC-EB75-4F91-9D36-BFBEE5D4A520}">
      <formula1>INDIRECT(AD2)</formula1>
    </dataValidation>
    <dataValidation type="list" showInputMessage="1" showErrorMessage="1" sqref="AD2" xr:uid="{E17A7A00-80DE-4B7A-B506-36526DD7C0E2}">
      <formula1>INDIRECT(G2)</formula1>
    </dataValidation>
  </dataValidations>
  <pageMargins left="0.7" right="0.7" top="0.78740157499999996" bottom="0.78740157499999996" header="0.3" footer="0.3"/>
  <pageSetup paperSize="9" scale="8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120" r:id="rId4" name="lbl_projekt">
          <controlPr defaultSize="0" autoLine="0" autoPict="0" r:id="rId5">
            <anchor moveWithCells="1">
              <from>
                <xdr:col>5</xdr:col>
                <xdr:colOff>1009650</xdr:colOff>
                <xdr:row>0</xdr:row>
                <xdr:rowOff>47625</xdr:rowOff>
              </from>
              <to>
                <xdr:col>5</xdr:col>
                <xdr:colOff>5781675</xdr:colOff>
                <xdr:row>0</xdr:row>
                <xdr:rowOff>342900</xdr:rowOff>
              </to>
            </anchor>
          </controlPr>
        </control>
      </mc:Choice>
      <mc:Fallback>
        <control shapeId="2120" r:id="rId4" name="lbl_projek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F3E12-360D-40EB-87C9-D535D11FA0FB}">
  <sheetPr codeName="Tabelle17">
    <tabColor rgb="FF01FF01"/>
  </sheetPr>
  <dimension ref="A1:AK594"/>
  <sheetViews>
    <sheetView zoomScale="115" zoomScaleNormal="115" workbookViewId="0">
      <pane xSplit="4" ySplit="2" topLeftCell="E3" activePane="bottomRight" state="frozen"/>
      <selection activeCell="F25" sqref="F25"/>
      <selection pane="topRight" activeCell="F25" sqref="F25"/>
      <selection pane="bottomLeft" activeCell="F25" sqref="F25"/>
      <selection pane="bottomRight" activeCell="F56" sqref="F56"/>
    </sheetView>
  </sheetViews>
  <sheetFormatPr baseColWidth="10" defaultRowHeight="15" x14ac:dyDescent="0.25"/>
  <cols>
    <col min="1" max="1" width="3.140625" style="106" customWidth="1"/>
    <col min="2" max="2" width="4.85546875" style="106" customWidth="1"/>
    <col min="3" max="3" width="13" style="106" bestFit="1" customWidth="1"/>
    <col min="4" max="4" width="8.5703125" style="450" bestFit="1" customWidth="1"/>
    <col min="5" max="5" width="14.42578125" style="451" bestFit="1" customWidth="1"/>
    <col min="6" max="6" width="86.5703125" style="101" bestFit="1" customWidth="1"/>
    <col min="7" max="7" width="12.28515625" style="108" bestFit="1" customWidth="1"/>
    <col min="8" max="10" width="7.42578125" style="108" bestFit="1" customWidth="1"/>
    <col min="11" max="11" width="12.85546875" style="108" bestFit="1" customWidth="1"/>
    <col min="12" max="12" width="40.7109375" style="154" hidden="1" customWidth="1"/>
    <col min="13" max="13" width="8" style="108" hidden="1" customWidth="1"/>
    <col min="14" max="14" width="18.140625" style="452" hidden="1" customWidth="1"/>
    <col min="15" max="15" width="11.42578125" style="108" hidden="1" customWidth="1"/>
    <col min="16" max="16" width="13.42578125" style="156" hidden="1" customWidth="1"/>
    <col min="17" max="17" width="13" style="108" hidden="1" customWidth="1"/>
    <col min="18" max="18" width="22.42578125" style="453" hidden="1" customWidth="1"/>
    <col min="19" max="19" width="40.140625" style="108" hidden="1" customWidth="1"/>
    <col min="20" max="20" width="11.42578125" style="108" hidden="1" customWidth="1"/>
    <col min="21" max="23" width="11.42578125" style="101" hidden="1" customWidth="1"/>
    <col min="24" max="24" width="8.5703125" style="101" hidden="1" customWidth="1"/>
    <col min="25" max="25" width="7.5703125" style="101" hidden="1" customWidth="1"/>
    <col min="26" max="26" width="12.140625" style="109" hidden="1" customWidth="1"/>
    <col min="27" max="27" width="11.42578125" style="106" hidden="1" customWidth="1"/>
    <col min="28" max="29" width="11.42578125" style="101" hidden="1" customWidth="1"/>
    <col min="30" max="30" width="11.42578125" style="141"/>
    <col min="31" max="31" width="11.42578125" style="142"/>
    <col min="32" max="32" width="11.42578125" style="106" hidden="1" customWidth="1"/>
    <col min="33" max="33" width="11.42578125" style="106"/>
    <col min="35" max="16384" width="11.42578125" style="106"/>
  </cols>
  <sheetData>
    <row r="1" spans="1:37" ht="55.5" thickBot="1" x14ac:dyDescent="0.3">
      <c r="A1" s="508" t="s">
        <v>552</v>
      </c>
      <c r="B1" s="508"/>
      <c r="C1" s="508"/>
      <c r="D1" s="508"/>
      <c r="E1" s="509"/>
      <c r="F1" s="441" t="s">
        <v>54</v>
      </c>
      <c r="G1" s="157" t="str">
        <f>PSDUS0202!G1</f>
        <v>PSDUS0202</v>
      </c>
      <c r="H1" s="163"/>
      <c r="I1" s="163"/>
      <c r="J1" s="163"/>
      <c r="K1" s="134"/>
      <c r="L1" s="135" t="str">
        <f>"DMS-NAME "</f>
        <v xml:space="preserve">DMS-NAME </v>
      </c>
      <c r="M1" s="136" t="s">
        <v>52</v>
      </c>
      <c r="N1" s="442" t="s">
        <v>60</v>
      </c>
      <c r="O1" s="136"/>
      <c r="P1" s="118" t="s">
        <v>61</v>
      </c>
      <c r="Q1" s="136" t="s">
        <v>144</v>
      </c>
      <c r="R1" s="138" t="s">
        <v>127</v>
      </c>
      <c r="S1" s="121" t="s">
        <v>559</v>
      </c>
      <c r="T1" s="121"/>
      <c r="U1" s="122"/>
      <c r="V1" s="122"/>
      <c r="W1" s="122"/>
      <c r="X1" s="122" t="s">
        <v>46</v>
      </c>
      <c r="Y1" s="122" t="s">
        <v>47</v>
      </c>
      <c r="Z1" s="120" t="s">
        <v>48</v>
      </c>
      <c r="AB1" s="443"/>
      <c r="AC1" s="443"/>
      <c r="AD1" s="99" t="s">
        <v>541</v>
      </c>
      <c r="AE1" s="444"/>
      <c r="AG1" s="264" t="s">
        <v>1268</v>
      </c>
    </row>
    <row r="2" spans="1:37" ht="16.5" thickBot="1" x14ac:dyDescent="0.3">
      <c r="A2" s="48" t="s">
        <v>213</v>
      </c>
      <c r="B2" s="48" t="s">
        <v>212</v>
      </c>
      <c r="C2" s="69" t="s">
        <v>529</v>
      </c>
      <c r="D2" s="66" t="s">
        <v>211</v>
      </c>
      <c r="E2" s="74" t="s">
        <v>551</v>
      </c>
      <c r="F2" s="438"/>
      <c r="G2" s="104"/>
      <c r="H2" s="104"/>
      <c r="I2" s="104"/>
      <c r="J2" s="104"/>
      <c r="K2" s="104" t="s">
        <v>466</v>
      </c>
      <c r="L2" s="140"/>
      <c r="M2" s="101"/>
      <c r="N2" s="127"/>
      <c r="O2" s="95"/>
      <c r="P2" s="98"/>
      <c r="Q2" s="95"/>
      <c r="R2" s="128"/>
      <c r="S2" s="95"/>
      <c r="T2" s="95"/>
      <c r="U2" s="96"/>
      <c r="V2" s="96"/>
      <c r="W2" s="96"/>
      <c r="X2" s="96"/>
      <c r="Y2" s="96"/>
      <c r="Z2" s="97"/>
      <c r="AG2" s="266"/>
    </row>
    <row r="3" spans="1:37" ht="15" customHeight="1" thickBot="1" x14ac:dyDescent="0.3">
      <c r="A3" s="510" t="s">
        <v>524</v>
      </c>
      <c r="B3" s="506" t="s">
        <v>178</v>
      </c>
      <c r="C3" s="503">
        <v>1</v>
      </c>
      <c r="D3" s="67" t="s">
        <v>519</v>
      </c>
      <c r="E3" s="233" t="str">
        <f>"MRDOC" &amp; $C$3 &amp; "_" &amp;RIGHT(D3,1)</f>
        <v>MRDOC1_1</v>
      </c>
      <c r="F3" s="438" t="s">
        <v>1161</v>
      </c>
      <c r="G3" s="158" t="s">
        <v>1266</v>
      </c>
      <c r="H3" s="126" t="s">
        <v>1294</v>
      </c>
      <c r="I3" s="158" t="s">
        <v>1292</v>
      </c>
      <c r="J3" s="143" t="s">
        <v>1299</v>
      </c>
      <c r="K3" s="143" t="s">
        <v>1326</v>
      </c>
      <c r="L3" s="144" t="str">
        <f>IF(G3&lt;&gt;"",$G$1&amp;":"&amp;G3&amp;":"&amp;H3&amp;":"&amp;I3&amp;":"&amp;(IF(K3&lt;&gt;"",J3&amp;":"&amp;K3,J3)),"")</f>
        <v>PSDUS0202:NSB:M101:PUM:EIN:SB001</v>
      </c>
      <c r="M3" s="145"/>
      <c r="N3" s="146" t="str">
        <f>IF(F3&lt;&gt;"",""&amp;$A$3&amp;"_"&amp;IF($C$3&lt;10,"0"&amp;$C$3,$C$3)&amp;".IO_"&amp;D3,"")</f>
        <v>MRDO4_01.IO_DO1</v>
      </c>
      <c r="O3" s="107"/>
      <c r="P3" s="129"/>
      <c r="Q3" s="107"/>
      <c r="R3" s="147" t="str">
        <f t="shared" ref="R3:R13" si="0">IF(G3&lt;&gt;"",G3&amp;"."&amp;H3&amp;"."&amp;I3&amp;"."&amp;J3&amp;"."&amp;K3,"")</f>
        <v>NSB.M101.PUM.EIN.SB001</v>
      </c>
      <c r="S3" s="107" t="str">
        <f t="shared" ref="S3:S13" si="1">L3&amp;":NAME"</f>
        <v>PSDUS0202:NSB:M101:PUM:EIN:SB001:NAME</v>
      </c>
      <c r="T3" s="130"/>
      <c r="U3" s="130"/>
      <c r="V3" s="130"/>
      <c r="W3" s="130"/>
      <c r="X3" s="130"/>
      <c r="Y3" s="131"/>
      <c r="Z3" s="130"/>
      <c r="AD3" s="445"/>
      <c r="AE3" s="446"/>
      <c r="AG3" s="266" t="s">
        <v>1295</v>
      </c>
      <c r="AK3" s="447"/>
    </row>
    <row r="4" spans="1:37" ht="15" customHeight="1" thickBot="1" x14ac:dyDescent="0.3">
      <c r="A4" s="511"/>
      <c r="B4" s="507"/>
      <c r="C4" s="504"/>
      <c r="D4" s="67" t="s">
        <v>520</v>
      </c>
      <c r="E4" s="233" t="str">
        <f t="shared" ref="E4:E6" si="2">"MRDOC" &amp; $C$3 &amp; "_" &amp;RIGHT(D4,1)</f>
        <v>MRDOC1_2</v>
      </c>
      <c r="F4" s="438" t="s">
        <v>1163</v>
      </c>
      <c r="G4" s="158" t="s">
        <v>1266</v>
      </c>
      <c r="H4" s="126" t="s">
        <v>1307</v>
      </c>
      <c r="I4" s="158" t="s">
        <v>1292</v>
      </c>
      <c r="J4" s="143" t="s">
        <v>1299</v>
      </c>
      <c r="K4" s="143" t="s">
        <v>1326</v>
      </c>
      <c r="L4" s="144" t="str">
        <f t="shared" ref="L4:L50" si="3">IF(G4&lt;&gt;"",$G$1&amp;":"&amp;G4&amp;":"&amp;H4&amp;":"&amp;I4&amp;":"&amp;(IF(K4&lt;&gt;"",J4&amp;":"&amp;K4,J4)),"")</f>
        <v>PSDUS0202:NSB:M102:PUM:EIN:SB001</v>
      </c>
      <c r="M4" s="145"/>
      <c r="N4" s="146" t="str">
        <f t="shared" ref="N4:N6" si="4">IF(F4&lt;&gt;"",""&amp;$A$3&amp;"_"&amp;IF($C$3&lt;10,"0"&amp;$C$3,$C$3)&amp;".IO_"&amp;D4,"")</f>
        <v>MRDO4_01.IO_DO2</v>
      </c>
      <c r="O4" s="107"/>
      <c r="P4" s="129"/>
      <c r="Q4" s="107"/>
      <c r="R4" s="147" t="str">
        <f t="shared" si="0"/>
        <v>NSB.M102.PUM.EIN.SB001</v>
      </c>
      <c r="S4" s="107" t="str">
        <f t="shared" si="1"/>
        <v>PSDUS0202:NSB:M102:PUM:EIN:SB001:NAME</v>
      </c>
      <c r="T4" s="130"/>
      <c r="U4" s="130"/>
      <c r="V4" s="130"/>
      <c r="W4" s="130"/>
      <c r="X4" s="130"/>
      <c r="Y4" s="131"/>
      <c r="Z4" s="130"/>
      <c r="AD4" s="445"/>
      <c r="AE4" s="446"/>
      <c r="AG4" s="266" t="s">
        <v>1308</v>
      </c>
    </row>
    <row r="5" spans="1:37" ht="15" customHeight="1" thickBot="1" x14ac:dyDescent="0.3">
      <c r="A5" s="511"/>
      <c r="B5" s="507"/>
      <c r="C5" s="504"/>
      <c r="D5" s="67" t="s">
        <v>521</v>
      </c>
      <c r="E5" s="233" t="str">
        <f t="shared" si="2"/>
        <v>MRDOC1_3</v>
      </c>
      <c r="F5" s="438" t="s">
        <v>1165</v>
      </c>
      <c r="G5" s="158" t="s">
        <v>1266</v>
      </c>
      <c r="H5" s="126" t="s">
        <v>1331</v>
      </c>
      <c r="I5" s="431" t="s">
        <v>1292</v>
      </c>
      <c r="J5" s="143" t="s">
        <v>1299</v>
      </c>
      <c r="K5" s="143" t="s">
        <v>1326</v>
      </c>
      <c r="L5" s="144" t="str">
        <f t="shared" si="3"/>
        <v>PSDUS0202:NSB:M103:PUM:EIN:SB001</v>
      </c>
      <c r="M5" s="145"/>
      <c r="N5" s="146" t="str">
        <f t="shared" si="4"/>
        <v>MRDO4_01.IO_DO3</v>
      </c>
      <c r="O5" s="107"/>
      <c r="P5" s="129"/>
      <c r="Q5" s="107"/>
      <c r="R5" s="147" t="str">
        <f t="shared" si="0"/>
        <v>NSB.M103.PUM.EIN.SB001</v>
      </c>
      <c r="S5" s="107" t="str">
        <f t="shared" si="1"/>
        <v>PSDUS0202:NSB:M103:PUM:EIN:SB001:NAME</v>
      </c>
      <c r="T5" s="130"/>
      <c r="U5" s="130"/>
      <c r="V5" s="130"/>
      <c r="W5" s="130"/>
      <c r="X5" s="130"/>
      <c r="Y5" s="131"/>
      <c r="Z5" s="130"/>
      <c r="AD5" s="445"/>
      <c r="AE5" s="446"/>
      <c r="AG5" s="266" t="s">
        <v>1333</v>
      </c>
    </row>
    <row r="6" spans="1:37" s="448" customFormat="1" ht="15" customHeight="1" thickBot="1" x14ac:dyDescent="0.3">
      <c r="A6" s="512"/>
      <c r="B6" s="507"/>
      <c r="C6" s="505"/>
      <c r="D6" s="68" t="s">
        <v>522</v>
      </c>
      <c r="E6" s="243" t="str">
        <f t="shared" si="2"/>
        <v>MRDOC1_4</v>
      </c>
      <c r="F6" s="454" t="s">
        <v>1167</v>
      </c>
      <c r="G6" s="455" t="s">
        <v>1266</v>
      </c>
      <c r="H6" s="456"/>
      <c r="I6" s="457"/>
      <c r="J6" s="458"/>
      <c r="K6" s="458"/>
      <c r="L6" s="144" t="str">
        <f t="shared" si="3"/>
        <v>PSDUS0202:NSB:::</v>
      </c>
      <c r="M6" s="145"/>
      <c r="N6" s="146" t="str">
        <f t="shared" si="4"/>
        <v>MRDO4_01.IO_DO4</v>
      </c>
      <c r="O6" s="107"/>
      <c r="P6" s="129"/>
      <c r="Q6" s="107"/>
      <c r="R6" s="147" t="str">
        <f t="shared" si="0"/>
        <v>NSB....</v>
      </c>
      <c r="S6" s="107" t="str">
        <f t="shared" si="1"/>
        <v>PSDUS0202:NSB::::NAME</v>
      </c>
      <c r="T6" s="130"/>
      <c r="U6" s="130"/>
      <c r="V6" s="130"/>
      <c r="W6" s="130"/>
      <c r="X6" s="130"/>
      <c r="Y6" s="131"/>
      <c r="Z6" s="130"/>
      <c r="AB6" s="449"/>
      <c r="AC6" s="449"/>
      <c r="AD6" s="445"/>
      <c r="AE6" s="446"/>
      <c r="AG6" s="266" t="s">
        <v>1438</v>
      </c>
    </row>
    <row r="7" spans="1:37" ht="15" customHeight="1" thickBot="1" x14ac:dyDescent="0.3">
      <c r="A7" s="510" t="s">
        <v>524</v>
      </c>
      <c r="B7" s="506" t="s">
        <v>178</v>
      </c>
      <c r="C7" s="503">
        <v>2</v>
      </c>
      <c r="D7" s="67" t="s">
        <v>519</v>
      </c>
      <c r="E7" s="233" t="str">
        <f>"MRDOC" &amp; $C$7 &amp; "_" &amp;RIGHT(D7,1)</f>
        <v>MRDOC2_1</v>
      </c>
      <c r="F7" s="438" t="s">
        <v>1169</v>
      </c>
      <c r="G7" s="432" t="s">
        <v>1266</v>
      </c>
      <c r="H7" s="433" t="s">
        <v>1441</v>
      </c>
      <c r="I7" s="432" t="s">
        <v>1440</v>
      </c>
      <c r="J7" s="434" t="s">
        <v>1303</v>
      </c>
      <c r="K7" s="434" t="s">
        <v>1326</v>
      </c>
      <c r="L7" s="144" t="str">
        <f t="shared" si="3"/>
        <v>PSDUS0202:NSB:X150:RGW:AUF:SB001</v>
      </c>
      <c r="M7" s="440"/>
      <c r="N7" s="246" t="str">
        <f>IF(F7&lt;&gt;"",""&amp;$A$3&amp;"_"&amp;IF($C$7&lt;10,"0"&amp;$C$7,$C$7)&amp;".IO_"&amp;D7,"")</f>
        <v>MRDO4_02.IO_DO1</v>
      </c>
      <c r="O7" s="436"/>
      <c r="P7" s="248"/>
      <c r="Q7" s="436"/>
      <c r="R7" s="249" t="str">
        <f t="shared" si="0"/>
        <v>NSB.X150.RGW.AUF.SB001</v>
      </c>
      <c r="S7" s="436" t="str">
        <f t="shared" si="1"/>
        <v>PSDUS0202:NSB:X150:RGW:AUF:SB001:NAME</v>
      </c>
      <c r="T7" s="435"/>
      <c r="U7" s="435"/>
      <c r="V7" s="435"/>
      <c r="W7" s="435"/>
      <c r="X7" s="435"/>
      <c r="Y7" s="437"/>
      <c r="Z7" s="435"/>
      <c r="AD7" s="445"/>
      <c r="AE7" s="446"/>
      <c r="AG7" s="266" t="s">
        <v>1439</v>
      </c>
    </row>
    <row r="8" spans="1:37" ht="15" customHeight="1" thickBot="1" x14ac:dyDescent="0.3">
      <c r="A8" s="511"/>
      <c r="B8" s="507"/>
      <c r="C8" s="504"/>
      <c r="D8" s="67" t="s">
        <v>520</v>
      </c>
      <c r="E8" s="233" t="str">
        <f t="shared" ref="E8:E10" si="5">"MRDOC" &amp; $C$7 &amp; "_" &amp;RIGHT(D8,1)</f>
        <v>MRDOC2_2</v>
      </c>
      <c r="F8" s="438" t="s">
        <v>1171</v>
      </c>
      <c r="G8" s="158" t="s">
        <v>1266</v>
      </c>
      <c r="H8" s="126" t="s">
        <v>1409</v>
      </c>
      <c r="I8" s="158" t="s">
        <v>1408</v>
      </c>
      <c r="J8" s="143" t="s">
        <v>1303</v>
      </c>
      <c r="K8" s="143" t="s">
        <v>1326</v>
      </c>
      <c r="L8" s="144" t="str">
        <f t="shared" si="3"/>
        <v>PSDUS0202:NSB:X113:ABF:AUF:SB001</v>
      </c>
      <c r="M8" s="145"/>
      <c r="N8" s="246" t="str">
        <f t="shared" ref="N8:N10" si="6">IF(F8&lt;&gt;"",""&amp;$A$3&amp;"_"&amp;IF($C$7&lt;10,"0"&amp;$C$7,$C$7)&amp;".IO_"&amp;D8,"")</f>
        <v>MRDO4_02.IO_DO2</v>
      </c>
      <c r="O8" s="107"/>
      <c r="P8" s="129"/>
      <c r="Q8" s="107"/>
      <c r="R8" s="147" t="str">
        <f t="shared" si="0"/>
        <v>NSB.X113.ABF.AUF.SB001</v>
      </c>
      <c r="S8" s="107" t="str">
        <f t="shared" si="1"/>
        <v>PSDUS0202:NSB:X113:ABF:AUF:SB001:NAME</v>
      </c>
      <c r="T8" s="130"/>
      <c r="U8" s="130"/>
      <c r="V8" s="130"/>
      <c r="W8" s="130"/>
      <c r="X8" s="130"/>
      <c r="Y8" s="131"/>
      <c r="Z8" s="130"/>
      <c r="AD8" s="445"/>
      <c r="AE8" s="446"/>
      <c r="AG8" s="266" t="s">
        <v>1417</v>
      </c>
    </row>
    <row r="9" spans="1:37" ht="15" customHeight="1" thickBot="1" x14ac:dyDescent="0.3">
      <c r="A9" s="511"/>
      <c r="B9" s="507"/>
      <c r="C9" s="504"/>
      <c r="D9" s="67" t="s">
        <v>521</v>
      </c>
      <c r="E9" s="233" t="str">
        <f t="shared" si="5"/>
        <v>MRDOC2_3</v>
      </c>
      <c r="F9" s="438" t="s">
        <v>1173</v>
      </c>
      <c r="G9" s="158" t="s">
        <v>1266</v>
      </c>
      <c r="H9" s="126" t="s">
        <v>1404</v>
      </c>
      <c r="I9" s="158" t="s">
        <v>1302</v>
      </c>
      <c r="J9" s="143" t="s">
        <v>1303</v>
      </c>
      <c r="K9" s="143" t="s">
        <v>1326</v>
      </c>
      <c r="L9" s="144" t="str">
        <f t="shared" si="3"/>
        <v>PSDUS0202:NSB:X135:AKL:AUF:SB001</v>
      </c>
      <c r="M9" s="145"/>
      <c r="N9" s="246" t="str">
        <f t="shared" si="6"/>
        <v>MRDO4_02.IO_DO3</v>
      </c>
      <c r="O9" s="107"/>
      <c r="P9" s="129"/>
      <c r="Q9" s="107"/>
      <c r="R9" s="147" t="str">
        <f t="shared" si="0"/>
        <v>NSB.X135.AKL.AUF.SB001</v>
      </c>
      <c r="S9" s="107" t="str">
        <f t="shared" si="1"/>
        <v>PSDUS0202:NSB:X135:AKL:AUF:SB001:NAME</v>
      </c>
      <c r="T9" s="130"/>
      <c r="U9" s="130"/>
      <c r="V9" s="130"/>
      <c r="W9" s="130"/>
      <c r="X9" s="130"/>
      <c r="Y9" s="131"/>
      <c r="Z9" s="130"/>
      <c r="AD9" s="445"/>
      <c r="AE9" s="446"/>
      <c r="AG9" s="266" t="s">
        <v>1405</v>
      </c>
    </row>
    <row r="10" spans="1:37" s="448" customFormat="1" ht="15" customHeight="1" thickBot="1" x14ac:dyDescent="0.3">
      <c r="A10" s="512"/>
      <c r="B10" s="507"/>
      <c r="C10" s="505"/>
      <c r="D10" s="68" t="s">
        <v>522</v>
      </c>
      <c r="E10" s="233" t="str">
        <f t="shared" si="5"/>
        <v>MRDOC2_4</v>
      </c>
      <c r="F10" s="439" t="s">
        <v>1063</v>
      </c>
      <c r="G10" s="158"/>
      <c r="H10" s="126"/>
      <c r="I10" s="158"/>
      <c r="J10" s="143"/>
      <c r="K10" s="143"/>
      <c r="L10" s="144" t="str">
        <f t="shared" si="3"/>
        <v/>
      </c>
      <c r="M10" s="145"/>
      <c r="N10" s="246" t="str">
        <f t="shared" si="6"/>
        <v>MRDO4_02.IO_DO4</v>
      </c>
      <c r="O10" s="107"/>
      <c r="P10" s="129"/>
      <c r="Q10" s="107"/>
      <c r="R10" s="147" t="str">
        <f t="shared" si="0"/>
        <v/>
      </c>
      <c r="S10" s="107" t="str">
        <f t="shared" si="1"/>
        <v>:NAME</v>
      </c>
      <c r="T10" s="130"/>
      <c r="U10" s="130"/>
      <c r="V10" s="130"/>
      <c r="W10" s="130"/>
      <c r="X10" s="130"/>
      <c r="Y10" s="131"/>
      <c r="Z10" s="130"/>
      <c r="AB10" s="449"/>
      <c r="AC10" s="449"/>
      <c r="AD10" s="445"/>
      <c r="AE10" s="446"/>
      <c r="AG10" s="266"/>
    </row>
    <row r="11" spans="1:37" ht="15" customHeight="1" thickBot="1" x14ac:dyDescent="0.3">
      <c r="A11" s="510" t="s">
        <v>524</v>
      </c>
      <c r="B11" s="506" t="s">
        <v>178</v>
      </c>
      <c r="C11" s="503">
        <v>3</v>
      </c>
      <c r="D11" s="67" t="s">
        <v>519</v>
      </c>
      <c r="E11" s="233" t="str">
        <f>"MRDOC" &amp; $C$11 &amp; "_" &amp;RIGHT(D11,1)</f>
        <v>MRDOC3_1</v>
      </c>
      <c r="F11" s="438" t="s">
        <v>1176</v>
      </c>
      <c r="G11" s="158" t="s">
        <v>1266</v>
      </c>
      <c r="H11" s="126" t="s">
        <v>1443</v>
      </c>
      <c r="I11" s="158" t="s">
        <v>1442</v>
      </c>
      <c r="J11" s="143" t="s">
        <v>1303</v>
      </c>
      <c r="K11" s="143" t="s">
        <v>1326</v>
      </c>
      <c r="L11" s="144" t="str">
        <f t="shared" si="3"/>
        <v>PSDUS0202:NSB:X152:AVT:AUF:SB001</v>
      </c>
      <c r="M11" s="145"/>
      <c r="N11" s="246" t="str">
        <f>IF(F11&lt;&gt;"",""&amp;$A$3&amp;"_"&amp;IF($C$11&lt;10,"0"&amp;$C$11,$C$11)&amp;".IO_"&amp;D11,"")</f>
        <v>MRDO4_03.IO_DO1</v>
      </c>
      <c r="O11" s="107"/>
      <c r="P11" s="129"/>
      <c r="Q11" s="107"/>
      <c r="R11" s="147" t="str">
        <f t="shared" si="0"/>
        <v>NSB.X152.AVT.AUF.SB001</v>
      </c>
      <c r="S11" s="107" t="str">
        <f t="shared" si="1"/>
        <v>PSDUS0202:NSB:X152:AVT:AUF:SB001:NAME</v>
      </c>
      <c r="T11" s="130"/>
      <c r="U11" s="130"/>
      <c r="V11" s="130"/>
      <c r="W11" s="130"/>
      <c r="X11" s="130"/>
      <c r="Y11" s="131"/>
      <c r="Z11" s="130"/>
      <c r="AD11" s="445"/>
      <c r="AE11" s="446"/>
      <c r="AG11" s="265" t="s">
        <v>1444</v>
      </c>
    </row>
    <row r="12" spans="1:37" ht="15" customHeight="1" thickBot="1" x14ac:dyDescent="0.3">
      <c r="A12" s="511"/>
      <c r="B12" s="507"/>
      <c r="C12" s="504"/>
      <c r="D12" s="67" t="s">
        <v>520</v>
      </c>
      <c r="E12" s="233" t="str">
        <f t="shared" ref="E12:E14" si="7">"MRDOC" &amp; $C$11 &amp; "_" &amp;RIGHT(D12,1)</f>
        <v>MRDOC3_2</v>
      </c>
      <c r="F12" s="438" t="s">
        <v>1178</v>
      </c>
      <c r="G12" s="158" t="s">
        <v>1266</v>
      </c>
      <c r="H12" s="126" t="s">
        <v>1445</v>
      </c>
      <c r="I12" s="158" t="s">
        <v>1442</v>
      </c>
      <c r="J12" s="143" t="s">
        <v>1303</v>
      </c>
      <c r="K12" s="143" t="s">
        <v>1326</v>
      </c>
      <c r="L12" s="144" t="str">
        <f t="shared" si="3"/>
        <v>PSDUS0202:NSB:X151:AVT:AUF:SB001</v>
      </c>
      <c r="M12" s="145"/>
      <c r="N12" s="246" t="str">
        <f t="shared" ref="N12:N14" si="8">IF(F12&lt;&gt;"",""&amp;$A$3&amp;"_"&amp;IF($C$11&lt;10,"0"&amp;$C$11,$C$11)&amp;".IO_"&amp;D12,"")</f>
        <v>MRDO4_03.IO_DO2</v>
      </c>
      <c r="O12" s="107"/>
      <c r="P12" s="129"/>
      <c r="Q12" s="107"/>
      <c r="R12" s="147" t="str">
        <f t="shared" si="0"/>
        <v>NSB.X151.AVT.AUF.SB001</v>
      </c>
      <c r="S12" s="107" t="str">
        <f t="shared" si="1"/>
        <v>PSDUS0202:NSB:X151:AVT:AUF:SB001:NAME</v>
      </c>
      <c r="T12" s="130"/>
      <c r="U12" s="130"/>
      <c r="V12" s="130"/>
      <c r="W12" s="130"/>
      <c r="X12" s="130"/>
      <c r="Y12" s="131"/>
      <c r="Z12" s="130"/>
      <c r="AD12" s="445"/>
      <c r="AE12" s="446"/>
      <c r="AG12" s="265" t="s">
        <v>1446</v>
      </c>
    </row>
    <row r="13" spans="1:37" ht="15" customHeight="1" thickBot="1" x14ac:dyDescent="0.3">
      <c r="A13" s="511"/>
      <c r="B13" s="507"/>
      <c r="C13" s="504"/>
      <c r="D13" s="67" t="s">
        <v>521</v>
      </c>
      <c r="E13" s="233" t="str">
        <f t="shared" si="7"/>
        <v>MRDOC3_3</v>
      </c>
      <c r="F13" s="438" t="s">
        <v>1063</v>
      </c>
      <c r="G13" s="158"/>
      <c r="H13" s="126"/>
      <c r="I13" s="158"/>
      <c r="J13" s="143"/>
      <c r="K13" s="143"/>
      <c r="L13" s="144" t="str">
        <f t="shared" si="3"/>
        <v/>
      </c>
      <c r="M13" s="145"/>
      <c r="N13" s="246" t="str">
        <f t="shared" si="8"/>
        <v>MRDO4_03.IO_DO3</v>
      </c>
      <c r="O13" s="107"/>
      <c r="P13" s="129"/>
      <c r="Q13" s="107"/>
      <c r="R13" s="147" t="str">
        <f t="shared" si="0"/>
        <v/>
      </c>
      <c r="S13" s="107" t="str">
        <f t="shared" si="1"/>
        <v>:NAME</v>
      </c>
      <c r="T13" s="130"/>
      <c r="U13" s="130"/>
      <c r="V13" s="130"/>
      <c r="W13" s="130"/>
      <c r="X13" s="130"/>
      <c r="Y13" s="131"/>
      <c r="Z13" s="130"/>
      <c r="AD13" s="445"/>
      <c r="AE13" s="446"/>
      <c r="AG13" s="265"/>
    </row>
    <row r="14" spans="1:37" s="448" customFormat="1" ht="15" customHeight="1" thickBot="1" x14ac:dyDescent="0.3">
      <c r="A14" s="512"/>
      <c r="B14" s="507"/>
      <c r="C14" s="505"/>
      <c r="D14" s="68" t="s">
        <v>522</v>
      </c>
      <c r="E14" s="233" t="str">
        <f t="shared" si="7"/>
        <v>MRDOC3_4</v>
      </c>
      <c r="F14" s="439" t="s">
        <v>1181</v>
      </c>
      <c r="G14" s="158" t="s">
        <v>1266</v>
      </c>
      <c r="H14" s="126" t="s">
        <v>1381</v>
      </c>
      <c r="I14" s="158" t="s">
        <v>1302</v>
      </c>
      <c r="J14" s="143" t="s">
        <v>1303</v>
      </c>
      <c r="K14" s="143" t="s">
        <v>1326</v>
      </c>
      <c r="L14" s="144" t="str">
        <f t="shared" si="3"/>
        <v>PSDUS0202:NSB:X102:AKL:AUF:SB001</v>
      </c>
      <c r="M14" s="145"/>
      <c r="N14" s="246" t="str">
        <f t="shared" si="8"/>
        <v>MRDO4_03.IO_DO4</v>
      </c>
      <c r="O14" s="107"/>
      <c r="P14" s="129"/>
      <c r="Q14" s="107"/>
      <c r="R14" s="147" t="str">
        <f>IF(G14&lt;&gt;"",G14&amp;"."&amp;H14&amp;"."&amp;I14&amp;"."&amp;J14&amp;"."&amp;K14,"")</f>
        <v>NSB.X102.AKL.AUF.SB001</v>
      </c>
      <c r="S14" s="107" t="str">
        <f>L14&amp;"::NAME"</f>
        <v>PSDUS0202:NSB:X102:AKL:AUF:SB001::NAME</v>
      </c>
      <c r="T14" s="130"/>
      <c r="U14" s="130"/>
      <c r="V14" s="130"/>
      <c r="W14" s="130"/>
      <c r="X14" s="130"/>
      <c r="Y14" s="131"/>
      <c r="Z14" s="130"/>
      <c r="AB14" s="449"/>
      <c r="AC14" s="449"/>
      <c r="AD14" s="445"/>
      <c r="AE14" s="446"/>
      <c r="AG14" s="265" t="s">
        <v>1383</v>
      </c>
    </row>
    <row r="15" spans="1:37" ht="15" customHeight="1" thickBot="1" x14ac:dyDescent="0.3">
      <c r="A15" s="510" t="s">
        <v>524</v>
      </c>
      <c r="B15" s="506" t="s">
        <v>178</v>
      </c>
      <c r="C15" s="503">
        <v>4</v>
      </c>
      <c r="D15" s="67" t="s">
        <v>519</v>
      </c>
      <c r="E15" s="233" t="str">
        <f>"MRDOC" &amp; $C$15 &amp; "_" &amp;RIGHT(D15,1)</f>
        <v>MRDOC4_1</v>
      </c>
      <c r="F15" s="438" t="s">
        <v>1183</v>
      </c>
      <c r="G15" s="158" t="s">
        <v>1266</v>
      </c>
      <c r="H15" s="126" t="s">
        <v>1385</v>
      </c>
      <c r="I15" s="158" t="s">
        <v>1302</v>
      </c>
      <c r="J15" s="143" t="s">
        <v>1303</v>
      </c>
      <c r="K15" s="143" t="s">
        <v>1326</v>
      </c>
      <c r="L15" s="144" t="str">
        <f t="shared" si="3"/>
        <v>PSDUS0202:NSB:X106:AKL:AUF:SB001</v>
      </c>
      <c r="M15" s="145"/>
      <c r="N15" s="246" t="str">
        <f>IF(F15&lt;&gt;"",""&amp;$A$3&amp;"_"&amp;IF($C$15&lt;10,"0"&amp;$C$15,$C$15)&amp;".IO_"&amp;D15,"")</f>
        <v>MRDO4_04.IO_DO1</v>
      </c>
      <c r="O15" s="107"/>
      <c r="P15" s="129"/>
      <c r="Q15" s="107"/>
      <c r="R15" s="147" t="str">
        <f t="shared" ref="R15:R50" si="9">IF(G15&lt;&gt;"",G15&amp;"."&amp;H15&amp;"."&amp;I15&amp;"."&amp;J15&amp;"."&amp;K15,"")</f>
        <v>NSB.X106.AKL.AUF.SB001</v>
      </c>
      <c r="S15" s="107" t="str">
        <f t="shared" ref="S15:S50" si="10">L15&amp;":NAME"</f>
        <v>PSDUS0202:NSB:X106:AKL:AUF:SB001:NAME</v>
      </c>
      <c r="T15" s="130"/>
      <c r="U15" s="130"/>
      <c r="V15" s="130"/>
      <c r="W15" s="130"/>
      <c r="X15" s="130"/>
      <c r="Y15" s="131"/>
      <c r="Z15" s="130"/>
      <c r="AD15" s="445"/>
      <c r="AE15" s="446"/>
      <c r="AG15" s="265" t="s">
        <v>1387</v>
      </c>
    </row>
    <row r="16" spans="1:37" ht="15" customHeight="1" thickBot="1" x14ac:dyDescent="0.3">
      <c r="A16" s="511"/>
      <c r="B16" s="507"/>
      <c r="C16" s="504"/>
      <c r="D16" s="67" t="s">
        <v>520</v>
      </c>
      <c r="E16" s="233" t="str">
        <f t="shared" ref="E16:E18" si="11">"MRDOC" &amp; $C$15 &amp; "_" &amp;RIGHT(D16,1)</f>
        <v>MRDOC4_2</v>
      </c>
      <c r="F16" s="438" t="s">
        <v>1185</v>
      </c>
      <c r="G16" s="158" t="s">
        <v>1266</v>
      </c>
      <c r="H16" s="126" t="s">
        <v>1389</v>
      </c>
      <c r="I16" s="158" t="s">
        <v>1302</v>
      </c>
      <c r="J16" s="143" t="s">
        <v>1303</v>
      </c>
      <c r="K16" s="143" t="s">
        <v>1326</v>
      </c>
      <c r="L16" s="144" t="str">
        <f t="shared" si="3"/>
        <v>PSDUS0202:NSB:X104:AKL:AUF:SB001</v>
      </c>
      <c r="M16" s="145"/>
      <c r="N16" s="246" t="str">
        <f t="shared" ref="N16:N18" si="12">IF(F16&lt;&gt;"",""&amp;$A$3&amp;"_"&amp;IF($C$15&lt;10,"0"&amp;$C$15,$C$15)&amp;".IO_"&amp;D16,"")</f>
        <v>MRDO4_04.IO_DO2</v>
      </c>
      <c r="O16" s="107"/>
      <c r="P16" s="129"/>
      <c r="Q16" s="107"/>
      <c r="R16" s="147" t="str">
        <f t="shared" si="9"/>
        <v>NSB.X104.AKL.AUF.SB001</v>
      </c>
      <c r="S16" s="107" t="str">
        <f t="shared" si="10"/>
        <v>PSDUS0202:NSB:X104:AKL:AUF:SB001:NAME</v>
      </c>
      <c r="T16" s="130"/>
      <c r="U16" s="130"/>
      <c r="V16" s="130"/>
      <c r="W16" s="130"/>
      <c r="X16" s="130"/>
      <c r="Y16" s="131"/>
      <c r="Z16" s="130"/>
      <c r="AD16" s="445"/>
      <c r="AE16" s="446"/>
      <c r="AG16" s="265" t="s">
        <v>1391</v>
      </c>
    </row>
    <row r="17" spans="1:33" ht="15" customHeight="1" thickBot="1" x14ac:dyDescent="0.3">
      <c r="A17" s="511"/>
      <c r="B17" s="507"/>
      <c r="C17" s="504"/>
      <c r="D17" s="67" t="s">
        <v>521</v>
      </c>
      <c r="E17" s="233" t="str">
        <f t="shared" si="11"/>
        <v>MRDOC4_3</v>
      </c>
      <c r="F17" s="438" t="s">
        <v>1187</v>
      </c>
      <c r="G17" s="158" t="s">
        <v>1266</v>
      </c>
      <c r="H17" s="126" t="s">
        <v>1412</v>
      </c>
      <c r="I17" s="158" t="s">
        <v>1302</v>
      </c>
      <c r="J17" s="143" t="s">
        <v>1303</v>
      </c>
      <c r="K17" s="143" t="s">
        <v>1326</v>
      </c>
      <c r="L17" s="144" t="str">
        <f t="shared" si="3"/>
        <v>PSDUS0202:NSB:X101:AKL:AUF:SB001</v>
      </c>
      <c r="M17" s="145"/>
      <c r="N17" s="246" t="str">
        <f t="shared" si="12"/>
        <v>MRDO4_04.IO_DO3</v>
      </c>
      <c r="O17" s="107"/>
      <c r="P17" s="129"/>
      <c r="Q17" s="107"/>
      <c r="R17" s="147" t="str">
        <f t="shared" si="9"/>
        <v>NSB.X101.AKL.AUF.SB001</v>
      </c>
      <c r="S17" s="107" t="str">
        <f t="shared" si="10"/>
        <v>PSDUS0202:NSB:X101:AKL:AUF:SB001:NAME</v>
      </c>
      <c r="T17" s="130"/>
      <c r="U17" s="130"/>
      <c r="V17" s="130"/>
      <c r="W17" s="130"/>
      <c r="X17" s="130"/>
      <c r="Y17" s="131"/>
      <c r="Z17" s="130"/>
      <c r="AD17" s="445"/>
      <c r="AE17" s="446"/>
      <c r="AG17" s="265" t="s">
        <v>1414</v>
      </c>
    </row>
    <row r="18" spans="1:33" s="448" customFormat="1" ht="15.75" customHeight="1" thickBot="1" x14ac:dyDescent="0.3">
      <c r="A18" s="512"/>
      <c r="B18" s="507"/>
      <c r="C18" s="505"/>
      <c r="D18" s="68" t="s">
        <v>522</v>
      </c>
      <c r="E18" s="233" t="str">
        <f t="shared" si="11"/>
        <v>MRDOC4_4</v>
      </c>
      <c r="F18" s="439" t="s">
        <v>1189</v>
      </c>
      <c r="G18" s="158" t="s">
        <v>1266</v>
      </c>
      <c r="H18" s="126" t="s">
        <v>1416</v>
      </c>
      <c r="I18" s="158" t="s">
        <v>1302</v>
      </c>
      <c r="J18" s="143" t="s">
        <v>1303</v>
      </c>
      <c r="K18" s="143" t="s">
        <v>1326</v>
      </c>
      <c r="L18" s="144" t="str">
        <f t="shared" si="3"/>
        <v>PSDUS0202:NSB:X105:AKL:AUF:SB001</v>
      </c>
      <c r="M18" s="145"/>
      <c r="N18" s="246" t="str">
        <f t="shared" si="12"/>
        <v>MRDO4_04.IO_DO4</v>
      </c>
      <c r="O18" s="107"/>
      <c r="P18" s="129"/>
      <c r="Q18" s="107"/>
      <c r="R18" s="147" t="str">
        <f t="shared" si="9"/>
        <v>NSB.X105.AKL.AUF.SB001</v>
      </c>
      <c r="S18" s="107" t="str">
        <f t="shared" si="10"/>
        <v>PSDUS0202:NSB:X105:AKL:AUF:SB001:NAME</v>
      </c>
      <c r="T18" s="130"/>
      <c r="U18" s="130"/>
      <c r="V18" s="130"/>
      <c r="W18" s="130"/>
      <c r="X18" s="130"/>
      <c r="Y18" s="131"/>
      <c r="Z18" s="130"/>
      <c r="AB18" s="449"/>
      <c r="AC18" s="449"/>
      <c r="AD18" s="445"/>
      <c r="AE18" s="446"/>
      <c r="AG18" s="265" t="s">
        <v>1418</v>
      </c>
    </row>
    <row r="19" spans="1:33" ht="15" customHeight="1" thickBot="1" x14ac:dyDescent="0.3">
      <c r="A19" s="510" t="s">
        <v>524</v>
      </c>
      <c r="B19" s="506" t="s">
        <v>178</v>
      </c>
      <c r="C19" s="503">
        <v>5</v>
      </c>
      <c r="D19" s="67" t="s">
        <v>519</v>
      </c>
      <c r="E19" s="233" t="str">
        <f>"MRDOC" &amp; $C$19 &amp; "_" &amp;RIGHT(D19,1)</f>
        <v>MRDOC5_1</v>
      </c>
      <c r="F19" s="438" t="s">
        <v>1191</v>
      </c>
      <c r="G19" s="158" t="s">
        <v>1266</v>
      </c>
      <c r="H19" s="126" t="s">
        <v>1421</v>
      </c>
      <c r="I19" s="158" t="s">
        <v>1302</v>
      </c>
      <c r="J19" s="143" t="s">
        <v>1303</v>
      </c>
      <c r="K19" s="143" t="s">
        <v>1326</v>
      </c>
      <c r="L19" s="144" t="str">
        <f t="shared" si="3"/>
        <v>PSDUS0202:NSB:X103:AKL:AUF:SB001</v>
      </c>
      <c r="M19" s="145"/>
      <c r="N19" s="246" t="str">
        <f>IF(F19&lt;&gt;"",""&amp;$A$3&amp;"_"&amp;IF($C$19&lt;10,"0"&amp;$C$19,$C$19)&amp;".IO_"&amp;D19,"")</f>
        <v>MRDO4_05.IO_DO1</v>
      </c>
      <c r="O19" s="107"/>
      <c r="P19" s="129"/>
      <c r="Q19" s="107"/>
      <c r="R19" s="147" t="str">
        <f t="shared" si="9"/>
        <v>NSB.X103.AKL.AUF.SB001</v>
      </c>
      <c r="S19" s="107" t="str">
        <f t="shared" si="10"/>
        <v>PSDUS0202:NSB:X103:AKL:AUF:SB001:NAME</v>
      </c>
      <c r="T19" s="130"/>
      <c r="U19" s="130"/>
      <c r="V19" s="130"/>
      <c r="W19" s="130"/>
      <c r="X19" s="130"/>
      <c r="Y19" s="131"/>
      <c r="Z19" s="130"/>
      <c r="AD19" s="445"/>
      <c r="AE19" s="446"/>
      <c r="AG19" s="265" t="s">
        <v>1423</v>
      </c>
    </row>
    <row r="20" spans="1:33" ht="15" customHeight="1" thickBot="1" x14ac:dyDescent="0.3">
      <c r="A20" s="511"/>
      <c r="B20" s="507"/>
      <c r="C20" s="504"/>
      <c r="D20" s="67" t="s">
        <v>520</v>
      </c>
      <c r="E20" s="233" t="str">
        <f t="shared" ref="E20:E22" si="13">"MRDOC" &amp; $C$19 &amp; "_" &amp;RIGHT(D20,1)</f>
        <v>MRDOC5_2</v>
      </c>
      <c r="F20" s="438" t="s">
        <v>1193</v>
      </c>
      <c r="G20" s="158" t="s">
        <v>1266</v>
      </c>
      <c r="H20" s="126" t="s">
        <v>1382</v>
      </c>
      <c r="I20" s="158" t="s">
        <v>1302</v>
      </c>
      <c r="J20" s="143" t="s">
        <v>1303</v>
      </c>
      <c r="K20" s="143" t="s">
        <v>1326</v>
      </c>
      <c r="L20" s="144" t="str">
        <f t="shared" si="3"/>
        <v>PSDUS0202:NSB:X107:AKL:AUF:SB001</v>
      </c>
      <c r="M20" s="145"/>
      <c r="N20" s="246" t="str">
        <f t="shared" ref="N20:N22" si="14">IF(F20&lt;&gt;"",""&amp;$A$3&amp;"_"&amp;IF($C$19&lt;10,"0"&amp;$C$19,$C$19)&amp;".IO_"&amp;D20,"")</f>
        <v>MRDO4_05.IO_DO2</v>
      </c>
      <c r="O20" s="107"/>
      <c r="P20" s="129"/>
      <c r="Q20" s="107"/>
      <c r="R20" s="147" t="str">
        <f t="shared" si="9"/>
        <v>NSB.X107.AKL.AUF.SB001</v>
      </c>
      <c r="S20" s="107" t="str">
        <f t="shared" si="10"/>
        <v>PSDUS0202:NSB:X107:AKL:AUF:SB001:NAME</v>
      </c>
      <c r="T20" s="130"/>
      <c r="U20" s="130"/>
      <c r="V20" s="130"/>
      <c r="W20" s="130"/>
      <c r="X20" s="130"/>
      <c r="Y20" s="131"/>
      <c r="Z20" s="130"/>
      <c r="AD20" s="445"/>
      <c r="AE20" s="446"/>
      <c r="AG20" s="265" t="s">
        <v>1384</v>
      </c>
    </row>
    <row r="21" spans="1:33" ht="15" customHeight="1" thickBot="1" x14ac:dyDescent="0.3">
      <c r="A21" s="511"/>
      <c r="B21" s="507"/>
      <c r="C21" s="504"/>
      <c r="D21" s="67" t="s">
        <v>521</v>
      </c>
      <c r="E21" s="233" t="str">
        <f t="shared" si="13"/>
        <v>MRDOC5_3</v>
      </c>
      <c r="F21" s="438" t="s">
        <v>1195</v>
      </c>
      <c r="G21" s="158" t="s">
        <v>1266</v>
      </c>
      <c r="H21" s="126" t="s">
        <v>1386</v>
      </c>
      <c r="I21" s="158" t="s">
        <v>1302</v>
      </c>
      <c r="J21" s="143" t="s">
        <v>1303</v>
      </c>
      <c r="K21" s="143" t="s">
        <v>1326</v>
      </c>
      <c r="L21" s="144" t="str">
        <f t="shared" si="3"/>
        <v>PSDUS0202:NSB:X111:AKL:AUF:SB001</v>
      </c>
      <c r="M21" s="145"/>
      <c r="N21" s="246" t="str">
        <f t="shared" si="14"/>
        <v>MRDO4_05.IO_DO3</v>
      </c>
      <c r="O21" s="107"/>
      <c r="P21" s="129"/>
      <c r="Q21" s="107"/>
      <c r="R21" s="147" t="str">
        <f t="shared" si="9"/>
        <v>NSB.X111.AKL.AUF.SB001</v>
      </c>
      <c r="S21" s="107" t="str">
        <f t="shared" si="10"/>
        <v>PSDUS0202:NSB:X111:AKL:AUF:SB001:NAME</v>
      </c>
      <c r="T21" s="130"/>
      <c r="U21" s="130"/>
      <c r="V21" s="130"/>
      <c r="W21" s="130"/>
      <c r="X21" s="130"/>
      <c r="Y21" s="131"/>
      <c r="Z21" s="130"/>
      <c r="AD21" s="445"/>
      <c r="AE21" s="446"/>
      <c r="AG21" s="265" t="s">
        <v>1388</v>
      </c>
    </row>
    <row r="22" spans="1:33" s="448" customFormat="1" ht="15.75" customHeight="1" thickBot="1" x14ac:dyDescent="0.3">
      <c r="A22" s="512"/>
      <c r="B22" s="507"/>
      <c r="C22" s="505"/>
      <c r="D22" s="68" t="s">
        <v>522</v>
      </c>
      <c r="E22" s="233" t="str">
        <f t="shared" si="13"/>
        <v>MRDOC5_4</v>
      </c>
      <c r="F22" s="439" t="s">
        <v>1197</v>
      </c>
      <c r="G22" s="158" t="s">
        <v>1266</v>
      </c>
      <c r="H22" s="126" t="s">
        <v>1390</v>
      </c>
      <c r="I22" s="158" t="s">
        <v>1302</v>
      </c>
      <c r="J22" s="143" t="s">
        <v>1303</v>
      </c>
      <c r="K22" s="143" t="s">
        <v>1326</v>
      </c>
      <c r="L22" s="144" t="str">
        <f t="shared" si="3"/>
        <v>PSDUS0202:NSB:X110:AKL:AUF:SB001</v>
      </c>
      <c r="M22" s="145"/>
      <c r="N22" s="246" t="str">
        <f t="shared" si="14"/>
        <v>MRDO4_05.IO_DO4</v>
      </c>
      <c r="O22" s="107"/>
      <c r="P22" s="129"/>
      <c r="Q22" s="107"/>
      <c r="R22" s="147" t="str">
        <f t="shared" si="9"/>
        <v>NSB.X110.AKL.AUF.SB001</v>
      </c>
      <c r="S22" s="107" t="str">
        <f t="shared" si="10"/>
        <v>PSDUS0202:NSB:X110:AKL:AUF:SB001:NAME</v>
      </c>
      <c r="T22" s="130"/>
      <c r="U22" s="130"/>
      <c r="V22" s="130"/>
      <c r="W22" s="130"/>
      <c r="X22" s="130"/>
      <c r="Y22" s="131"/>
      <c r="Z22" s="130"/>
      <c r="AB22" s="449"/>
      <c r="AC22" s="449"/>
      <c r="AD22" s="445"/>
      <c r="AE22" s="446"/>
      <c r="AG22" s="265" t="s">
        <v>1414</v>
      </c>
    </row>
    <row r="23" spans="1:33" ht="15" customHeight="1" thickBot="1" x14ac:dyDescent="0.3">
      <c r="A23" s="510" t="s">
        <v>524</v>
      </c>
      <c r="B23" s="506" t="s">
        <v>178</v>
      </c>
      <c r="C23" s="503">
        <v>6</v>
      </c>
      <c r="D23" s="67" t="s">
        <v>519</v>
      </c>
      <c r="E23" s="233" t="str">
        <f>"MRDOC" &amp; $C$23 &amp; "_" &amp;RIGHT(D23,1)</f>
        <v>MRDOC6_1</v>
      </c>
      <c r="F23" s="438" t="s">
        <v>1199</v>
      </c>
      <c r="G23" s="158" t="s">
        <v>1266</v>
      </c>
      <c r="H23" s="126" t="s">
        <v>1413</v>
      </c>
      <c r="I23" s="158" t="s">
        <v>1302</v>
      </c>
      <c r="J23" s="143" t="s">
        <v>1303</v>
      </c>
      <c r="K23" s="143" t="s">
        <v>1326</v>
      </c>
      <c r="L23" s="144" t="str">
        <f t="shared" si="3"/>
        <v>PSDUS0202:NSB:X108:AKL:AUF:SB001</v>
      </c>
      <c r="M23" s="145"/>
      <c r="N23" s="246" t="str">
        <f>IF(F23&lt;&gt;"",""&amp;$A$3&amp;"_"&amp;IF($C$23&lt;10,"0"&amp;$C$23,$C$23)&amp;".IO_"&amp;D23,"")</f>
        <v>MRDO4_06.IO_DO1</v>
      </c>
      <c r="O23" s="107"/>
      <c r="P23" s="129"/>
      <c r="Q23" s="107"/>
      <c r="R23" s="147" t="str">
        <f t="shared" si="9"/>
        <v>NSB.X108.AKL.AUF.SB001</v>
      </c>
      <c r="S23" s="107" t="str">
        <f t="shared" si="10"/>
        <v>PSDUS0202:NSB:X108:AKL:AUF:SB001:NAME</v>
      </c>
      <c r="T23" s="130"/>
      <c r="U23" s="130"/>
      <c r="V23" s="130"/>
      <c r="W23" s="130"/>
      <c r="X23" s="130"/>
      <c r="Y23" s="131"/>
      <c r="Z23" s="130"/>
      <c r="AD23" s="445"/>
      <c r="AE23" s="446"/>
      <c r="AG23" s="265" t="s">
        <v>1415</v>
      </c>
    </row>
    <row r="24" spans="1:33" ht="15" customHeight="1" thickBot="1" x14ac:dyDescent="0.3">
      <c r="A24" s="511"/>
      <c r="B24" s="507"/>
      <c r="C24" s="504"/>
      <c r="D24" s="67" t="s">
        <v>520</v>
      </c>
      <c r="E24" s="233" t="str">
        <f t="shared" ref="E24:E26" si="15">"MRDOC" &amp; $C$23 &amp; "_" &amp;RIGHT(D24,1)</f>
        <v>MRDOC6_2</v>
      </c>
      <c r="F24" s="438" t="s">
        <v>1201</v>
      </c>
      <c r="G24" s="158" t="s">
        <v>1266</v>
      </c>
      <c r="H24" s="126" t="s">
        <v>1419</v>
      </c>
      <c r="I24" s="158" t="s">
        <v>1302</v>
      </c>
      <c r="J24" s="143" t="s">
        <v>1303</v>
      </c>
      <c r="K24" s="143" t="s">
        <v>1326</v>
      </c>
      <c r="L24" s="144" t="str">
        <f t="shared" si="3"/>
        <v>PSDUS0202:NSB:X112:AKL:AUF:SB001</v>
      </c>
      <c r="M24" s="145"/>
      <c r="N24" s="246" t="str">
        <f t="shared" ref="N24:N26" si="16">IF(F24&lt;&gt;"",""&amp;$A$3&amp;"_"&amp;IF($C$23&lt;10,"0"&amp;$C$23,$C$23)&amp;".IO_"&amp;D24,"")</f>
        <v>MRDO4_06.IO_DO2</v>
      </c>
      <c r="O24" s="107"/>
      <c r="P24" s="129"/>
      <c r="Q24" s="107"/>
      <c r="R24" s="147" t="str">
        <f t="shared" si="9"/>
        <v>NSB.X112.AKL.AUF.SB001</v>
      </c>
      <c r="S24" s="107" t="str">
        <f t="shared" si="10"/>
        <v>PSDUS0202:NSB:X112:AKL:AUF:SB001:NAME</v>
      </c>
      <c r="T24" s="130"/>
      <c r="U24" s="130"/>
      <c r="V24" s="130"/>
      <c r="W24" s="130"/>
      <c r="X24" s="130"/>
      <c r="Y24" s="131"/>
      <c r="Z24" s="130"/>
      <c r="AD24" s="445"/>
      <c r="AE24" s="446"/>
      <c r="AG24" s="265" t="s">
        <v>1420</v>
      </c>
    </row>
    <row r="25" spans="1:33" ht="15" customHeight="1" thickBot="1" x14ac:dyDescent="0.3">
      <c r="A25" s="511"/>
      <c r="B25" s="507"/>
      <c r="C25" s="504"/>
      <c r="D25" s="67" t="s">
        <v>521</v>
      </c>
      <c r="E25" s="233" t="str">
        <f t="shared" si="15"/>
        <v>MRDOC6_3</v>
      </c>
      <c r="F25" s="438" t="s">
        <v>1203</v>
      </c>
      <c r="G25" s="158" t="s">
        <v>1266</v>
      </c>
      <c r="H25" s="126" t="s">
        <v>1422</v>
      </c>
      <c r="I25" s="158" t="s">
        <v>1302</v>
      </c>
      <c r="J25" s="143" t="s">
        <v>1447</v>
      </c>
      <c r="K25" s="143" t="s">
        <v>1326</v>
      </c>
      <c r="L25" s="144" t="str">
        <f t="shared" si="3"/>
        <v>PSDUS0202:NSB:X109:AKL:ANF:SB001</v>
      </c>
      <c r="M25" s="145"/>
      <c r="N25" s="246" t="str">
        <f t="shared" si="16"/>
        <v>MRDO4_06.IO_DO3</v>
      </c>
      <c r="O25" s="107"/>
      <c r="P25" s="129"/>
      <c r="Q25" s="107"/>
      <c r="R25" s="147" t="str">
        <f t="shared" si="9"/>
        <v>NSB.X109.AKL.ANF.SB001</v>
      </c>
      <c r="S25" s="107" t="str">
        <f t="shared" si="10"/>
        <v>PSDUS0202:NSB:X109:AKL:ANF:SB001:NAME</v>
      </c>
      <c r="T25" s="130"/>
      <c r="U25" s="130"/>
      <c r="V25" s="130"/>
      <c r="W25" s="130"/>
      <c r="X25" s="130"/>
      <c r="Y25" s="131"/>
      <c r="Z25" s="130"/>
      <c r="AD25" s="445"/>
      <c r="AE25" s="446"/>
      <c r="AG25" s="265" t="s">
        <v>1456</v>
      </c>
    </row>
    <row r="26" spans="1:33" s="448" customFormat="1" ht="15.75" customHeight="1" thickBot="1" x14ac:dyDescent="0.3">
      <c r="A26" s="512"/>
      <c r="B26" s="507"/>
      <c r="C26" s="505"/>
      <c r="D26" s="68" t="s">
        <v>522</v>
      </c>
      <c r="E26" s="233" t="str">
        <f t="shared" si="15"/>
        <v>MRDOC6_4</v>
      </c>
      <c r="F26" s="439" t="s">
        <v>1205</v>
      </c>
      <c r="G26" s="158" t="s">
        <v>1266</v>
      </c>
      <c r="H26" s="456" t="s">
        <v>1448</v>
      </c>
      <c r="I26" s="455" t="s">
        <v>1449</v>
      </c>
      <c r="J26" s="458" t="s">
        <v>1450</v>
      </c>
      <c r="K26" s="458" t="s">
        <v>1326</v>
      </c>
      <c r="L26" s="144" t="str">
        <f t="shared" si="3"/>
        <v>PSDUS0202:NSB:H001:HVE:AFH:SB001</v>
      </c>
      <c r="M26" s="145"/>
      <c r="N26" s="246" t="str">
        <f t="shared" si="16"/>
        <v>MRDO4_06.IO_DO4</v>
      </c>
      <c r="O26" s="107"/>
      <c r="P26" s="129"/>
      <c r="Q26" s="107"/>
      <c r="R26" s="147" t="str">
        <f t="shared" si="9"/>
        <v>NSB.H001.HVE.AFH.SB001</v>
      </c>
      <c r="S26" s="107" t="str">
        <f t="shared" si="10"/>
        <v>PSDUS0202:NSB:H001:HVE:AFH:SB001:NAME</v>
      </c>
      <c r="T26" s="130"/>
      <c r="U26" s="130"/>
      <c r="V26" s="130"/>
      <c r="W26" s="130"/>
      <c r="X26" s="130"/>
      <c r="Y26" s="131"/>
      <c r="Z26" s="130"/>
      <c r="AB26" s="449"/>
      <c r="AC26" s="449"/>
      <c r="AD26" s="445"/>
      <c r="AE26" s="446"/>
      <c r="AG26" s="265" t="s">
        <v>1470</v>
      </c>
    </row>
    <row r="27" spans="1:33" ht="15" customHeight="1" thickBot="1" x14ac:dyDescent="0.3">
      <c r="A27" s="510" t="s">
        <v>524</v>
      </c>
      <c r="B27" s="506" t="s">
        <v>178</v>
      </c>
      <c r="C27" s="503">
        <v>7</v>
      </c>
      <c r="D27" s="67" t="s">
        <v>519</v>
      </c>
      <c r="E27" s="233" t="str">
        <f>"MRDOC" &amp; $C$27 &amp; "_" &amp;RIGHT(D27,1)</f>
        <v>MRDOC7_1</v>
      </c>
      <c r="F27" s="438" t="s">
        <v>1207</v>
      </c>
      <c r="G27" s="432" t="s">
        <v>1266</v>
      </c>
      <c r="H27" s="459" t="s">
        <v>1357</v>
      </c>
      <c r="I27" s="460" t="s">
        <v>1302</v>
      </c>
      <c r="J27" s="461" t="s">
        <v>1447</v>
      </c>
      <c r="K27" s="461" t="s">
        <v>1326</v>
      </c>
      <c r="L27" s="144" t="str">
        <f t="shared" si="3"/>
        <v>PSDUS0202:NSB:S211:AKL:ANF:SB001</v>
      </c>
      <c r="M27" s="440"/>
      <c r="N27" s="246" t="str">
        <f>IF(F27&lt;&gt;"",""&amp;$A$3&amp;"_"&amp;IF($C$27&lt;10,"0"&amp;$C$27,$C$27)&amp;".IO_"&amp;D27,"")</f>
        <v>MRDO4_07.IO_DO1</v>
      </c>
      <c r="O27" s="436"/>
      <c r="P27" s="248"/>
      <c r="Q27" s="436"/>
      <c r="R27" s="147" t="str">
        <f t="shared" si="9"/>
        <v>NSB.S211.AKL.ANF.SB001</v>
      </c>
      <c r="S27" s="436" t="str">
        <f t="shared" si="10"/>
        <v>PSDUS0202:NSB:S211:AKL:ANF:SB001:NAME</v>
      </c>
      <c r="T27" s="435"/>
      <c r="U27" s="435"/>
      <c r="V27" s="435"/>
      <c r="W27" s="435"/>
      <c r="X27" s="435"/>
      <c r="Y27" s="437"/>
      <c r="Z27" s="435"/>
      <c r="AD27" s="445"/>
      <c r="AE27" s="446"/>
      <c r="AG27" s="265" t="s">
        <v>1471</v>
      </c>
    </row>
    <row r="28" spans="1:33" ht="15.75" thickBot="1" x14ac:dyDescent="0.3">
      <c r="A28" s="511"/>
      <c r="B28" s="507"/>
      <c r="C28" s="504"/>
      <c r="D28" s="67" t="s">
        <v>520</v>
      </c>
      <c r="E28" s="233" t="str">
        <f t="shared" ref="E28:E30" si="17">"MRDOC" &amp; $C$27 &amp; "_" &amp;RIGHT(D28,1)</f>
        <v>MRDOC7_2</v>
      </c>
      <c r="F28" s="430" t="s">
        <v>1209</v>
      </c>
      <c r="G28" s="158" t="s">
        <v>1266</v>
      </c>
      <c r="H28" s="456" t="s">
        <v>1451</v>
      </c>
      <c r="I28" s="455" t="s">
        <v>1452</v>
      </c>
      <c r="J28" s="458" t="s">
        <v>1299</v>
      </c>
      <c r="K28" s="458" t="s">
        <v>1326</v>
      </c>
      <c r="L28" s="144" t="str">
        <f t="shared" si="3"/>
        <v>PSDUS0202:NSB:K001:MOT:EIN:SB001</v>
      </c>
      <c r="M28" s="145"/>
      <c r="N28" s="246" t="str">
        <f t="shared" ref="N28:N30" si="18">IF(F28&lt;&gt;"",""&amp;$A$3&amp;"_"&amp;IF($C$27&lt;10,"0"&amp;$C$27,$C$27)&amp;".IO_"&amp;D28,"")</f>
        <v>MRDO4_07.IO_DO2</v>
      </c>
      <c r="O28" s="107"/>
      <c r="P28" s="129"/>
      <c r="Q28" s="107"/>
      <c r="R28" s="147" t="str">
        <f t="shared" si="9"/>
        <v>NSB.K001.MOT.EIN.SB001</v>
      </c>
      <c r="S28" s="107" t="str">
        <f t="shared" si="10"/>
        <v>PSDUS0202:NSB:K001:MOT:EIN:SB001:NAME</v>
      </c>
      <c r="T28" s="130"/>
      <c r="U28" s="130"/>
      <c r="V28" s="130"/>
      <c r="W28" s="130"/>
      <c r="X28" s="130"/>
      <c r="Y28" s="131"/>
      <c r="Z28" s="130"/>
      <c r="AD28" s="445"/>
      <c r="AE28" s="446"/>
      <c r="AG28" s="265" t="s">
        <v>1472</v>
      </c>
    </row>
    <row r="29" spans="1:33" ht="15" customHeight="1" thickBot="1" x14ac:dyDescent="0.3">
      <c r="A29" s="511"/>
      <c r="B29" s="507"/>
      <c r="C29" s="504"/>
      <c r="D29" s="67" t="s">
        <v>521</v>
      </c>
      <c r="E29" s="233" t="str">
        <f t="shared" si="17"/>
        <v>MRDOC7_3</v>
      </c>
      <c r="F29" s="438" t="s">
        <v>1211</v>
      </c>
      <c r="G29" s="158" t="s">
        <v>1267</v>
      </c>
      <c r="H29" s="456" t="s">
        <v>131</v>
      </c>
      <c r="I29" s="455" t="s">
        <v>1453</v>
      </c>
      <c r="J29" s="458" t="s">
        <v>1299</v>
      </c>
      <c r="K29" s="458" t="s">
        <v>1326</v>
      </c>
      <c r="L29" s="144" t="str">
        <f t="shared" si="3"/>
        <v>PSDUS0202:BSB:A001:ANL:EIN:SB001</v>
      </c>
      <c r="M29" s="145"/>
      <c r="N29" s="246" t="str">
        <f t="shared" si="18"/>
        <v>MRDO4_07.IO_DO3</v>
      </c>
      <c r="O29" s="107"/>
      <c r="P29" s="129"/>
      <c r="Q29" s="107"/>
      <c r="R29" s="147" t="str">
        <f t="shared" si="9"/>
        <v>BSB.A001.ANL.EIN.SB001</v>
      </c>
      <c r="S29" s="107" t="str">
        <f t="shared" si="10"/>
        <v>PSDUS0202:BSB:A001:ANL:EIN:SB001:NAME</v>
      </c>
      <c r="T29" s="130"/>
      <c r="U29" s="130"/>
      <c r="V29" s="130"/>
      <c r="W29" s="130"/>
      <c r="X29" s="130"/>
      <c r="Y29" s="131"/>
      <c r="Z29" s="130"/>
      <c r="AD29" s="445"/>
      <c r="AE29" s="446"/>
      <c r="AG29" s="265" t="s">
        <v>1473</v>
      </c>
    </row>
    <row r="30" spans="1:33" s="448" customFormat="1" ht="15.75" customHeight="1" thickBot="1" x14ac:dyDescent="0.3">
      <c r="A30" s="512"/>
      <c r="B30" s="507"/>
      <c r="C30" s="505"/>
      <c r="D30" s="68" t="s">
        <v>522</v>
      </c>
      <c r="E30" s="233" t="str">
        <f t="shared" si="17"/>
        <v>MRDOC7_4</v>
      </c>
      <c r="F30" s="462" t="s">
        <v>1474</v>
      </c>
      <c r="G30" s="158" t="s">
        <v>1437</v>
      </c>
      <c r="H30" s="456" t="s">
        <v>1454</v>
      </c>
      <c r="I30" s="455" t="s">
        <v>1455</v>
      </c>
      <c r="J30" s="458" t="s">
        <v>1299</v>
      </c>
      <c r="K30" s="458" t="s">
        <v>1326</v>
      </c>
      <c r="L30" s="144" t="str">
        <f t="shared" si="3"/>
        <v>PSDUS0202:ALG:S001:SSM:EIN:SB001</v>
      </c>
      <c r="M30" s="145"/>
      <c r="N30" s="246" t="str">
        <f t="shared" si="18"/>
        <v>MRDO4_07.IO_DO4</v>
      </c>
      <c r="O30" s="107"/>
      <c r="P30" s="129"/>
      <c r="Q30" s="107"/>
      <c r="R30" s="147" t="str">
        <f t="shared" si="9"/>
        <v>ALG.S001.SSM.EIN.SB001</v>
      </c>
      <c r="S30" s="107" t="str">
        <f t="shared" si="10"/>
        <v>PSDUS0202:ALG:S001:SSM:EIN:SB001:NAME</v>
      </c>
      <c r="T30" s="130"/>
      <c r="U30" s="130"/>
      <c r="V30" s="130"/>
      <c r="W30" s="130"/>
      <c r="X30" s="130"/>
      <c r="Y30" s="131"/>
      <c r="Z30" s="130"/>
      <c r="AB30" s="449"/>
      <c r="AC30" s="449"/>
      <c r="AD30" s="445"/>
      <c r="AE30" s="446"/>
      <c r="AG30" s="265"/>
    </row>
    <row r="31" spans="1:33" ht="15" customHeight="1" thickBot="1" x14ac:dyDescent="0.3">
      <c r="A31" s="510" t="s">
        <v>524</v>
      </c>
      <c r="B31" s="506" t="s">
        <v>178</v>
      </c>
      <c r="C31" s="503">
        <v>8</v>
      </c>
      <c r="D31" s="67" t="s">
        <v>519</v>
      </c>
      <c r="E31" s="233" t="str">
        <f>"MRDOC" &amp; $C$31 &amp; "_" &amp;RIGHT(D31,1)</f>
        <v>MRDOC8_1</v>
      </c>
      <c r="F31" s="438" t="s">
        <v>1214</v>
      </c>
      <c r="G31" s="158" t="s">
        <v>1267</v>
      </c>
      <c r="H31" s="126" t="s">
        <v>1324</v>
      </c>
      <c r="I31" s="158" t="s">
        <v>1292</v>
      </c>
      <c r="J31" s="143" t="s">
        <v>1299</v>
      </c>
      <c r="K31" s="143" t="s">
        <v>1326</v>
      </c>
      <c r="L31" s="144" t="str">
        <f t="shared" si="3"/>
        <v>PSDUS0202:BSB:M201:PUM:EIN:SB001</v>
      </c>
      <c r="M31" s="145"/>
      <c r="N31" s="246" t="str">
        <f>IF(F31&lt;&gt;"",""&amp;$A$3&amp;"_"&amp;IF($C$31&lt;10,"0"&amp;$C$31,$C$31)&amp;".IO_"&amp;D31,"")</f>
        <v>MRDO4_08.IO_DO1</v>
      </c>
      <c r="O31" s="107"/>
      <c r="P31" s="129"/>
      <c r="Q31" s="107"/>
      <c r="R31" s="147" t="str">
        <f t="shared" si="9"/>
        <v>BSB.M201.PUM.EIN.SB001</v>
      </c>
      <c r="S31" s="107" t="str">
        <f t="shared" si="10"/>
        <v>PSDUS0202:BSB:M201:PUM:EIN:SB001:NAME</v>
      </c>
      <c r="T31" s="130"/>
      <c r="U31" s="130"/>
      <c r="V31" s="130"/>
      <c r="W31" s="130"/>
      <c r="X31" s="130"/>
      <c r="Y31" s="131"/>
      <c r="Z31" s="130"/>
      <c r="AD31" s="445"/>
      <c r="AE31" s="446"/>
      <c r="AG31" s="265" t="s">
        <v>1466</v>
      </c>
    </row>
    <row r="32" spans="1:33" ht="15" customHeight="1" thickBot="1" x14ac:dyDescent="0.3">
      <c r="A32" s="511"/>
      <c r="B32" s="507"/>
      <c r="C32" s="504"/>
      <c r="D32" s="67" t="s">
        <v>520</v>
      </c>
      <c r="E32" s="233" t="str">
        <f t="shared" ref="E32:E34" si="19">"MRDOC" &amp; $C$31 &amp; "_" &amp;RIGHT(D32,1)</f>
        <v>MRDOC8_2</v>
      </c>
      <c r="F32" s="430" t="s">
        <v>1216</v>
      </c>
      <c r="G32" s="158" t="s">
        <v>1267</v>
      </c>
      <c r="H32" s="126" t="s">
        <v>1325</v>
      </c>
      <c r="I32" s="158" t="s">
        <v>1292</v>
      </c>
      <c r="J32" s="143" t="s">
        <v>1299</v>
      </c>
      <c r="K32" s="143" t="s">
        <v>1326</v>
      </c>
      <c r="L32" s="144" t="str">
        <f t="shared" si="3"/>
        <v>PSDUS0202:BSB:M202:PUM:EIN:SB001</v>
      </c>
      <c r="M32" s="145"/>
      <c r="N32" s="246" t="str">
        <f t="shared" ref="N32:N34" si="20">IF(F32&lt;&gt;"",""&amp;$A$3&amp;"_"&amp;IF($C$31&lt;10,"0"&amp;$C$31,$C$31)&amp;".IO_"&amp;D32,"")</f>
        <v>MRDO4_08.IO_DO2</v>
      </c>
      <c r="O32" s="107"/>
      <c r="P32" s="129"/>
      <c r="Q32" s="107"/>
      <c r="R32" s="147" t="str">
        <f t="shared" si="9"/>
        <v>BSB.M202.PUM.EIN.SB001</v>
      </c>
      <c r="S32" s="107" t="str">
        <f t="shared" si="10"/>
        <v>PSDUS0202:BSB:M202:PUM:EIN:SB001:NAME</v>
      </c>
      <c r="T32" s="130"/>
      <c r="U32" s="130"/>
      <c r="V32" s="130"/>
      <c r="W32" s="130"/>
      <c r="X32" s="130"/>
      <c r="Y32" s="131"/>
      <c r="Z32" s="130"/>
      <c r="AD32" s="445"/>
      <c r="AE32" s="446"/>
      <c r="AG32" s="265" t="s">
        <v>1467</v>
      </c>
    </row>
    <row r="33" spans="1:33" ht="15" customHeight="1" thickBot="1" x14ac:dyDescent="0.3">
      <c r="A33" s="511"/>
      <c r="B33" s="507"/>
      <c r="C33" s="504"/>
      <c r="D33" s="67" t="s">
        <v>521</v>
      </c>
      <c r="E33" s="233" t="str">
        <f t="shared" si="19"/>
        <v>MRDOC8_3</v>
      </c>
      <c r="F33" s="438" t="s">
        <v>1218</v>
      </c>
      <c r="G33" s="158" t="s">
        <v>1267</v>
      </c>
      <c r="H33" s="126" t="s">
        <v>1332</v>
      </c>
      <c r="I33" s="158" t="s">
        <v>1292</v>
      </c>
      <c r="J33" s="143" t="s">
        <v>1299</v>
      </c>
      <c r="K33" s="143" t="s">
        <v>1326</v>
      </c>
      <c r="L33" s="144" t="str">
        <f t="shared" si="3"/>
        <v>PSDUS0202:BSB:M203:PUM:EIN:SB001</v>
      </c>
      <c r="M33" s="145"/>
      <c r="N33" s="246" t="str">
        <f t="shared" si="20"/>
        <v>MRDO4_08.IO_DO3</v>
      </c>
      <c r="O33" s="107"/>
      <c r="P33" s="129"/>
      <c r="Q33" s="107"/>
      <c r="R33" s="147" t="str">
        <f t="shared" si="9"/>
        <v>BSB.M203.PUM.EIN.SB001</v>
      </c>
      <c r="S33" s="107" t="str">
        <f t="shared" si="10"/>
        <v>PSDUS0202:BSB:M203:PUM:EIN:SB001:NAME</v>
      </c>
      <c r="T33" s="130"/>
      <c r="U33" s="130"/>
      <c r="V33" s="130"/>
      <c r="W33" s="130"/>
      <c r="X33" s="130"/>
      <c r="Y33" s="131"/>
      <c r="Z33" s="130"/>
      <c r="AD33" s="445"/>
      <c r="AE33" s="446"/>
      <c r="AG33" s="265" t="s">
        <v>1334</v>
      </c>
    </row>
    <row r="34" spans="1:33" s="448" customFormat="1" ht="15.75" customHeight="1" thickBot="1" x14ac:dyDescent="0.3">
      <c r="A34" s="512"/>
      <c r="B34" s="507"/>
      <c r="C34" s="505"/>
      <c r="D34" s="68" t="s">
        <v>522</v>
      </c>
      <c r="E34" s="233" t="str">
        <f t="shared" si="19"/>
        <v>MRDOC8_4</v>
      </c>
      <c r="F34" s="439" t="s">
        <v>1220</v>
      </c>
      <c r="G34" s="158" t="s">
        <v>1267</v>
      </c>
      <c r="H34" s="126" t="s">
        <v>1407</v>
      </c>
      <c r="I34" s="158" t="s">
        <v>1302</v>
      </c>
      <c r="J34" s="143" t="s">
        <v>1303</v>
      </c>
      <c r="K34" s="143" t="s">
        <v>1326</v>
      </c>
      <c r="L34" s="144" t="str">
        <f t="shared" si="3"/>
        <v>PSDUS0202:BSB:X235:AKL:AUF:SB001</v>
      </c>
      <c r="M34" s="145"/>
      <c r="N34" s="246" t="str">
        <f t="shared" si="20"/>
        <v>MRDO4_08.IO_DO4</v>
      </c>
      <c r="O34" s="107"/>
      <c r="P34" s="129"/>
      <c r="Q34" s="107"/>
      <c r="R34" s="147" t="str">
        <f t="shared" si="9"/>
        <v>BSB.X235.AKL.AUF.SB001</v>
      </c>
      <c r="S34" s="107" t="str">
        <f t="shared" si="10"/>
        <v>PSDUS0202:BSB:X235:AKL:AUF:SB001:NAME</v>
      </c>
      <c r="T34" s="130"/>
      <c r="U34" s="130"/>
      <c r="V34" s="130"/>
      <c r="W34" s="130"/>
      <c r="X34" s="130"/>
      <c r="Y34" s="131"/>
      <c r="Z34" s="130"/>
      <c r="AB34" s="449"/>
      <c r="AC34" s="449"/>
      <c r="AD34" s="445"/>
      <c r="AE34" s="446"/>
      <c r="AG34" s="265" t="s">
        <v>1406</v>
      </c>
    </row>
    <row r="35" spans="1:33" ht="15" customHeight="1" thickBot="1" x14ac:dyDescent="0.3">
      <c r="A35" s="510" t="s">
        <v>524</v>
      </c>
      <c r="B35" s="506" t="s">
        <v>178</v>
      </c>
      <c r="C35" s="503">
        <v>9</v>
      </c>
      <c r="D35" s="67" t="s">
        <v>519</v>
      </c>
      <c r="E35" s="233" t="str">
        <f>"MRDOC" &amp; $C$35 &amp; "_" &amp;RIGHT(D35,1)</f>
        <v>MRDOC9_1</v>
      </c>
      <c r="F35" s="438" t="s">
        <v>1222</v>
      </c>
      <c r="G35" s="158" t="s">
        <v>1267</v>
      </c>
      <c r="H35" s="126" t="s">
        <v>1457</v>
      </c>
      <c r="I35" s="158" t="s">
        <v>1442</v>
      </c>
      <c r="J35" s="143" t="s">
        <v>1303</v>
      </c>
      <c r="K35" s="143" t="s">
        <v>1326</v>
      </c>
      <c r="L35" s="144" t="str">
        <f t="shared" si="3"/>
        <v>PSDUS0202:BSB:X252:AVT:AUF:SB001</v>
      </c>
      <c r="M35" s="145"/>
      <c r="N35" s="246" t="str">
        <f>IF(F35&lt;&gt;"",""&amp;$A$3&amp;"_"&amp;IF($C$35&lt;10,"0"&amp;$C$35,$C$35)&amp;".IO_"&amp;D35,"")</f>
        <v>MRDO4_09.IO_DO1</v>
      </c>
      <c r="O35" s="107"/>
      <c r="P35" s="129"/>
      <c r="Q35" s="107"/>
      <c r="R35" s="147" t="str">
        <f t="shared" si="9"/>
        <v>BSB.X252.AVT.AUF.SB001</v>
      </c>
      <c r="S35" s="107" t="str">
        <f t="shared" si="10"/>
        <v>PSDUS0202:BSB:X252:AVT:AUF:SB001:NAME</v>
      </c>
      <c r="T35" s="130"/>
      <c r="U35" s="130"/>
      <c r="V35" s="130"/>
      <c r="W35" s="130"/>
      <c r="X35" s="130"/>
      <c r="Y35" s="131"/>
      <c r="Z35" s="130"/>
      <c r="AD35" s="445"/>
      <c r="AE35" s="446"/>
      <c r="AG35" s="265" t="s">
        <v>1458</v>
      </c>
    </row>
    <row r="36" spans="1:33" ht="15" customHeight="1" thickBot="1" x14ac:dyDescent="0.3">
      <c r="A36" s="511"/>
      <c r="B36" s="507"/>
      <c r="C36" s="504"/>
      <c r="D36" s="67" t="s">
        <v>520</v>
      </c>
      <c r="E36" s="233" t="str">
        <f t="shared" ref="E36:E38" si="21">"MRDOC" &amp; $C$35 &amp; "_" &amp;RIGHT(D36,1)</f>
        <v>MRDOC9_2</v>
      </c>
      <c r="F36" s="438" t="s">
        <v>1224</v>
      </c>
      <c r="G36" s="158" t="s">
        <v>1267</v>
      </c>
      <c r="H36" s="126" t="s">
        <v>1459</v>
      </c>
      <c r="I36" s="158" t="s">
        <v>1442</v>
      </c>
      <c r="J36" s="143" t="s">
        <v>1303</v>
      </c>
      <c r="K36" s="143" t="s">
        <v>1326</v>
      </c>
      <c r="L36" s="144" t="str">
        <f t="shared" si="3"/>
        <v>PSDUS0202:BSB:X251:AVT:AUF:SB001</v>
      </c>
      <c r="M36" s="145"/>
      <c r="N36" s="246" t="str">
        <f t="shared" ref="N36:N38" si="22">IF(F36&lt;&gt;"",""&amp;$A$3&amp;"_"&amp;IF($C$35&lt;10,"0"&amp;$C$35,$C$35)&amp;".IO_"&amp;D36,"")</f>
        <v>MRDO4_09.IO_DO2</v>
      </c>
      <c r="O36" s="107"/>
      <c r="P36" s="129"/>
      <c r="Q36" s="107"/>
      <c r="R36" s="147" t="str">
        <f t="shared" si="9"/>
        <v>BSB.X251.AVT.AUF.SB001</v>
      </c>
      <c r="S36" s="107" t="str">
        <f t="shared" si="10"/>
        <v>PSDUS0202:BSB:X251:AVT:AUF:SB001:NAME</v>
      </c>
      <c r="T36" s="130"/>
      <c r="U36" s="130"/>
      <c r="V36" s="130"/>
      <c r="W36" s="130"/>
      <c r="X36" s="130"/>
      <c r="Y36" s="131"/>
      <c r="Z36" s="130"/>
      <c r="AD36" s="445"/>
      <c r="AE36" s="446"/>
      <c r="AG36" s="265" t="s">
        <v>1460</v>
      </c>
    </row>
    <row r="37" spans="1:33" ht="15" customHeight="1" thickBot="1" x14ac:dyDescent="0.3">
      <c r="A37" s="511"/>
      <c r="B37" s="507"/>
      <c r="C37" s="504"/>
      <c r="D37" s="67" t="s">
        <v>521</v>
      </c>
      <c r="E37" s="233" t="str">
        <f t="shared" si="21"/>
        <v>MRDOC9_3</v>
      </c>
      <c r="F37" s="438" t="s">
        <v>1226</v>
      </c>
      <c r="G37" s="158" t="s">
        <v>1267</v>
      </c>
      <c r="H37" s="126" t="s">
        <v>1462</v>
      </c>
      <c r="I37" s="158" t="s">
        <v>1440</v>
      </c>
      <c r="J37" s="143" t="s">
        <v>1303</v>
      </c>
      <c r="K37" s="434" t="s">
        <v>1326</v>
      </c>
      <c r="L37" s="144" t="str">
        <f t="shared" si="3"/>
        <v>PSDUS0202:BSB:X250:RGW:AUF:SB001</v>
      </c>
      <c r="M37" s="145"/>
      <c r="N37" s="246" t="str">
        <f t="shared" si="22"/>
        <v>MRDO4_09.IO_DO3</v>
      </c>
      <c r="O37" s="107"/>
      <c r="P37" s="129"/>
      <c r="Q37" s="107"/>
      <c r="R37" s="147" t="str">
        <f t="shared" si="9"/>
        <v>BSB.X250.RGW.AUF.SB001</v>
      </c>
      <c r="S37" s="107" t="str">
        <f t="shared" si="10"/>
        <v>PSDUS0202:BSB:X250:RGW:AUF:SB001:NAME</v>
      </c>
      <c r="T37" s="130"/>
      <c r="U37" s="130"/>
      <c r="V37" s="130"/>
      <c r="W37" s="130"/>
      <c r="X37" s="130"/>
      <c r="Y37" s="131"/>
      <c r="Z37" s="130"/>
      <c r="AD37" s="445"/>
      <c r="AE37" s="446"/>
      <c r="AG37" s="265" t="s">
        <v>1461</v>
      </c>
    </row>
    <row r="38" spans="1:33" s="448" customFormat="1" ht="15.75" customHeight="1" thickBot="1" x14ac:dyDescent="0.3">
      <c r="A38" s="512"/>
      <c r="B38" s="507"/>
      <c r="C38" s="505"/>
      <c r="D38" s="68" t="s">
        <v>522</v>
      </c>
      <c r="E38" s="233" t="str">
        <f t="shared" si="21"/>
        <v>MRDOC9_4</v>
      </c>
      <c r="F38" s="439" t="s">
        <v>1228</v>
      </c>
      <c r="G38" s="158" t="s">
        <v>1267</v>
      </c>
      <c r="H38" s="126" t="s">
        <v>1431</v>
      </c>
      <c r="I38" s="158" t="s">
        <v>1302</v>
      </c>
      <c r="J38" s="143" t="s">
        <v>1433</v>
      </c>
      <c r="K38" s="434" t="s">
        <v>1326</v>
      </c>
      <c r="L38" s="144" t="str">
        <f t="shared" si="3"/>
        <v>PSDUS0202:BSB:X202:AKL:POS:SB001</v>
      </c>
      <c r="M38" s="145"/>
      <c r="N38" s="246" t="str">
        <f t="shared" si="22"/>
        <v>MRDO4_09.IO_DO4</v>
      </c>
      <c r="O38" s="107"/>
      <c r="P38" s="129"/>
      <c r="Q38" s="107"/>
      <c r="R38" s="147" t="str">
        <f t="shared" si="9"/>
        <v>BSB.X202.AKL.POS.SB001</v>
      </c>
      <c r="S38" s="107" t="str">
        <f t="shared" si="10"/>
        <v>PSDUS0202:BSB:X202:AKL:POS:SB001:NAME</v>
      </c>
      <c r="T38" s="130"/>
      <c r="U38" s="130"/>
      <c r="V38" s="130"/>
      <c r="W38" s="130"/>
      <c r="X38" s="130"/>
      <c r="Y38" s="131"/>
      <c r="Z38" s="130"/>
      <c r="AB38" s="449"/>
      <c r="AC38" s="449"/>
      <c r="AD38" s="445"/>
      <c r="AE38" s="446"/>
      <c r="AG38" s="265" t="s">
        <v>1435</v>
      </c>
    </row>
    <row r="39" spans="1:33" ht="15" customHeight="1" thickBot="1" x14ac:dyDescent="0.3">
      <c r="A39" s="510" t="s">
        <v>524</v>
      </c>
      <c r="B39" s="506" t="s">
        <v>178</v>
      </c>
      <c r="C39" s="503">
        <v>10</v>
      </c>
      <c r="D39" s="67" t="s">
        <v>519</v>
      </c>
      <c r="E39" s="233" t="str">
        <f>"MRDOC" &amp; $C$39 &amp; "_" &amp;RIGHT(D39,1)</f>
        <v>MRDOC10_1</v>
      </c>
      <c r="F39" s="438" t="s">
        <v>1063</v>
      </c>
      <c r="G39" s="158"/>
      <c r="H39" s="126"/>
      <c r="I39" s="158"/>
      <c r="J39" s="143"/>
      <c r="K39" s="143"/>
      <c r="L39" s="144" t="str">
        <f t="shared" si="3"/>
        <v/>
      </c>
      <c r="M39" s="145"/>
      <c r="N39" s="246" t="str">
        <f>IF(F39&lt;&gt;"",""&amp;$A$3&amp;"_"&amp;IF($C$39&lt;10,"0"&amp;$C$39,$C$39)&amp;".IO_"&amp;D39,"")</f>
        <v>MRDO4_10.IO_DO1</v>
      </c>
      <c r="O39" s="107"/>
      <c r="P39" s="129"/>
      <c r="Q39" s="107"/>
      <c r="R39" s="147" t="str">
        <f t="shared" si="9"/>
        <v/>
      </c>
      <c r="S39" s="107" t="str">
        <f t="shared" si="10"/>
        <v>:NAME</v>
      </c>
      <c r="T39" s="130"/>
      <c r="U39" s="130"/>
      <c r="V39" s="130"/>
      <c r="W39" s="130"/>
      <c r="X39" s="130"/>
      <c r="Y39" s="131"/>
      <c r="Z39" s="130"/>
      <c r="AD39" s="445"/>
      <c r="AE39" s="446"/>
      <c r="AG39" s="265"/>
    </row>
    <row r="40" spans="1:33" ht="15" customHeight="1" thickBot="1" x14ac:dyDescent="0.3">
      <c r="A40" s="511"/>
      <c r="B40" s="507"/>
      <c r="C40" s="504"/>
      <c r="D40" s="67" t="s">
        <v>520</v>
      </c>
      <c r="E40" s="233" t="str">
        <f t="shared" ref="E40:E42" si="23">"MRDOC" &amp; $C$39 &amp; "_" &amp;RIGHT(D40,1)</f>
        <v>MRDOC10_2</v>
      </c>
      <c r="F40" s="438" t="s">
        <v>1231</v>
      </c>
      <c r="G40" s="158" t="s">
        <v>1267</v>
      </c>
      <c r="H40" s="126" t="s">
        <v>1431</v>
      </c>
      <c r="I40" s="158" t="s">
        <v>1302</v>
      </c>
      <c r="J40" s="143" t="s">
        <v>1433</v>
      </c>
      <c r="K40" s="434" t="s">
        <v>1463</v>
      </c>
      <c r="L40" s="144" t="str">
        <f t="shared" si="3"/>
        <v>PSDUS0202:BSB:X202:AKL:POS:SB002</v>
      </c>
      <c r="M40" s="145"/>
      <c r="N40" s="246" t="str">
        <f t="shared" ref="N40:N42" si="24">IF(F40&lt;&gt;"",""&amp;$A$3&amp;"_"&amp;IF($C$39&lt;10,"0"&amp;$C$39,$C$39)&amp;".IO_"&amp;D40,"")</f>
        <v>MRDO4_10.IO_DO2</v>
      </c>
      <c r="O40" s="107"/>
      <c r="P40" s="129"/>
      <c r="Q40" s="107"/>
      <c r="R40" s="147" t="str">
        <f t="shared" si="9"/>
        <v>BSB.X202.AKL.POS.SB002</v>
      </c>
      <c r="S40" s="107" t="str">
        <f t="shared" si="10"/>
        <v>PSDUS0202:BSB:X202:AKL:POS:SB002:NAME</v>
      </c>
      <c r="T40" s="130"/>
      <c r="U40" s="130"/>
      <c r="V40" s="130"/>
      <c r="W40" s="130"/>
      <c r="X40" s="130"/>
      <c r="Y40" s="131"/>
      <c r="Z40" s="130"/>
      <c r="AD40" s="445"/>
      <c r="AE40" s="446"/>
      <c r="AG40" s="265" t="s">
        <v>1435</v>
      </c>
    </row>
    <row r="41" spans="1:33" ht="15" customHeight="1" thickBot="1" x14ac:dyDescent="0.3">
      <c r="A41" s="511"/>
      <c r="B41" s="507"/>
      <c r="C41" s="504"/>
      <c r="D41" s="67" t="s">
        <v>521</v>
      </c>
      <c r="E41" s="233" t="str">
        <f t="shared" si="23"/>
        <v>MRDOC10_3</v>
      </c>
      <c r="F41" s="438" t="s">
        <v>1233</v>
      </c>
      <c r="G41" s="158" t="s">
        <v>1267</v>
      </c>
      <c r="H41" s="126" t="s">
        <v>1431</v>
      </c>
      <c r="I41" s="158" t="s">
        <v>1302</v>
      </c>
      <c r="J41" s="143" t="s">
        <v>1433</v>
      </c>
      <c r="K41" s="434" t="s">
        <v>1464</v>
      </c>
      <c r="L41" s="144" t="str">
        <f t="shared" si="3"/>
        <v>PSDUS0202:BSB:X202:AKL:POS:SB003</v>
      </c>
      <c r="M41" s="145"/>
      <c r="N41" s="246" t="str">
        <f t="shared" si="24"/>
        <v>MRDO4_10.IO_DO3</v>
      </c>
      <c r="O41" s="107"/>
      <c r="P41" s="129"/>
      <c r="Q41" s="107"/>
      <c r="R41" s="147" t="str">
        <f t="shared" si="9"/>
        <v>BSB.X202.AKL.POS.SB003</v>
      </c>
      <c r="S41" s="107" t="str">
        <f t="shared" si="10"/>
        <v>PSDUS0202:BSB:X202:AKL:POS:SB003:NAME</v>
      </c>
      <c r="T41" s="130"/>
      <c r="U41" s="130"/>
      <c r="V41" s="130"/>
      <c r="W41" s="130"/>
      <c r="X41" s="130"/>
      <c r="Y41" s="131"/>
      <c r="Z41" s="130"/>
      <c r="AD41" s="445"/>
      <c r="AE41" s="446"/>
      <c r="AG41" s="265" t="s">
        <v>1435</v>
      </c>
    </row>
    <row r="42" spans="1:33" s="448" customFormat="1" ht="15" customHeight="1" thickBot="1" x14ac:dyDescent="0.3">
      <c r="A42" s="512"/>
      <c r="B42" s="507"/>
      <c r="C42" s="505"/>
      <c r="D42" s="68" t="s">
        <v>522</v>
      </c>
      <c r="E42" s="233" t="str">
        <f t="shared" si="23"/>
        <v>MRDOC10_4</v>
      </c>
      <c r="F42" s="439" t="s">
        <v>1235</v>
      </c>
      <c r="G42" s="158" t="s">
        <v>1267</v>
      </c>
      <c r="H42" s="126" t="s">
        <v>1431</v>
      </c>
      <c r="I42" s="158" t="s">
        <v>1302</v>
      </c>
      <c r="J42" s="143" t="s">
        <v>1433</v>
      </c>
      <c r="K42" s="434" t="s">
        <v>1465</v>
      </c>
      <c r="L42" s="144" t="str">
        <f t="shared" si="3"/>
        <v>PSDUS0202:BSB:X202:AKL:POS:SB004</v>
      </c>
      <c r="M42" s="145"/>
      <c r="N42" s="246" t="str">
        <f t="shared" si="24"/>
        <v>MRDO4_10.IO_DO4</v>
      </c>
      <c r="O42" s="107"/>
      <c r="P42" s="129"/>
      <c r="Q42" s="107"/>
      <c r="R42" s="147" t="str">
        <f t="shared" si="9"/>
        <v>BSB.X202.AKL.POS.SB004</v>
      </c>
      <c r="S42" s="107" t="str">
        <f t="shared" si="10"/>
        <v>PSDUS0202:BSB:X202:AKL:POS:SB004:NAME</v>
      </c>
      <c r="T42" s="130"/>
      <c r="U42" s="130"/>
      <c r="V42" s="130"/>
      <c r="W42" s="130"/>
      <c r="X42" s="130"/>
      <c r="Y42" s="131"/>
      <c r="Z42" s="130"/>
      <c r="AB42" s="449"/>
      <c r="AC42" s="449"/>
      <c r="AD42" s="445"/>
      <c r="AE42" s="446"/>
      <c r="AG42" s="265" t="s">
        <v>1435</v>
      </c>
    </row>
    <row r="43" spans="1:33" ht="15" customHeight="1" thickBot="1" x14ac:dyDescent="0.3">
      <c r="A43" s="510" t="s">
        <v>524</v>
      </c>
      <c r="B43" s="506" t="s">
        <v>178</v>
      </c>
      <c r="C43" s="503">
        <v>11</v>
      </c>
      <c r="D43" s="67" t="s">
        <v>519</v>
      </c>
      <c r="E43" s="233" t="str">
        <f>"MRDOC" &amp; $C$43 &amp; "_" &amp;RIGHT(D43,1)</f>
        <v>MRDOC11_1</v>
      </c>
      <c r="F43" s="438" t="s">
        <v>1237</v>
      </c>
      <c r="G43" s="158" t="s">
        <v>1267</v>
      </c>
      <c r="H43" s="126" t="s">
        <v>1432</v>
      </c>
      <c r="I43" s="158" t="s">
        <v>1302</v>
      </c>
      <c r="J43" s="143" t="s">
        <v>1433</v>
      </c>
      <c r="K43" s="434" t="s">
        <v>1326</v>
      </c>
      <c r="L43" s="144" t="str">
        <f t="shared" si="3"/>
        <v>PSDUS0202:BSB:X207:AKL:POS:SB001</v>
      </c>
      <c r="M43" s="145"/>
      <c r="N43" s="246" t="str">
        <f>IF(F43&lt;&gt;"",""&amp;$A$3&amp;"_"&amp;IF($C$43&lt;10,"0"&amp;$C$43,$C$43)&amp;".IO_"&amp;D43,"")</f>
        <v>MRDO4_11.IO_DO1</v>
      </c>
      <c r="O43" s="107"/>
      <c r="P43" s="129"/>
      <c r="Q43" s="107"/>
      <c r="R43" s="147" t="str">
        <f t="shared" si="9"/>
        <v>BSB.X207.AKL.POS.SB001</v>
      </c>
      <c r="S43" s="107" t="str">
        <f t="shared" si="10"/>
        <v>PSDUS0202:BSB:X207:AKL:POS:SB001:NAME</v>
      </c>
      <c r="T43" s="130"/>
      <c r="U43" s="130"/>
      <c r="V43" s="130"/>
      <c r="W43" s="130"/>
      <c r="X43" s="130"/>
      <c r="Y43" s="131"/>
      <c r="Z43" s="130"/>
      <c r="AD43" s="445"/>
      <c r="AE43" s="446"/>
      <c r="AG43" s="265" t="s">
        <v>1436</v>
      </c>
    </row>
    <row r="44" spans="1:33" ht="15" customHeight="1" thickBot="1" x14ac:dyDescent="0.3">
      <c r="A44" s="511"/>
      <c r="B44" s="507"/>
      <c r="C44" s="504"/>
      <c r="D44" s="67" t="s">
        <v>520</v>
      </c>
      <c r="E44" s="233" t="str">
        <f t="shared" ref="E44:E46" si="25">"MRDOC" &amp; $C$43 &amp; "_" &amp;RIGHT(D44,1)</f>
        <v>MRDOC11_2</v>
      </c>
      <c r="F44" s="438" t="s">
        <v>1239</v>
      </c>
      <c r="G44" s="158" t="s">
        <v>1267</v>
      </c>
      <c r="H44" s="126" t="s">
        <v>1432</v>
      </c>
      <c r="I44" s="158" t="s">
        <v>1302</v>
      </c>
      <c r="J44" s="143" t="s">
        <v>1433</v>
      </c>
      <c r="K44" s="434" t="s">
        <v>1463</v>
      </c>
      <c r="L44" s="144" t="str">
        <f t="shared" si="3"/>
        <v>PSDUS0202:BSB:X207:AKL:POS:SB002</v>
      </c>
      <c r="M44" s="145"/>
      <c r="N44" s="246" t="str">
        <f t="shared" ref="N44:N46" si="26">IF(F44&lt;&gt;"",""&amp;$A$3&amp;"_"&amp;IF($C$43&lt;10,"0"&amp;$C$43,$C$43)&amp;".IO_"&amp;D44,"")</f>
        <v>MRDO4_11.IO_DO2</v>
      </c>
      <c r="O44" s="107"/>
      <c r="P44" s="129"/>
      <c r="Q44" s="107"/>
      <c r="R44" s="147" t="str">
        <f t="shared" si="9"/>
        <v>BSB.X207.AKL.POS.SB002</v>
      </c>
      <c r="S44" s="107" t="str">
        <f t="shared" si="10"/>
        <v>PSDUS0202:BSB:X207:AKL:POS:SB002:NAME</v>
      </c>
      <c r="T44" s="130"/>
      <c r="U44" s="130"/>
      <c r="V44" s="130"/>
      <c r="W44" s="130"/>
      <c r="X44" s="130"/>
      <c r="Y44" s="131"/>
      <c r="Z44" s="130"/>
      <c r="AD44" s="445"/>
      <c r="AE44" s="446"/>
      <c r="AG44" s="265" t="s">
        <v>1436</v>
      </c>
    </row>
    <row r="45" spans="1:33" ht="15" customHeight="1" thickBot="1" x14ac:dyDescent="0.3">
      <c r="A45" s="511"/>
      <c r="B45" s="507"/>
      <c r="C45" s="504"/>
      <c r="D45" s="67" t="s">
        <v>521</v>
      </c>
      <c r="E45" s="233" t="str">
        <f t="shared" si="25"/>
        <v>MRDOC11_3</v>
      </c>
      <c r="F45" s="438" t="s">
        <v>1241</v>
      </c>
      <c r="G45" s="158" t="s">
        <v>1267</v>
      </c>
      <c r="H45" s="126" t="s">
        <v>1432</v>
      </c>
      <c r="I45" s="158" t="s">
        <v>1302</v>
      </c>
      <c r="J45" s="143" t="s">
        <v>1433</v>
      </c>
      <c r="K45" s="434" t="s">
        <v>1464</v>
      </c>
      <c r="L45" s="144" t="str">
        <f t="shared" si="3"/>
        <v>PSDUS0202:BSB:X207:AKL:POS:SB003</v>
      </c>
      <c r="M45" s="145"/>
      <c r="N45" s="246" t="str">
        <f t="shared" si="26"/>
        <v>MRDO4_11.IO_DO3</v>
      </c>
      <c r="O45" s="107"/>
      <c r="P45" s="129"/>
      <c r="Q45" s="107"/>
      <c r="R45" s="147" t="str">
        <f t="shared" si="9"/>
        <v>BSB.X207.AKL.POS.SB003</v>
      </c>
      <c r="S45" s="107" t="str">
        <f t="shared" si="10"/>
        <v>PSDUS0202:BSB:X207:AKL:POS:SB003:NAME</v>
      </c>
      <c r="T45" s="130"/>
      <c r="U45" s="130"/>
      <c r="V45" s="130"/>
      <c r="W45" s="130"/>
      <c r="X45" s="130"/>
      <c r="Y45" s="131"/>
      <c r="Z45" s="130"/>
      <c r="AD45" s="445"/>
      <c r="AE45" s="446"/>
      <c r="AG45" s="265" t="s">
        <v>1436</v>
      </c>
    </row>
    <row r="46" spans="1:33" s="448" customFormat="1" ht="15" customHeight="1" thickBot="1" x14ac:dyDescent="0.3">
      <c r="A46" s="512"/>
      <c r="B46" s="507"/>
      <c r="C46" s="505"/>
      <c r="D46" s="68" t="s">
        <v>522</v>
      </c>
      <c r="E46" s="233" t="str">
        <f t="shared" si="25"/>
        <v>MRDOC11_4</v>
      </c>
      <c r="F46" s="439" t="s">
        <v>1243</v>
      </c>
      <c r="G46" s="158" t="s">
        <v>1267</v>
      </c>
      <c r="H46" s="126" t="s">
        <v>1432</v>
      </c>
      <c r="I46" s="158" t="s">
        <v>1302</v>
      </c>
      <c r="J46" s="143" t="s">
        <v>1433</v>
      </c>
      <c r="K46" s="434" t="s">
        <v>1465</v>
      </c>
      <c r="L46" s="144" t="str">
        <f t="shared" si="3"/>
        <v>PSDUS0202:BSB:X207:AKL:POS:SB004</v>
      </c>
      <c r="M46" s="145"/>
      <c r="N46" s="246" t="str">
        <f t="shared" si="26"/>
        <v>MRDO4_11.IO_DO4</v>
      </c>
      <c r="O46" s="107"/>
      <c r="P46" s="129"/>
      <c r="Q46" s="107"/>
      <c r="R46" s="147" t="str">
        <f t="shared" si="9"/>
        <v>BSB.X207.AKL.POS.SB004</v>
      </c>
      <c r="S46" s="107" t="str">
        <f t="shared" si="10"/>
        <v>PSDUS0202:BSB:X207:AKL:POS:SB004:NAME</v>
      </c>
      <c r="T46" s="130"/>
      <c r="U46" s="130"/>
      <c r="V46" s="130"/>
      <c r="W46" s="130"/>
      <c r="X46" s="130"/>
      <c r="Y46" s="131"/>
      <c r="Z46" s="130"/>
      <c r="AB46" s="449"/>
      <c r="AC46" s="449"/>
      <c r="AD46" s="445"/>
      <c r="AE46" s="446"/>
      <c r="AG46" s="265" t="s">
        <v>1436</v>
      </c>
    </row>
    <row r="47" spans="1:33" ht="15" customHeight="1" thickBot="1" x14ac:dyDescent="0.3">
      <c r="A47" s="510" t="s">
        <v>524</v>
      </c>
      <c r="B47" s="506" t="s">
        <v>178</v>
      </c>
      <c r="C47" s="503">
        <v>12</v>
      </c>
      <c r="D47" s="67" t="s">
        <v>519</v>
      </c>
      <c r="E47" s="233" t="str">
        <f>"MRDOC" &amp; $C$47 &amp; "_" &amp;RIGHT(D47,1)</f>
        <v>MRDOC12_1</v>
      </c>
      <c r="F47" s="438" t="s">
        <v>1245</v>
      </c>
      <c r="G47" s="158" t="s">
        <v>1267</v>
      </c>
      <c r="H47" s="126" t="s">
        <v>1448</v>
      </c>
      <c r="I47" s="158" t="s">
        <v>1449</v>
      </c>
      <c r="J47" s="143" t="s">
        <v>1450</v>
      </c>
      <c r="K47" s="143" t="s">
        <v>1326</v>
      </c>
      <c r="L47" s="144" t="str">
        <f t="shared" si="3"/>
        <v>PSDUS0202:BSB:H001:HVE:AFH:SB001</v>
      </c>
      <c r="M47" s="145"/>
      <c r="N47" s="246" t="str">
        <f>IF(F47&lt;&gt;"",""&amp;$A$3&amp;"_"&amp;IF($C$47&lt;10,"0"&amp;$C$47,$C$47)&amp;".IO_"&amp;D47,"")</f>
        <v>MRDO4_12.IO_DO1</v>
      </c>
      <c r="O47" s="107"/>
      <c r="P47" s="129"/>
      <c r="Q47" s="107"/>
      <c r="R47" s="147" t="str">
        <f t="shared" si="9"/>
        <v>BSB.H001.HVE.AFH.SB001</v>
      </c>
      <c r="S47" s="107" t="str">
        <f t="shared" si="10"/>
        <v>PSDUS0202:BSB:H001:HVE:AFH:SB001:NAME</v>
      </c>
      <c r="T47" s="130"/>
      <c r="U47" s="130"/>
      <c r="V47" s="130"/>
      <c r="W47" s="130"/>
      <c r="X47" s="130"/>
      <c r="Y47" s="131"/>
      <c r="Z47" s="130"/>
      <c r="AD47" s="445"/>
      <c r="AE47" s="446"/>
      <c r="AG47" s="265" t="s">
        <v>1468</v>
      </c>
    </row>
    <row r="48" spans="1:33" ht="15" customHeight="1" thickBot="1" x14ac:dyDescent="0.3">
      <c r="A48" s="511"/>
      <c r="B48" s="507"/>
      <c r="C48" s="504"/>
      <c r="D48" s="67" t="s">
        <v>520</v>
      </c>
      <c r="E48" s="233" t="str">
        <f t="shared" ref="E48:E50" si="27">"MRDOC" &amp; $C$47 &amp; "_" &amp;RIGHT(D48,1)</f>
        <v>MRDOC12_2</v>
      </c>
      <c r="F48" s="438" t="s">
        <v>1247</v>
      </c>
      <c r="G48" s="158" t="s">
        <v>1267</v>
      </c>
      <c r="H48" s="126" t="s">
        <v>1357</v>
      </c>
      <c r="I48" s="158" t="s">
        <v>1302</v>
      </c>
      <c r="J48" s="143" t="s">
        <v>1447</v>
      </c>
      <c r="K48" s="143" t="s">
        <v>1326</v>
      </c>
      <c r="L48" s="144" t="str">
        <f t="shared" si="3"/>
        <v>PSDUS0202:BSB:S211:AKL:ANF:SB001</v>
      </c>
      <c r="M48" s="145"/>
      <c r="N48" s="246" t="str">
        <f t="shared" ref="N48:N50" si="28">IF(F48&lt;&gt;"",""&amp;$A$3&amp;"_"&amp;IF($C$47&lt;10,"0"&amp;$C$47,$C$47)&amp;".IO_"&amp;D48,"")</f>
        <v>MRDO4_12.IO_DO2</v>
      </c>
      <c r="O48" s="107"/>
      <c r="P48" s="129"/>
      <c r="Q48" s="107"/>
      <c r="R48" s="147" t="str">
        <f t="shared" si="9"/>
        <v>BSB.S211.AKL.ANF.SB001</v>
      </c>
      <c r="S48" s="107" t="str">
        <f t="shared" si="10"/>
        <v>PSDUS0202:BSB:S211:AKL:ANF:SB001:NAME</v>
      </c>
      <c r="T48" s="130"/>
      <c r="U48" s="130"/>
      <c r="V48" s="130"/>
      <c r="W48" s="130"/>
      <c r="X48" s="130"/>
      <c r="Y48" s="131"/>
      <c r="Z48" s="130"/>
      <c r="AD48" s="445"/>
      <c r="AE48" s="446"/>
      <c r="AG48" s="265" t="s">
        <v>1469</v>
      </c>
    </row>
    <row r="49" spans="1:33" ht="15" customHeight="1" thickBot="1" x14ac:dyDescent="0.3">
      <c r="A49" s="511"/>
      <c r="B49" s="507"/>
      <c r="C49" s="504"/>
      <c r="D49" s="67" t="s">
        <v>521</v>
      </c>
      <c r="E49" s="233" t="str">
        <f t="shared" si="27"/>
        <v>MRDOC12_3</v>
      </c>
      <c r="F49" s="438" t="s">
        <v>1025</v>
      </c>
      <c r="G49" s="158"/>
      <c r="H49" s="126"/>
      <c r="I49" s="158"/>
      <c r="J49" s="143"/>
      <c r="K49" s="143"/>
      <c r="L49" s="144" t="str">
        <f t="shared" si="3"/>
        <v/>
      </c>
      <c r="M49" s="145"/>
      <c r="N49" s="246" t="str">
        <f t="shared" si="28"/>
        <v>MRDO4_12.IO_DO3</v>
      </c>
      <c r="O49" s="107"/>
      <c r="P49" s="129"/>
      <c r="Q49" s="107"/>
      <c r="R49" s="147" t="str">
        <f t="shared" si="9"/>
        <v/>
      </c>
      <c r="S49" s="107" t="str">
        <f t="shared" si="10"/>
        <v>:NAME</v>
      </c>
      <c r="T49" s="130"/>
      <c r="U49" s="130"/>
      <c r="V49" s="130"/>
      <c r="W49" s="130"/>
      <c r="X49" s="130"/>
      <c r="Y49" s="131"/>
      <c r="Z49" s="130"/>
      <c r="AD49" s="445"/>
      <c r="AE49" s="446"/>
      <c r="AG49" s="265"/>
    </row>
    <row r="50" spans="1:33" s="448" customFormat="1" ht="15" customHeight="1" thickBot="1" x14ac:dyDescent="0.3">
      <c r="A50" s="512"/>
      <c r="B50" s="507"/>
      <c r="C50" s="505"/>
      <c r="D50" s="68" t="s">
        <v>522</v>
      </c>
      <c r="E50" s="233" t="str">
        <f t="shared" si="27"/>
        <v>MRDOC12_4</v>
      </c>
      <c r="F50" s="462" t="s">
        <v>1475</v>
      </c>
      <c r="G50" s="158" t="s">
        <v>1313</v>
      </c>
      <c r="H50" s="126" t="s">
        <v>1454</v>
      </c>
      <c r="I50" s="158" t="s">
        <v>1455</v>
      </c>
      <c r="J50" s="143" t="s">
        <v>1299</v>
      </c>
      <c r="K50" s="143" t="s">
        <v>1326</v>
      </c>
      <c r="L50" s="144" t="str">
        <f t="shared" si="3"/>
        <v>PSDUS0202:ELT:S001:SSM:EIN:SB001</v>
      </c>
      <c r="M50" s="145"/>
      <c r="N50" s="246" t="str">
        <f t="shared" si="28"/>
        <v>MRDO4_12.IO_DO4</v>
      </c>
      <c r="O50" s="107"/>
      <c r="P50" s="129"/>
      <c r="Q50" s="107"/>
      <c r="R50" s="147" t="str">
        <f t="shared" si="9"/>
        <v>ELT.S001.SSM.EIN.SB001</v>
      </c>
      <c r="S50" s="107" t="str">
        <f t="shared" si="10"/>
        <v>PSDUS0202:ELT:S001:SSM:EIN:SB001:NAME</v>
      </c>
      <c r="T50" s="130"/>
      <c r="U50" s="130"/>
      <c r="V50" s="130"/>
      <c r="W50" s="130"/>
      <c r="X50" s="130"/>
      <c r="Y50" s="131"/>
      <c r="Z50" s="130"/>
      <c r="AB50" s="449"/>
      <c r="AC50" s="449"/>
      <c r="AD50" s="445"/>
      <c r="AE50" s="446"/>
      <c r="AG50" s="265"/>
    </row>
    <row r="51" spans="1:33" x14ac:dyDescent="0.25">
      <c r="F51" s="438"/>
      <c r="G51" s="104"/>
      <c r="H51" s="104"/>
      <c r="I51" s="104"/>
      <c r="J51" s="104"/>
      <c r="K51" s="104"/>
      <c r="L51" s="140"/>
      <c r="M51" s="101"/>
      <c r="N51" s="127"/>
      <c r="O51" s="95"/>
      <c r="P51" s="98"/>
      <c r="Q51" s="95"/>
      <c r="R51" s="100"/>
      <c r="S51" s="95"/>
      <c r="T51" s="95"/>
      <c r="U51" s="96"/>
      <c r="V51" s="96"/>
      <c r="W51" s="96"/>
      <c r="X51" s="96"/>
      <c r="Y51" s="96"/>
      <c r="Z51" s="97"/>
      <c r="AG51" s="265"/>
    </row>
    <row r="52" spans="1:33" x14ac:dyDescent="0.25">
      <c r="F52" s="438"/>
      <c r="G52" s="104"/>
      <c r="H52" s="104"/>
      <c r="I52" s="104"/>
      <c r="J52" s="104"/>
      <c r="K52" s="104"/>
      <c r="L52" s="140"/>
      <c r="M52" s="101"/>
      <c r="N52" s="127"/>
      <c r="O52" s="95"/>
      <c r="P52" s="98"/>
      <c r="Q52" s="95"/>
      <c r="R52" s="100"/>
      <c r="S52" s="95"/>
      <c r="T52" s="95"/>
      <c r="U52" s="96"/>
      <c r="V52" s="96"/>
      <c r="W52" s="96"/>
      <c r="X52" s="96"/>
      <c r="Y52" s="96"/>
      <c r="Z52" s="97"/>
    </row>
    <row r="53" spans="1:33" x14ac:dyDescent="0.25">
      <c r="F53" s="438"/>
      <c r="G53" s="104"/>
      <c r="H53" s="104"/>
      <c r="I53" s="104"/>
      <c r="J53" s="104"/>
      <c r="K53" s="104"/>
      <c r="L53" s="140"/>
      <c r="M53" s="101"/>
      <c r="N53" s="127"/>
      <c r="O53" s="95"/>
      <c r="P53" s="98"/>
      <c r="Q53" s="95"/>
      <c r="R53" s="100"/>
      <c r="S53" s="95"/>
      <c r="T53" s="95"/>
      <c r="U53" s="96"/>
      <c r="V53" s="96"/>
      <c r="W53" s="96"/>
      <c r="X53" s="96"/>
      <c r="Y53" s="96"/>
      <c r="Z53" s="97"/>
    </row>
    <row r="54" spans="1:33" x14ac:dyDescent="0.25">
      <c r="F54" s="438"/>
      <c r="G54" s="104"/>
      <c r="H54" s="104"/>
      <c r="I54" s="104"/>
      <c r="J54" s="104"/>
      <c r="K54" s="104"/>
      <c r="L54" s="140"/>
      <c r="M54" s="101"/>
      <c r="N54" s="127"/>
      <c r="O54" s="95"/>
      <c r="P54" s="98"/>
      <c r="Q54" s="95"/>
      <c r="R54" s="100"/>
      <c r="S54" s="95"/>
      <c r="T54" s="95"/>
      <c r="U54" s="96"/>
      <c r="V54" s="96"/>
      <c r="W54" s="96"/>
      <c r="X54" s="96"/>
      <c r="Y54" s="96"/>
      <c r="Z54" s="97"/>
    </row>
    <row r="55" spans="1:33" x14ac:dyDescent="0.25">
      <c r="F55" s="438"/>
      <c r="G55" s="104"/>
      <c r="H55" s="104"/>
      <c r="I55" s="104"/>
      <c r="J55" s="104"/>
      <c r="K55" s="104"/>
      <c r="L55" s="140"/>
      <c r="M55" s="101"/>
      <c r="N55" s="127"/>
      <c r="O55" s="95"/>
      <c r="P55" s="98"/>
      <c r="Q55" s="95"/>
      <c r="R55" s="100"/>
      <c r="S55" s="95"/>
      <c r="T55" s="95"/>
      <c r="U55" s="96"/>
      <c r="V55" s="96"/>
      <c r="W55" s="96"/>
      <c r="X55" s="96"/>
      <c r="Y55" s="96"/>
      <c r="Z55" s="97"/>
    </row>
    <row r="56" spans="1:33" x14ac:dyDescent="0.25">
      <c r="F56" s="438"/>
      <c r="G56" s="104"/>
      <c r="H56" s="104"/>
      <c r="I56" s="104"/>
      <c r="J56" s="104"/>
      <c r="K56" s="104"/>
      <c r="L56" s="140"/>
      <c r="M56" s="101"/>
      <c r="N56" s="127"/>
      <c r="O56" s="95"/>
      <c r="P56" s="98"/>
      <c r="Q56" s="95"/>
      <c r="R56" s="100"/>
      <c r="S56" s="95"/>
      <c r="T56" s="95"/>
      <c r="U56" s="96"/>
      <c r="V56" s="96"/>
      <c r="W56" s="96"/>
      <c r="X56" s="96"/>
      <c r="Y56" s="96"/>
      <c r="Z56" s="97"/>
    </row>
    <row r="57" spans="1:33" x14ac:dyDescent="0.25">
      <c r="F57" s="438"/>
      <c r="G57" s="104"/>
      <c r="H57" s="104"/>
      <c r="I57" s="104"/>
      <c r="J57" s="104"/>
      <c r="K57" s="104"/>
      <c r="L57" s="140"/>
      <c r="M57" s="101"/>
      <c r="N57" s="127"/>
      <c r="O57" s="95"/>
      <c r="P57" s="98"/>
      <c r="Q57" s="95"/>
      <c r="R57" s="100"/>
      <c r="S57" s="95"/>
      <c r="T57" s="95"/>
      <c r="U57" s="96"/>
      <c r="V57" s="96"/>
      <c r="W57" s="96"/>
      <c r="X57" s="96"/>
      <c r="Y57" s="96"/>
      <c r="Z57" s="97"/>
    </row>
    <row r="58" spans="1:33" x14ac:dyDescent="0.25">
      <c r="F58" s="438"/>
      <c r="G58" s="104"/>
      <c r="H58" s="104"/>
      <c r="I58" s="104"/>
      <c r="J58" s="104"/>
      <c r="K58" s="104"/>
      <c r="L58" s="140"/>
      <c r="M58" s="101"/>
      <c r="N58" s="127"/>
      <c r="O58" s="95"/>
      <c r="P58" s="98"/>
      <c r="Q58" s="95"/>
      <c r="R58" s="100"/>
      <c r="S58" s="95"/>
      <c r="T58" s="95"/>
      <c r="U58" s="96"/>
      <c r="V58" s="96"/>
      <c r="W58" s="96"/>
      <c r="X58" s="96"/>
      <c r="Y58" s="96"/>
      <c r="Z58" s="97"/>
    </row>
    <row r="59" spans="1:33" x14ac:dyDescent="0.25">
      <c r="F59" s="438"/>
      <c r="G59" s="104"/>
      <c r="H59" s="104"/>
      <c r="I59" s="104"/>
      <c r="J59" s="104"/>
      <c r="K59" s="104"/>
      <c r="L59" s="140"/>
      <c r="M59" s="101"/>
      <c r="N59" s="127"/>
      <c r="O59" s="95"/>
      <c r="P59" s="98"/>
      <c r="Q59" s="95"/>
      <c r="R59" s="100"/>
      <c r="S59" s="95"/>
      <c r="T59" s="95"/>
      <c r="U59" s="96"/>
      <c r="V59" s="96"/>
      <c r="W59" s="96"/>
      <c r="X59" s="96"/>
      <c r="Y59" s="96"/>
      <c r="Z59" s="97"/>
    </row>
    <row r="60" spans="1:33" x14ac:dyDescent="0.25">
      <c r="F60" s="438"/>
      <c r="G60" s="104"/>
      <c r="H60" s="104"/>
      <c r="I60" s="104"/>
      <c r="J60" s="104"/>
      <c r="K60" s="104"/>
      <c r="L60" s="140"/>
      <c r="M60" s="101"/>
      <c r="N60" s="127"/>
      <c r="O60" s="95"/>
      <c r="P60" s="98"/>
      <c r="Q60" s="95"/>
      <c r="R60" s="100"/>
      <c r="S60" s="95"/>
      <c r="T60" s="95"/>
      <c r="U60" s="96"/>
      <c r="V60" s="96"/>
      <c r="W60" s="96"/>
      <c r="X60" s="96"/>
      <c r="Y60" s="96"/>
      <c r="Z60" s="97"/>
    </row>
    <row r="61" spans="1:33" x14ac:dyDescent="0.25">
      <c r="F61" s="438"/>
      <c r="G61" s="104"/>
      <c r="H61" s="104"/>
      <c r="I61" s="104"/>
      <c r="J61" s="104"/>
      <c r="K61" s="104"/>
      <c r="L61" s="140"/>
      <c r="M61" s="101"/>
      <c r="N61" s="127"/>
      <c r="O61" s="95"/>
      <c r="P61" s="98"/>
      <c r="Q61" s="95"/>
      <c r="R61" s="100"/>
      <c r="S61" s="95"/>
      <c r="T61" s="95"/>
      <c r="U61" s="96"/>
      <c r="V61" s="96"/>
      <c r="W61" s="96"/>
      <c r="X61" s="96"/>
      <c r="Y61" s="96"/>
      <c r="Z61" s="97"/>
    </row>
    <row r="62" spans="1:33" x14ac:dyDescent="0.25">
      <c r="F62" s="438"/>
      <c r="G62" s="104"/>
      <c r="H62" s="104"/>
      <c r="I62" s="104"/>
      <c r="J62" s="104"/>
      <c r="K62" s="104"/>
      <c r="L62" s="140"/>
      <c r="M62" s="101"/>
      <c r="N62" s="127"/>
      <c r="O62" s="95"/>
      <c r="P62" s="98"/>
      <c r="Q62" s="95"/>
      <c r="R62" s="100"/>
      <c r="S62" s="95"/>
      <c r="T62" s="95"/>
      <c r="U62" s="96"/>
      <c r="V62" s="96"/>
      <c r="W62" s="96"/>
      <c r="X62" s="96"/>
      <c r="Y62" s="96"/>
      <c r="Z62" s="97"/>
    </row>
    <row r="63" spans="1:33" x14ac:dyDescent="0.25">
      <c r="F63" s="438"/>
      <c r="G63" s="104"/>
      <c r="H63" s="104"/>
      <c r="I63" s="104"/>
      <c r="J63" s="104"/>
      <c r="K63" s="104"/>
      <c r="L63" s="140"/>
      <c r="M63" s="101"/>
      <c r="N63" s="127"/>
      <c r="O63" s="95"/>
      <c r="P63" s="98"/>
      <c r="Q63" s="95"/>
      <c r="R63" s="100"/>
      <c r="S63" s="95"/>
      <c r="T63" s="95"/>
      <c r="U63" s="96"/>
      <c r="V63" s="96"/>
      <c r="W63" s="96"/>
      <c r="X63" s="96"/>
      <c r="Y63" s="96"/>
      <c r="Z63" s="97"/>
    </row>
    <row r="64" spans="1:33" x14ac:dyDescent="0.25">
      <c r="F64" s="438"/>
      <c r="G64" s="104"/>
      <c r="H64" s="104"/>
      <c r="I64" s="104"/>
      <c r="J64" s="104"/>
      <c r="K64" s="104"/>
      <c r="L64" s="140"/>
      <c r="M64" s="101"/>
      <c r="N64" s="127"/>
      <c r="O64" s="95"/>
      <c r="P64" s="98"/>
      <c r="Q64" s="95"/>
      <c r="R64" s="100"/>
      <c r="S64" s="95"/>
      <c r="T64" s="95"/>
      <c r="U64" s="96"/>
      <c r="V64" s="96"/>
      <c r="W64" s="96"/>
      <c r="X64" s="96"/>
      <c r="Y64" s="96"/>
      <c r="Z64" s="97"/>
    </row>
    <row r="65" spans="6:26" x14ac:dyDescent="0.25">
      <c r="F65" s="438"/>
      <c r="G65" s="104"/>
      <c r="H65" s="104"/>
      <c r="I65" s="104"/>
      <c r="J65" s="104"/>
      <c r="K65" s="104"/>
      <c r="L65" s="140"/>
      <c r="M65" s="101"/>
      <c r="N65" s="127"/>
      <c r="O65" s="95"/>
      <c r="P65" s="98"/>
      <c r="Q65" s="95"/>
      <c r="R65" s="100"/>
      <c r="S65" s="95"/>
      <c r="T65" s="95"/>
      <c r="U65" s="96"/>
      <c r="V65" s="96"/>
      <c r="W65" s="96"/>
      <c r="X65" s="96"/>
      <c r="Y65" s="96"/>
      <c r="Z65" s="97"/>
    </row>
    <row r="66" spans="6:26" x14ac:dyDescent="0.25">
      <c r="F66" s="438"/>
      <c r="G66" s="104"/>
      <c r="H66" s="104"/>
      <c r="I66" s="104"/>
      <c r="J66" s="104"/>
      <c r="K66" s="104"/>
      <c r="L66" s="140"/>
      <c r="M66" s="101"/>
      <c r="N66" s="127"/>
      <c r="O66" s="95"/>
      <c r="P66" s="98"/>
      <c r="Q66" s="95"/>
      <c r="R66" s="100"/>
      <c r="S66" s="95"/>
      <c r="T66" s="95"/>
      <c r="U66" s="96"/>
      <c r="V66" s="96"/>
      <c r="W66" s="96"/>
      <c r="X66" s="96"/>
      <c r="Y66" s="96"/>
      <c r="Z66" s="97"/>
    </row>
    <row r="67" spans="6:26" x14ac:dyDescent="0.25">
      <c r="F67" s="438"/>
      <c r="G67" s="104"/>
      <c r="H67" s="104"/>
      <c r="I67" s="104"/>
      <c r="J67" s="104"/>
      <c r="K67" s="104"/>
      <c r="L67" s="140"/>
      <c r="M67" s="101"/>
      <c r="N67" s="127"/>
      <c r="O67" s="95"/>
      <c r="P67" s="98"/>
      <c r="Q67" s="95"/>
      <c r="R67" s="100"/>
      <c r="S67" s="95"/>
      <c r="T67" s="95"/>
      <c r="U67" s="96"/>
      <c r="V67" s="96"/>
      <c r="W67" s="96"/>
      <c r="X67" s="96"/>
      <c r="Y67" s="96"/>
      <c r="Z67" s="97"/>
    </row>
    <row r="68" spans="6:26" x14ac:dyDescent="0.25">
      <c r="F68" s="438"/>
      <c r="G68" s="104"/>
      <c r="H68" s="104"/>
      <c r="I68" s="104"/>
      <c r="J68" s="104"/>
      <c r="K68" s="104"/>
      <c r="L68" s="140"/>
      <c r="M68" s="101"/>
      <c r="N68" s="127"/>
      <c r="O68" s="95"/>
      <c r="P68" s="98"/>
      <c r="Q68" s="95"/>
      <c r="R68" s="100"/>
      <c r="S68" s="95"/>
      <c r="T68" s="95"/>
      <c r="U68" s="96"/>
      <c r="V68" s="96"/>
      <c r="W68" s="96"/>
      <c r="X68" s="96"/>
      <c r="Y68" s="96"/>
      <c r="Z68" s="97"/>
    </row>
    <row r="69" spans="6:26" x14ac:dyDescent="0.25">
      <c r="F69" s="438"/>
      <c r="G69" s="104"/>
      <c r="H69" s="104"/>
      <c r="I69" s="104"/>
      <c r="J69" s="104"/>
      <c r="K69" s="104"/>
      <c r="L69" s="140"/>
      <c r="M69" s="101"/>
      <c r="N69" s="127"/>
      <c r="O69" s="95"/>
      <c r="P69" s="98"/>
      <c r="Q69" s="95"/>
      <c r="R69" s="100"/>
      <c r="S69" s="95"/>
      <c r="T69" s="95"/>
      <c r="U69" s="96"/>
      <c r="V69" s="96"/>
      <c r="W69" s="96"/>
      <c r="X69" s="96"/>
      <c r="Y69" s="96"/>
      <c r="Z69" s="97"/>
    </row>
    <row r="70" spans="6:26" x14ac:dyDescent="0.25">
      <c r="F70" s="438"/>
      <c r="G70" s="104"/>
      <c r="H70" s="104"/>
      <c r="I70" s="104"/>
      <c r="J70" s="104"/>
      <c r="K70" s="104"/>
      <c r="L70" s="140"/>
      <c r="M70" s="101"/>
      <c r="N70" s="127"/>
      <c r="O70" s="95"/>
      <c r="P70" s="98"/>
      <c r="Q70" s="95"/>
      <c r="R70" s="100"/>
      <c r="S70" s="95"/>
      <c r="T70" s="95"/>
      <c r="U70" s="96"/>
      <c r="V70" s="96"/>
      <c r="W70" s="96"/>
      <c r="X70" s="96"/>
      <c r="Y70" s="96"/>
      <c r="Z70" s="97"/>
    </row>
    <row r="71" spans="6:26" x14ac:dyDescent="0.25">
      <c r="F71" s="438"/>
      <c r="G71" s="104"/>
      <c r="H71" s="104"/>
      <c r="I71" s="104"/>
      <c r="J71" s="104"/>
      <c r="K71" s="104"/>
      <c r="L71" s="140"/>
      <c r="M71" s="101"/>
      <c r="N71" s="127"/>
      <c r="O71" s="95"/>
      <c r="P71" s="98"/>
      <c r="Q71" s="95"/>
      <c r="R71" s="100"/>
      <c r="S71" s="95"/>
      <c r="T71" s="95"/>
      <c r="U71" s="96"/>
      <c r="V71" s="96"/>
      <c r="W71" s="96"/>
      <c r="X71" s="96"/>
      <c r="Y71" s="96"/>
      <c r="Z71" s="97"/>
    </row>
    <row r="72" spans="6:26" x14ac:dyDescent="0.25">
      <c r="F72" s="438"/>
      <c r="G72" s="104"/>
      <c r="H72" s="104"/>
      <c r="I72" s="104"/>
      <c r="J72" s="104"/>
      <c r="K72" s="104"/>
      <c r="L72" s="140"/>
      <c r="M72" s="101"/>
      <c r="N72" s="127"/>
      <c r="O72" s="95"/>
      <c r="P72" s="98"/>
      <c r="Q72" s="95"/>
      <c r="R72" s="100"/>
      <c r="S72" s="95"/>
      <c r="T72" s="95"/>
      <c r="U72" s="96"/>
      <c r="V72" s="96"/>
      <c r="W72" s="96"/>
      <c r="X72" s="96"/>
      <c r="Y72" s="96"/>
      <c r="Z72" s="97"/>
    </row>
    <row r="73" spans="6:26" x14ac:dyDescent="0.25">
      <c r="F73" s="438"/>
      <c r="G73" s="104"/>
      <c r="H73" s="104"/>
      <c r="I73" s="104"/>
      <c r="J73" s="104"/>
      <c r="K73" s="104"/>
      <c r="L73" s="140"/>
      <c r="M73" s="101"/>
      <c r="N73" s="127"/>
      <c r="O73" s="95"/>
      <c r="P73" s="98"/>
      <c r="Q73" s="95"/>
      <c r="R73" s="100"/>
      <c r="S73" s="95"/>
      <c r="T73" s="95"/>
      <c r="U73" s="96"/>
      <c r="V73" s="96"/>
      <c r="W73" s="96"/>
      <c r="X73" s="96"/>
      <c r="Y73" s="96"/>
      <c r="Z73" s="97"/>
    </row>
    <row r="74" spans="6:26" x14ac:dyDescent="0.25">
      <c r="F74" s="438"/>
      <c r="G74" s="104"/>
      <c r="H74" s="104"/>
      <c r="I74" s="104"/>
      <c r="J74" s="104"/>
      <c r="K74" s="104"/>
      <c r="L74" s="140"/>
      <c r="M74" s="101"/>
      <c r="N74" s="127"/>
      <c r="O74" s="95"/>
      <c r="P74" s="98"/>
      <c r="Q74" s="95"/>
      <c r="R74" s="100"/>
      <c r="S74" s="95"/>
      <c r="T74" s="95"/>
      <c r="U74" s="96"/>
      <c r="V74" s="96"/>
      <c r="W74" s="96"/>
      <c r="X74" s="96"/>
      <c r="Y74" s="96"/>
      <c r="Z74" s="97"/>
    </row>
    <row r="75" spans="6:26" x14ac:dyDescent="0.25">
      <c r="F75" s="438"/>
      <c r="G75" s="104"/>
      <c r="H75" s="104"/>
      <c r="I75" s="104"/>
      <c r="J75" s="104"/>
      <c r="K75" s="104"/>
      <c r="L75" s="140"/>
      <c r="M75" s="101"/>
      <c r="N75" s="127"/>
      <c r="O75" s="95"/>
      <c r="P75" s="98"/>
      <c r="Q75" s="95"/>
      <c r="R75" s="100"/>
      <c r="S75" s="95"/>
      <c r="T75" s="95"/>
      <c r="U75" s="96"/>
      <c r="V75" s="96"/>
      <c r="W75" s="96"/>
      <c r="X75" s="96"/>
      <c r="Y75" s="96"/>
      <c r="Z75" s="97"/>
    </row>
    <row r="76" spans="6:26" x14ac:dyDescent="0.25">
      <c r="F76" s="438"/>
      <c r="G76" s="104"/>
      <c r="H76" s="104"/>
      <c r="I76" s="104"/>
      <c r="J76" s="104"/>
      <c r="K76" s="104"/>
      <c r="L76" s="140"/>
      <c r="M76" s="101"/>
      <c r="N76" s="127"/>
      <c r="O76" s="95"/>
      <c r="P76" s="98"/>
      <c r="Q76" s="95"/>
      <c r="R76" s="100"/>
      <c r="S76" s="95"/>
      <c r="T76" s="95"/>
      <c r="U76" s="96"/>
      <c r="V76" s="96"/>
      <c r="W76" s="96"/>
      <c r="X76" s="96"/>
      <c r="Y76" s="96"/>
      <c r="Z76" s="97"/>
    </row>
    <row r="77" spans="6:26" x14ac:dyDescent="0.25">
      <c r="F77" s="438"/>
      <c r="G77" s="104"/>
      <c r="H77" s="104"/>
      <c r="I77" s="104"/>
      <c r="J77" s="104"/>
      <c r="K77" s="104"/>
      <c r="L77" s="140"/>
      <c r="M77" s="101"/>
      <c r="N77" s="127"/>
      <c r="O77" s="95"/>
      <c r="P77" s="98"/>
      <c r="Q77" s="95"/>
      <c r="R77" s="100"/>
      <c r="S77" s="95"/>
      <c r="T77" s="95"/>
      <c r="U77" s="96"/>
      <c r="V77" s="96"/>
      <c r="W77" s="96"/>
      <c r="X77" s="96"/>
      <c r="Y77" s="96"/>
      <c r="Z77" s="97"/>
    </row>
    <row r="78" spans="6:26" x14ac:dyDescent="0.25">
      <c r="F78" s="438"/>
      <c r="G78" s="104"/>
      <c r="H78" s="104"/>
      <c r="I78" s="104"/>
      <c r="J78" s="104"/>
      <c r="K78" s="104"/>
      <c r="L78" s="140"/>
      <c r="M78" s="101"/>
      <c r="N78" s="127"/>
      <c r="O78" s="95"/>
      <c r="P78" s="98"/>
      <c r="Q78" s="95"/>
      <c r="R78" s="100"/>
      <c r="S78" s="95"/>
      <c r="T78" s="95"/>
      <c r="U78" s="96"/>
      <c r="V78" s="96"/>
      <c r="W78" s="96"/>
      <c r="X78" s="96"/>
      <c r="Y78" s="96"/>
      <c r="Z78" s="97"/>
    </row>
    <row r="79" spans="6:26" x14ac:dyDescent="0.25">
      <c r="F79" s="438"/>
      <c r="G79" s="104"/>
      <c r="H79" s="104"/>
      <c r="I79" s="104"/>
      <c r="J79" s="104"/>
      <c r="K79" s="104"/>
      <c r="L79" s="140"/>
      <c r="M79" s="101"/>
      <c r="N79" s="127"/>
      <c r="O79" s="95"/>
      <c r="P79" s="98"/>
      <c r="Q79" s="95"/>
      <c r="R79" s="100"/>
      <c r="S79" s="95"/>
      <c r="T79" s="95"/>
      <c r="U79" s="96"/>
      <c r="V79" s="96"/>
      <c r="W79" s="96"/>
      <c r="X79" s="96"/>
      <c r="Y79" s="96"/>
      <c r="Z79" s="97"/>
    </row>
    <row r="80" spans="6:26" x14ac:dyDescent="0.25">
      <c r="F80" s="438"/>
      <c r="G80" s="104"/>
      <c r="H80" s="104"/>
      <c r="I80" s="104"/>
      <c r="J80" s="104"/>
      <c r="K80" s="104"/>
      <c r="L80" s="140"/>
      <c r="M80" s="101"/>
      <c r="N80" s="127"/>
      <c r="O80" s="95"/>
      <c r="P80" s="98"/>
      <c r="Q80" s="95"/>
      <c r="R80" s="100"/>
      <c r="S80" s="95"/>
      <c r="T80" s="95"/>
      <c r="U80" s="96"/>
      <c r="V80" s="96"/>
      <c r="W80" s="96"/>
      <c r="X80" s="96"/>
      <c r="Y80" s="96"/>
      <c r="Z80" s="97"/>
    </row>
    <row r="81" spans="6:26" x14ac:dyDescent="0.25">
      <c r="F81" s="438"/>
      <c r="G81" s="104"/>
      <c r="H81" s="104"/>
      <c r="I81" s="104"/>
      <c r="J81" s="104"/>
      <c r="K81" s="104"/>
      <c r="L81" s="140"/>
      <c r="M81" s="101"/>
      <c r="N81" s="127"/>
      <c r="O81" s="95"/>
      <c r="P81" s="98"/>
      <c r="Q81" s="95"/>
      <c r="R81" s="100"/>
      <c r="S81" s="95"/>
      <c r="T81" s="95"/>
      <c r="U81" s="96"/>
      <c r="V81" s="96"/>
      <c r="W81" s="96"/>
      <c r="X81" s="96"/>
      <c r="Y81" s="96"/>
      <c r="Z81" s="97"/>
    </row>
    <row r="82" spans="6:26" x14ac:dyDescent="0.25">
      <c r="F82" s="438"/>
      <c r="G82" s="104"/>
      <c r="H82" s="104"/>
      <c r="I82" s="104"/>
      <c r="J82" s="104"/>
      <c r="K82" s="104"/>
      <c r="L82" s="140"/>
      <c r="M82" s="101"/>
      <c r="N82" s="127"/>
      <c r="O82" s="95"/>
      <c r="P82" s="98"/>
      <c r="Q82" s="95"/>
      <c r="R82" s="100"/>
      <c r="S82" s="95"/>
      <c r="T82" s="95"/>
      <c r="U82" s="96"/>
      <c r="V82" s="96"/>
      <c r="W82" s="96"/>
      <c r="X82" s="96"/>
      <c r="Y82" s="96"/>
      <c r="Z82" s="97"/>
    </row>
    <row r="83" spans="6:26" x14ac:dyDescent="0.25">
      <c r="F83" s="438"/>
      <c r="G83" s="104"/>
      <c r="H83" s="104"/>
      <c r="I83" s="104"/>
      <c r="J83" s="104"/>
      <c r="K83" s="104"/>
      <c r="L83" s="140"/>
      <c r="M83" s="101"/>
      <c r="N83" s="127"/>
      <c r="O83" s="95"/>
      <c r="P83" s="98"/>
      <c r="Q83" s="95"/>
      <c r="R83" s="100"/>
      <c r="S83" s="95"/>
      <c r="T83" s="95"/>
      <c r="U83" s="96"/>
      <c r="V83" s="96"/>
      <c r="W83" s="96"/>
      <c r="X83" s="96"/>
      <c r="Y83" s="96"/>
      <c r="Z83" s="97"/>
    </row>
    <row r="84" spans="6:26" x14ac:dyDescent="0.25">
      <c r="F84" s="438"/>
      <c r="G84" s="104"/>
      <c r="H84" s="104"/>
      <c r="I84" s="104"/>
      <c r="J84" s="104"/>
      <c r="K84" s="104"/>
      <c r="L84" s="140"/>
      <c r="M84" s="101"/>
      <c r="N84" s="127"/>
      <c r="O84" s="95"/>
      <c r="P84" s="98"/>
      <c r="Q84" s="95"/>
      <c r="R84" s="100"/>
      <c r="S84" s="95"/>
      <c r="T84" s="95"/>
      <c r="U84" s="96"/>
      <c r="V84" s="96"/>
      <c r="W84" s="96"/>
      <c r="X84" s="96"/>
      <c r="Y84" s="96"/>
      <c r="Z84" s="97"/>
    </row>
    <row r="85" spans="6:26" x14ac:dyDescent="0.25">
      <c r="F85" s="438"/>
      <c r="G85" s="104"/>
      <c r="H85" s="104"/>
      <c r="I85" s="104"/>
      <c r="J85" s="104"/>
      <c r="K85" s="104"/>
      <c r="L85" s="140"/>
      <c r="M85" s="101"/>
      <c r="N85" s="127"/>
      <c r="O85" s="95"/>
      <c r="P85" s="98"/>
      <c r="Q85" s="95"/>
      <c r="R85" s="100"/>
      <c r="S85" s="95"/>
      <c r="T85" s="95"/>
      <c r="U85" s="96"/>
      <c r="V85" s="96"/>
      <c r="W85" s="96"/>
      <c r="X85" s="96"/>
      <c r="Y85" s="96"/>
      <c r="Z85" s="97"/>
    </row>
    <row r="86" spans="6:26" x14ac:dyDescent="0.25">
      <c r="F86" s="438"/>
      <c r="G86" s="104"/>
      <c r="H86" s="104"/>
      <c r="I86" s="104"/>
      <c r="J86" s="104"/>
      <c r="K86" s="104"/>
      <c r="L86" s="140"/>
      <c r="M86" s="101"/>
      <c r="N86" s="127"/>
      <c r="O86" s="95"/>
      <c r="P86" s="98"/>
      <c r="Q86" s="95"/>
      <c r="R86" s="100"/>
      <c r="S86" s="95"/>
      <c r="T86" s="95"/>
      <c r="U86" s="96"/>
      <c r="V86" s="96"/>
      <c r="W86" s="96"/>
      <c r="X86" s="96"/>
      <c r="Y86" s="96"/>
      <c r="Z86" s="97"/>
    </row>
    <row r="87" spans="6:26" x14ac:dyDescent="0.25">
      <c r="F87" s="438"/>
      <c r="G87" s="104"/>
      <c r="H87" s="104"/>
      <c r="I87" s="104"/>
      <c r="J87" s="104"/>
      <c r="K87" s="104"/>
      <c r="L87" s="140"/>
      <c r="M87" s="101"/>
      <c r="N87" s="127"/>
      <c r="O87" s="95"/>
      <c r="P87" s="98"/>
      <c r="Q87" s="95"/>
      <c r="R87" s="100"/>
      <c r="S87" s="95"/>
      <c r="T87" s="95"/>
      <c r="U87" s="96"/>
      <c r="V87" s="96"/>
      <c r="W87" s="96"/>
      <c r="X87" s="96"/>
      <c r="Y87" s="96"/>
      <c r="Z87" s="97"/>
    </row>
    <row r="88" spans="6:26" x14ac:dyDescent="0.25">
      <c r="F88" s="438"/>
      <c r="G88" s="104"/>
      <c r="H88" s="104"/>
      <c r="I88" s="104"/>
      <c r="J88" s="104"/>
      <c r="K88" s="104"/>
      <c r="L88" s="140"/>
      <c r="M88" s="101"/>
      <c r="N88" s="127"/>
      <c r="O88" s="95"/>
      <c r="P88" s="98"/>
      <c r="Q88" s="95"/>
      <c r="R88" s="100"/>
      <c r="S88" s="95"/>
      <c r="T88" s="95"/>
      <c r="U88" s="96"/>
      <c r="V88" s="96"/>
      <c r="W88" s="96"/>
      <c r="X88" s="96"/>
      <c r="Y88" s="96"/>
      <c r="Z88" s="97"/>
    </row>
    <row r="89" spans="6:26" x14ac:dyDescent="0.25">
      <c r="F89" s="438"/>
      <c r="G89" s="104"/>
      <c r="H89" s="104"/>
      <c r="I89" s="104"/>
      <c r="J89" s="104"/>
      <c r="K89" s="104"/>
      <c r="L89" s="140"/>
      <c r="M89" s="101"/>
      <c r="N89" s="127"/>
      <c r="O89" s="95"/>
      <c r="P89" s="98"/>
      <c r="Q89" s="95"/>
      <c r="R89" s="100"/>
      <c r="S89" s="95"/>
      <c r="T89" s="95"/>
      <c r="U89" s="96"/>
      <c r="V89" s="96"/>
      <c r="W89" s="96"/>
      <c r="X89" s="96"/>
      <c r="Y89" s="96"/>
      <c r="Z89" s="97"/>
    </row>
    <row r="90" spans="6:26" x14ac:dyDescent="0.25">
      <c r="F90" s="438"/>
      <c r="G90" s="104"/>
      <c r="H90" s="104"/>
      <c r="I90" s="104"/>
      <c r="J90" s="104"/>
      <c r="K90" s="104"/>
      <c r="L90" s="140"/>
      <c r="M90" s="101"/>
      <c r="N90" s="127"/>
      <c r="O90" s="95"/>
      <c r="P90" s="98"/>
      <c r="Q90" s="95"/>
      <c r="R90" s="100"/>
      <c r="S90" s="95"/>
      <c r="T90" s="95"/>
      <c r="U90" s="96"/>
      <c r="V90" s="96"/>
      <c r="W90" s="96"/>
      <c r="X90" s="96"/>
      <c r="Y90" s="96"/>
      <c r="Z90" s="97"/>
    </row>
    <row r="91" spans="6:26" x14ac:dyDescent="0.25">
      <c r="F91" s="438"/>
      <c r="G91" s="104"/>
      <c r="H91" s="104"/>
      <c r="I91" s="104"/>
      <c r="J91" s="104"/>
      <c r="K91" s="104"/>
      <c r="L91" s="140"/>
      <c r="M91" s="101"/>
      <c r="N91" s="127"/>
      <c r="O91" s="95"/>
      <c r="P91" s="98"/>
      <c r="Q91" s="95"/>
      <c r="R91" s="100"/>
      <c r="S91" s="95"/>
      <c r="T91" s="95"/>
      <c r="U91" s="96"/>
      <c r="V91" s="96"/>
      <c r="W91" s="96"/>
      <c r="X91" s="96"/>
      <c r="Y91" s="96"/>
      <c r="Z91" s="97"/>
    </row>
    <row r="92" spans="6:26" x14ac:dyDescent="0.25">
      <c r="F92" s="438"/>
      <c r="G92" s="104"/>
      <c r="H92" s="104"/>
      <c r="I92" s="104"/>
      <c r="J92" s="104"/>
      <c r="K92" s="104"/>
      <c r="L92" s="140"/>
      <c r="M92" s="101"/>
      <c r="N92" s="127"/>
      <c r="O92" s="95"/>
      <c r="P92" s="98"/>
      <c r="Q92" s="95"/>
      <c r="R92" s="100"/>
      <c r="S92" s="95"/>
      <c r="T92" s="95"/>
      <c r="U92" s="96"/>
      <c r="V92" s="96"/>
      <c r="W92" s="96"/>
      <c r="X92" s="96"/>
      <c r="Y92" s="96"/>
      <c r="Z92" s="97"/>
    </row>
    <row r="93" spans="6:26" x14ac:dyDescent="0.25">
      <c r="F93" s="438"/>
      <c r="G93" s="104"/>
      <c r="H93" s="104"/>
      <c r="I93" s="104"/>
      <c r="J93" s="104"/>
      <c r="K93" s="104"/>
      <c r="L93" s="140"/>
      <c r="M93" s="101"/>
      <c r="N93" s="127"/>
      <c r="O93" s="95"/>
      <c r="P93" s="98"/>
      <c r="Q93" s="95"/>
      <c r="R93" s="100"/>
      <c r="S93" s="95"/>
      <c r="T93" s="95"/>
      <c r="U93" s="96"/>
      <c r="V93" s="96"/>
      <c r="W93" s="96"/>
      <c r="X93" s="96"/>
      <c r="Y93" s="96"/>
      <c r="Z93" s="97"/>
    </row>
    <row r="94" spans="6:26" x14ac:dyDescent="0.25">
      <c r="F94" s="438"/>
      <c r="G94" s="104"/>
      <c r="H94" s="104"/>
      <c r="I94" s="104"/>
      <c r="J94" s="104"/>
      <c r="K94" s="104"/>
      <c r="L94" s="140"/>
      <c r="M94" s="101"/>
      <c r="N94" s="127"/>
      <c r="O94" s="95"/>
      <c r="P94" s="98"/>
      <c r="Q94" s="95"/>
      <c r="R94" s="100"/>
      <c r="S94" s="95"/>
      <c r="T94" s="95"/>
      <c r="U94" s="96"/>
      <c r="V94" s="96"/>
      <c r="W94" s="96"/>
      <c r="X94" s="96"/>
      <c r="Y94" s="96"/>
      <c r="Z94" s="97"/>
    </row>
    <row r="95" spans="6:26" x14ac:dyDescent="0.25">
      <c r="F95" s="438"/>
      <c r="G95" s="104"/>
      <c r="H95" s="104"/>
      <c r="I95" s="104"/>
      <c r="J95" s="104"/>
      <c r="K95" s="104"/>
      <c r="L95" s="140"/>
      <c r="M95" s="101"/>
      <c r="N95" s="127"/>
      <c r="O95" s="95"/>
      <c r="P95" s="98"/>
      <c r="Q95" s="95"/>
      <c r="R95" s="100"/>
      <c r="S95" s="95"/>
      <c r="T95" s="95"/>
      <c r="U95" s="96"/>
      <c r="V95" s="96"/>
      <c r="W95" s="96"/>
      <c r="X95" s="96"/>
      <c r="Y95" s="96"/>
      <c r="Z95" s="97"/>
    </row>
    <row r="96" spans="6:26" x14ac:dyDescent="0.25">
      <c r="F96" s="438"/>
      <c r="G96" s="104"/>
      <c r="H96" s="104"/>
      <c r="I96" s="104"/>
      <c r="J96" s="104"/>
      <c r="K96" s="104"/>
      <c r="L96" s="140"/>
      <c r="M96" s="101"/>
      <c r="N96" s="127"/>
      <c r="O96" s="95"/>
      <c r="P96" s="98"/>
      <c r="Q96" s="95"/>
      <c r="R96" s="100"/>
      <c r="S96" s="95"/>
      <c r="T96" s="95"/>
      <c r="U96" s="96"/>
      <c r="V96" s="96"/>
      <c r="W96" s="96"/>
      <c r="X96" s="96"/>
      <c r="Y96" s="96"/>
      <c r="Z96" s="97"/>
    </row>
    <row r="97" spans="6:26" x14ac:dyDescent="0.25">
      <c r="F97" s="438"/>
      <c r="G97" s="104"/>
      <c r="H97" s="104"/>
      <c r="I97" s="104"/>
      <c r="J97" s="104"/>
      <c r="K97" s="104"/>
      <c r="L97" s="140"/>
      <c r="M97" s="101"/>
      <c r="N97" s="127"/>
      <c r="O97" s="95"/>
      <c r="P97" s="98"/>
      <c r="Q97" s="95"/>
      <c r="R97" s="100"/>
      <c r="S97" s="95"/>
      <c r="T97" s="95"/>
      <c r="U97" s="96"/>
      <c r="V97" s="96"/>
      <c r="W97" s="96"/>
      <c r="X97" s="96"/>
      <c r="Y97" s="96"/>
      <c r="Z97" s="97"/>
    </row>
    <row r="98" spans="6:26" x14ac:dyDescent="0.25">
      <c r="F98" s="438"/>
      <c r="G98" s="104"/>
      <c r="H98" s="104"/>
      <c r="I98" s="104"/>
      <c r="J98" s="104"/>
      <c r="K98" s="104"/>
      <c r="L98" s="140"/>
      <c r="M98" s="101"/>
      <c r="N98" s="127"/>
      <c r="O98" s="95"/>
      <c r="P98" s="98"/>
      <c r="Q98" s="95"/>
      <c r="R98" s="100"/>
      <c r="S98" s="95"/>
      <c r="T98" s="95"/>
      <c r="U98" s="96"/>
      <c r="V98" s="96"/>
      <c r="W98" s="96"/>
      <c r="X98" s="96"/>
      <c r="Y98" s="96"/>
      <c r="Z98" s="97"/>
    </row>
    <row r="99" spans="6:26" x14ac:dyDescent="0.25">
      <c r="F99" s="438"/>
      <c r="G99" s="104"/>
      <c r="H99" s="104"/>
      <c r="I99" s="104"/>
      <c r="J99" s="104"/>
      <c r="K99" s="104"/>
      <c r="L99" s="140"/>
      <c r="M99" s="101"/>
      <c r="N99" s="127"/>
      <c r="O99" s="95"/>
      <c r="P99" s="98"/>
      <c r="Q99" s="95"/>
      <c r="R99" s="100"/>
      <c r="S99" s="95"/>
      <c r="T99" s="95"/>
      <c r="U99" s="96"/>
      <c r="V99" s="96"/>
      <c r="W99" s="96"/>
      <c r="X99" s="96"/>
      <c r="Y99" s="96"/>
      <c r="Z99" s="97"/>
    </row>
    <row r="100" spans="6:26" x14ac:dyDescent="0.25">
      <c r="F100" s="438"/>
      <c r="G100" s="104"/>
      <c r="H100" s="104"/>
      <c r="I100" s="104"/>
      <c r="J100" s="104"/>
      <c r="K100" s="104"/>
      <c r="L100" s="140"/>
      <c r="M100" s="101"/>
      <c r="N100" s="127"/>
      <c r="O100" s="95"/>
      <c r="P100" s="98"/>
      <c r="Q100" s="95"/>
      <c r="R100" s="100"/>
      <c r="S100" s="95"/>
      <c r="T100" s="95"/>
      <c r="U100" s="96"/>
      <c r="V100" s="96"/>
      <c r="W100" s="96"/>
      <c r="X100" s="96"/>
      <c r="Y100" s="96"/>
      <c r="Z100" s="97"/>
    </row>
    <row r="101" spans="6:26" x14ac:dyDescent="0.25">
      <c r="F101" s="438"/>
      <c r="G101" s="104"/>
      <c r="H101" s="104"/>
      <c r="I101" s="104"/>
      <c r="J101" s="104"/>
      <c r="K101" s="104"/>
      <c r="L101" s="140"/>
      <c r="M101" s="101"/>
      <c r="N101" s="127"/>
      <c r="O101" s="95"/>
      <c r="P101" s="98"/>
      <c r="Q101" s="95"/>
      <c r="R101" s="100"/>
      <c r="S101" s="95"/>
      <c r="T101" s="95"/>
      <c r="U101" s="96"/>
      <c r="V101" s="96"/>
      <c r="W101" s="96"/>
      <c r="X101" s="96"/>
      <c r="Y101" s="96"/>
      <c r="Z101" s="97"/>
    </row>
    <row r="102" spans="6:26" x14ac:dyDescent="0.25">
      <c r="F102" s="438"/>
      <c r="G102" s="104"/>
      <c r="H102" s="104"/>
      <c r="I102" s="104"/>
      <c r="J102" s="104"/>
      <c r="K102" s="104"/>
      <c r="L102" s="140"/>
      <c r="M102" s="101"/>
      <c r="N102" s="127"/>
      <c r="O102" s="95"/>
      <c r="P102" s="98"/>
      <c r="Q102" s="95"/>
      <c r="R102" s="100"/>
      <c r="S102" s="95"/>
      <c r="T102" s="95"/>
      <c r="U102" s="96"/>
      <c r="V102" s="96"/>
      <c r="W102" s="96"/>
      <c r="X102" s="96"/>
      <c r="Y102" s="96"/>
      <c r="Z102" s="97"/>
    </row>
    <row r="103" spans="6:26" x14ac:dyDescent="0.25">
      <c r="F103" s="438"/>
      <c r="G103" s="104"/>
      <c r="H103" s="104"/>
      <c r="I103" s="104"/>
      <c r="J103" s="104"/>
      <c r="K103" s="104"/>
      <c r="L103" s="140"/>
      <c r="M103" s="101"/>
      <c r="N103" s="127"/>
      <c r="O103" s="95"/>
      <c r="P103" s="98"/>
      <c r="Q103" s="95"/>
      <c r="R103" s="100"/>
      <c r="S103" s="95"/>
      <c r="T103" s="95"/>
      <c r="U103" s="96"/>
      <c r="V103" s="96"/>
      <c r="W103" s="96"/>
      <c r="X103" s="96"/>
      <c r="Y103" s="96"/>
      <c r="Z103" s="97"/>
    </row>
    <row r="104" spans="6:26" x14ac:dyDescent="0.25">
      <c r="F104" s="438"/>
      <c r="G104" s="104"/>
      <c r="H104" s="104"/>
      <c r="I104" s="104"/>
      <c r="J104" s="104"/>
      <c r="K104" s="104"/>
      <c r="L104" s="140"/>
      <c r="M104" s="101"/>
      <c r="N104" s="127"/>
      <c r="O104" s="95"/>
      <c r="P104" s="98"/>
      <c r="Q104" s="95"/>
      <c r="R104" s="100"/>
      <c r="S104" s="95"/>
      <c r="T104" s="95"/>
      <c r="U104" s="96"/>
      <c r="V104" s="96"/>
      <c r="W104" s="96"/>
      <c r="X104" s="96"/>
      <c r="Y104" s="96"/>
      <c r="Z104" s="97"/>
    </row>
    <row r="105" spans="6:26" x14ac:dyDescent="0.25">
      <c r="F105" s="438"/>
      <c r="G105" s="104"/>
      <c r="H105" s="104"/>
      <c r="I105" s="104"/>
      <c r="J105" s="104"/>
      <c r="K105" s="104"/>
      <c r="L105" s="140"/>
      <c r="M105" s="101"/>
      <c r="N105" s="127"/>
      <c r="O105" s="95"/>
      <c r="P105" s="98"/>
      <c r="Q105" s="95"/>
      <c r="R105" s="100"/>
      <c r="S105" s="95"/>
      <c r="T105" s="95"/>
      <c r="U105" s="96"/>
      <c r="V105" s="96"/>
      <c r="W105" s="96"/>
      <c r="X105" s="96"/>
      <c r="Y105" s="96"/>
      <c r="Z105" s="97"/>
    </row>
    <row r="106" spans="6:26" x14ac:dyDescent="0.25">
      <c r="F106" s="438"/>
      <c r="G106" s="104"/>
      <c r="H106" s="104"/>
      <c r="I106" s="104"/>
      <c r="J106" s="104"/>
      <c r="K106" s="104"/>
      <c r="L106" s="140"/>
      <c r="M106" s="101"/>
      <c r="N106" s="127"/>
      <c r="O106" s="95"/>
      <c r="P106" s="98"/>
      <c r="Q106" s="95"/>
      <c r="R106" s="100"/>
      <c r="S106" s="95"/>
      <c r="T106" s="95"/>
      <c r="U106" s="96"/>
      <c r="V106" s="96"/>
      <c r="W106" s="96"/>
      <c r="X106" s="96"/>
      <c r="Y106" s="96"/>
      <c r="Z106" s="97"/>
    </row>
    <row r="107" spans="6:26" x14ac:dyDescent="0.25">
      <c r="F107" s="438"/>
      <c r="G107" s="104"/>
      <c r="H107" s="104"/>
      <c r="I107" s="104"/>
      <c r="J107" s="104"/>
      <c r="K107" s="104"/>
      <c r="L107" s="140"/>
      <c r="M107" s="101"/>
      <c r="N107" s="127"/>
      <c r="O107" s="95"/>
      <c r="P107" s="98"/>
      <c r="Q107" s="95"/>
      <c r="R107" s="100"/>
      <c r="S107" s="95"/>
      <c r="T107" s="95"/>
      <c r="U107" s="96"/>
      <c r="V107" s="96"/>
      <c r="W107" s="96"/>
      <c r="X107" s="96"/>
      <c r="Y107" s="96"/>
      <c r="Z107" s="97"/>
    </row>
    <row r="108" spans="6:26" x14ac:dyDescent="0.25">
      <c r="F108" s="438"/>
      <c r="G108" s="104"/>
      <c r="H108" s="104"/>
      <c r="I108" s="104"/>
      <c r="J108" s="104"/>
      <c r="K108" s="104"/>
      <c r="L108" s="140"/>
      <c r="M108" s="101"/>
      <c r="N108" s="127"/>
      <c r="O108" s="95"/>
      <c r="P108" s="98"/>
      <c r="Q108" s="95"/>
      <c r="R108" s="100"/>
      <c r="S108" s="95"/>
      <c r="T108" s="95"/>
      <c r="U108" s="96"/>
      <c r="V108" s="96"/>
      <c r="W108" s="96"/>
      <c r="X108" s="96"/>
      <c r="Y108" s="96"/>
      <c r="Z108" s="97"/>
    </row>
    <row r="109" spans="6:26" x14ac:dyDescent="0.25">
      <c r="F109" s="438"/>
      <c r="G109" s="104"/>
      <c r="H109" s="104"/>
      <c r="I109" s="104"/>
      <c r="J109" s="104"/>
      <c r="K109" s="104"/>
      <c r="L109" s="140"/>
      <c r="M109" s="101"/>
      <c r="N109" s="127"/>
      <c r="O109" s="95"/>
      <c r="P109" s="98"/>
      <c r="Q109" s="95"/>
      <c r="R109" s="100"/>
      <c r="S109" s="95"/>
      <c r="T109" s="95"/>
      <c r="U109" s="96"/>
      <c r="V109" s="96"/>
      <c r="W109" s="96"/>
      <c r="X109" s="96"/>
      <c r="Y109" s="96"/>
      <c r="Z109" s="97"/>
    </row>
    <row r="110" spans="6:26" x14ac:dyDescent="0.25">
      <c r="F110" s="438"/>
      <c r="G110" s="104"/>
      <c r="H110" s="104"/>
      <c r="I110" s="104"/>
      <c r="J110" s="104"/>
      <c r="K110" s="104"/>
      <c r="L110" s="140"/>
      <c r="M110" s="101"/>
      <c r="N110" s="127"/>
      <c r="O110" s="95"/>
      <c r="P110" s="98"/>
      <c r="Q110" s="95"/>
      <c r="R110" s="100"/>
      <c r="S110" s="95"/>
      <c r="T110" s="95"/>
      <c r="U110" s="96"/>
      <c r="V110" s="96"/>
      <c r="W110" s="96"/>
      <c r="X110" s="96"/>
      <c r="Y110" s="96"/>
      <c r="Z110" s="97"/>
    </row>
    <row r="111" spans="6:26" x14ac:dyDescent="0.25">
      <c r="F111" s="438"/>
      <c r="G111" s="104"/>
      <c r="H111" s="104"/>
      <c r="I111" s="104"/>
      <c r="J111" s="104"/>
      <c r="K111" s="104"/>
      <c r="L111" s="140"/>
      <c r="M111" s="101"/>
      <c r="N111" s="127"/>
      <c r="O111" s="95"/>
      <c r="P111" s="98"/>
      <c r="Q111" s="95"/>
      <c r="R111" s="100"/>
      <c r="S111" s="95"/>
      <c r="T111" s="95"/>
      <c r="U111" s="96"/>
      <c r="V111" s="96"/>
      <c r="W111" s="96"/>
      <c r="X111" s="96"/>
      <c r="Y111" s="96"/>
      <c r="Z111" s="97"/>
    </row>
    <row r="112" spans="6:26" x14ac:dyDescent="0.25">
      <c r="F112" s="438"/>
      <c r="G112" s="104"/>
      <c r="H112" s="104"/>
      <c r="I112" s="104"/>
      <c r="J112" s="104"/>
      <c r="K112" s="104"/>
      <c r="L112" s="140"/>
      <c r="M112" s="101"/>
      <c r="N112" s="127"/>
      <c r="O112" s="95"/>
      <c r="P112" s="98"/>
      <c r="Q112" s="95"/>
      <c r="R112" s="100"/>
      <c r="S112" s="95"/>
      <c r="T112" s="95"/>
      <c r="U112" s="96"/>
      <c r="V112" s="96"/>
      <c r="W112" s="96"/>
      <c r="X112" s="96"/>
      <c r="Y112" s="96"/>
      <c r="Z112" s="97"/>
    </row>
    <row r="113" spans="6:26" x14ac:dyDescent="0.25">
      <c r="F113" s="438"/>
      <c r="G113" s="104"/>
      <c r="H113" s="104"/>
      <c r="I113" s="104"/>
      <c r="J113" s="104"/>
      <c r="K113" s="104"/>
      <c r="L113" s="140"/>
      <c r="M113" s="101"/>
      <c r="N113" s="127"/>
      <c r="O113" s="95"/>
      <c r="P113" s="98"/>
      <c r="Q113" s="95"/>
      <c r="R113" s="100"/>
      <c r="S113" s="95"/>
      <c r="T113" s="95"/>
      <c r="U113" s="96"/>
      <c r="V113" s="96"/>
      <c r="W113" s="96"/>
      <c r="X113" s="96"/>
      <c r="Y113" s="96"/>
      <c r="Z113" s="97"/>
    </row>
    <row r="114" spans="6:26" x14ac:dyDescent="0.25">
      <c r="F114" s="438"/>
      <c r="G114" s="104"/>
      <c r="H114" s="104"/>
      <c r="I114" s="104"/>
      <c r="J114" s="104"/>
      <c r="K114" s="104"/>
      <c r="L114" s="140"/>
      <c r="M114" s="101"/>
      <c r="N114" s="127"/>
      <c r="O114" s="95"/>
      <c r="P114" s="98"/>
      <c r="Q114" s="95"/>
      <c r="R114" s="100"/>
      <c r="S114" s="95"/>
      <c r="T114" s="95"/>
      <c r="U114" s="96"/>
      <c r="V114" s="96"/>
      <c r="W114" s="96"/>
      <c r="X114" s="96"/>
      <c r="Y114" s="96"/>
      <c r="Z114" s="97"/>
    </row>
    <row r="115" spans="6:26" x14ac:dyDescent="0.25">
      <c r="F115" s="438"/>
      <c r="G115" s="104"/>
      <c r="H115" s="104"/>
      <c r="I115" s="104"/>
      <c r="J115" s="104"/>
      <c r="K115" s="104"/>
      <c r="L115" s="140"/>
      <c r="M115" s="101"/>
      <c r="N115" s="127"/>
      <c r="O115" s="95"/>
      <c r="P115" s="98"/>
      <c r="Q115" s="95"/>
      <c r="R115" s="100"/>
      <c r="S115" s="95"/>
      <c r="T115" s="95"/>
      <c r="U115" s="96"/>
      <c r="V115" s="96"/>
      <c r="W115" s="96"/>
      <c r="X115" s="96"/>
      <c r="Y115" s="96"/>
      <c r="Z115" s="97"/>
    </row>
    <row r="116" spans="6:26" x14ac:dyDescent="0.25">
      <c r="F116" s="438"/>
      <c r="G116" s="104"/>
      <c r="H116" s="104"/>
      <c r="I116" s="104"/>
      <c r="J116" s="104"/>
      <c r="K116" s="104"/>
      <c r="L116" s="140"/>
      <c r="M116" s="101"/>
      <c r="N116" s="127"/>
      <c r="O116" s="95"/>
      <c r="P116" s="98"/>
      <c r="Q116" s="95"/>
      <c r="R116" s="100"/>
      <c r="S116" s="95"/>
      <c r="T116" s="95"/>
      <c r="U116" s="96"/>
      <c r="V116" s="96"/>
      <c r="W116" s="96"/>
      <c r="X116" s="96"/>
      <c r="Y116" s="96"/>
      <c r="Z116" s="97"/>
    </row>
    <row r="117" spans="6:26" x14ac:dyDescent="0.25">
      <c r="F117" s="438"/>
      <c r="G117" s="104"/>
      <c r="H117" s="104"/>
      <c r="I117" s="104"/>
      <c r="J117" s="104"/>
      <c r="K117" s="104"/>
      <c r="L117" s="140"/>
      <c r="M117" s="101"/>
      <c r="N117" s="127"/>
      <c r="O117" s="95"/>
      <c r="P117" s="98"/>
      <c r="Q117" s="95"/>
      <c r="R117" s="100"/>
      <c r="S117" s="95"/>
      <c r="T117" s="95"/>
      <c r="U117" s="96"/>
      <c r="V117" s="96"/>
      <c r="W117" s="96"/>
      <c r="X117" s="96"/>
      <c r="Y117" s="96"/>
      <c r="Z117" s="97"/>
    </row>
    <row r="118" spans="6:26" x14ac:dyDescent="0.25">
      <c r="F118" s="438"/>
      <c r="G118" s="104"/>
      <c r="H118" s="104"/>
      <c r="I118" s="104"/>
      <c r="J118" s="104"/>
      <c r="K118" s="104"/>
      <c r="L118" s="140"/>
      <c r="M118" s="101"/>
      <c r="N118" s="127"/>
      <c r="O118" s="95"/>
      <c r="P118" s="98"/>
      <c r="Q118" s="95"/>
      <c r="R118" s="100"/>
      <c r="S118" s="95"/>
      <c r="T118" s="95"/>
      <c r="U118" s="96"/>
      <c r="V118" s="96"/>
      <c r="W118" s="96"/>
      <c r="X118" s="96"/>
      <c r="Y118" s="96"/>
      <c r="Z118" s="97"/>
    </row>
    <row r="119" spans="6:26" x14ac:dyDescent="0.25">
      <c r="F119" s="438"/>
      <c r="G119" s="104"/>
      <c r="H119" s="104"/>
      <c r="I119" s="104"/>
      <c r="J119" s="104"/>
      <c r="K119" s="104"/>
      <c r="L119" s="140"/>
      <c r="M119" s="101"/>
      <c r="N119" s="127"/>
      <c r="O119" s="95"/>
      <c r="P119" s="98"/>
      <c r="Q119" s="95"/>
      <c r="R119" s="100"/>
      <c r="S119" s="95"/>
      <c r="T119" s="95"/>
      <c r="U119" s="96"/>
      <c r="V119" s="96"/>
      <c r="W119" s="96"/>
      <c r="X119" s="96"/>
      <c r="Y119" s="96"/>
      <c r="Z119" s="97"/>
    </row>
    <row r="120" spans="6:26" x14ac:dyDescent="0.25">
      <c r="F120" s="438"/>
      <c r="G120" s="104"/>
      <c r="H120" s="104"/>
      <c r="I120" s="104"/>
      <c r="J120" s="104"/>
      <c r="K120" s="104"/>
      <c r="L120" s="140"/>
      <c r="M120" s="101"/>
      <c r="N120" s="127"/>
      <c r="O120" s="95"/>
      <c r="P120" s="98"/>
      <c r="Q120" s="95"/>
      <c r="R120" s="100"/>
      <c r="S120" s="95"/>
      <c r="T120" s="95"/>
      <c r="U120" s="96"/>
      <c r="V120" s="96"/>
      <c r="W120" s="96"/>
      <c r="X120" s="96"/>
      <c r="Y120" s="96"/>
      <c r="Z120" s="97"/>
    </row>
    <row r="121" spans="6:26" x14ac:dyDescent="0.25">
      <c r="F121" s="438"/>
      <c r="G121" s="104"/>
      <c r="H121" s="104"/>
      <c r="I121" s="104"/>
      <c r="J121" s="104"/>
      <c r="K121" s="104"/>
      <c r="L121" s="140"/>
      <c r="M121" s="101"/>
      <c r="N121" s="127"/>
      <c r="O121" s="95"/>
      <c r="P121" s="98"/>
      <c r="Q121" s="95"/>
      <c r="R121" s="100"/>
      <c r="S121" s="95"/>
      <c r="T121" s="95"/>
      <c r="U121" s="96"/>
      <c r="V121" s="96"/>
      <c r="W121" s="96"/>
      <c r="X121" s="96"/>
      <c r="Y121" s="96"/>
      <c r="Z121" s="97"/>
    </row>
    <row r="122" spans="6:26" x14ac:dyDescent="0.25">
      <c r="F122" s="438"/>
      <c r="G122" s="104"/>
      <c r="H122" s="104"/>
      <c r="I122" s="104"/>
      <c r="J122" s="104"/>
      <c r="K122" s="104"/>
      <c r="L122" s="140"/>
      <c r="M122" s="101"/>
      <c r="N122" s="127"/>
      <c r="O122" s="95"/>
      <c r="P122" s="98"/>
      <c r="Q122" s="95"/>
      <c r="R122" s="100"/>
      <c r="S122" s="95"/>
      <c r="T122" s="95"/>
      <c r="U122" s="96"/>
      <c r="V122" s="96"/>
      <c r="W122" s="96"/>
      <c r="X122" s="96"/>
      <c r="Y122" s="96"/>
      <c r="Z122" s="97"/>
    </row>
    <row r="123" spans="6:26" x14ac:dyDescent="0.25">
      <c r="F123" s="438"/>
      <c r="G123" s="104"/>
      <c r="H123" s="104"/>
      <c r="I123" s="104"/>
      <c r="J123" s="104"/>
      <c r="K123" s="104"/>
      <c r="L123" s="140"/>
      <c r="M123" s="101"/>
      <c r="N123" s="127"/>
      <c r="O123" s="95"/>
      <c r="P123" s="98"/>
      <c r="Q123" s="95"/>
      <c r="R123" s="100"/>
      <c r="S123" s="95"/>
      <c r="T123" s="95"/>
      <c r="U123" s="96"/>
      <c r="V123" s="96"/>
      <c r="W123" s="96"/>
      <c r="X123" s="96"/>
      <c r="Y123" s="96"/>
      <c r="Z123" s="97"/>
    </row>
    <row r="124" spans="6:26" x14ac:dyDescent="0.25">
      <c r="F124" s="438"/>
      <c r="G124" s="104"/>
      <c r="H124" s="104"/>
      <c r="I124" s="104"/>
      <c r="J124" s="104"/>
      <c r="K124" s="104"/>
      <c r="L124" s="140"/>
      <c r="M124" s="101"/>
      <c r="N124" s="127"/>
      <c r="O124" s="95"/>
      <c r="P124" s="98"/>
      <c r="Q124" s="95"/>
      <c r="R124" s="100"/>
      <c r="S124" s="95"/>
      <c r="T124" s="95"/>
      <c r="U124" s="96"/>
      <c r="V124" s="96"/>
      <c r="W124" s="96"/>
      <c r="X124" s="96"/>
      <c r="Y124" s="96"/>
      <c r="Z124" s="97"/>
    </row>
    <row r="125" spans="6:26" x14ac:dyDescent="0.25">
      <c r="F125" s="438"/>
      <c r="G125" s="104"/>
      <c r="H125" s="104"/>
      <c r="I125" s="104"/>
      <c r="J125" s="104"/>
      <c r="K125" s="104"/>
      <c r="L125" s="140"/>
      <c r="M125" s="101"/>
      <c r="N125" s="127"/>
      <c r="O125" s="95"/>
      <c r="P125" s="98"/>
      <c r="Q125" s="95"/>
      <c r="R125" s="100"/>
      <c r="S125" s="95"/>
      <c r="T125" s="95"/>
      <c r="U125" s="96"/>
      <c r="V125" s="96"/>
      <c r="W125" s="96"/>
      <c r="X125" s="96"/>
      <c r="Y125" s="96"/>
      <c r="Z125" s="97"/>
    </row>
    <row r="126" spans="6:26" x14ac:dyDescent="0.25">
      <c r="F126" s="438"/>
      <c r="G126" s="104"/>
      <c r="H126" s="104"/>
      <c r="I126" s="104"/>
      <c r="J126" s="104"/>
      <c r="K126" s="104"/>
      <c r="L126" s="140"/>
      <c r="M126" s="101"/>
      <c r="N126" s="127"/>
      <c r="O126" s="95"/>
      <c r="P126" s="98"/>
      <c r="Q126" s="95"/>
      <c r="R126" s="100"/>
      <c r="S126" s="95"/>
      <c r="T126" s="95"/>
      <c r="U126" s="96"/>
      <c r="V126" s="96"/>
      <c r="W126" s="96"/>
      <c r="X126" s="96"/>
      <c r="Y126" s="96"/>
      <c r="Z126" s="97"/>
    </row>
    <row r="127" spans="6:26" x14ac:dyDescent="0.25">
      <c r="F127" s="438"/>
      <c r="G127" s="104"/>
      <c r="H127" s="104"/>
      <c r="I127" s="104"/>
      <c r="J127" s="104"/>
      <c r="K127" s="104"/>
      <c r="L127" s="140"/>
      <c r="M127" s="101"/>
      <c r="N127" s="127"/>
      <c r="O127" s="95"/>
      <c r="P127" s="98"/>
      <c r="Q127" s="95"/>
      <c r="R127" s="100"/>
      <c r="S127" s="95"/>
      <c r="T127" s="95"/>
      <c r="U127" s="96"/>
      <c r="V127" s="96"/>
      <c r="W127" s="96"/>
      <c r="X127" s="96"/>
      <c r="Y127" s="96"/>
      <c r="Z127" s="97"/>
    </row>
    <row r="128" spans="6:26" x14ac:dyDescent="0.25">
      <c r="F128" s="438"/>
      <c r="G128" s="104"/>
      <c r="H128" s="104"/>
      <c r="I128" s="104"/>
      <c r="J128" s="104"/>
      <c r="K128" s="104"/>
      <c r="L128" s="140"/>
      <c r="M128" s="101"/>
      <c r="N128" s="127"/>
      <c r="O128" s="95"/>
      <c r="P128" s="98"/>
      <c r="Q128" s="95"/>
      <c r="R128" s="100"/>
      <c r="S128" s="95"/>
      <c r="T128" s="95"/>
      <c r="U128" s="96"/>
      <c r="V128" s="96"/>
      <c r="W128" s="96"/>
      <c r="X128" s="96"/>
      <c r="Y128" s="96"/>
      <c r="Z128" s="97"/>
    </row>
    <row r="129" spans="6:26" x14ac:dyDescent="0.25">
      <c r="F129" s="438"/>
      <c r="G129" s="104"/>
      <c r="H129" s="104"/>
      <c r="I129" s="104"/>
      <c r="J129" s="104"/>
      <c r="K129" s="104"/>
      <c r="L129" s="140"/>
      <c r="M129" s="101"/>
      <c r="N129" s="127"/>
      <c r="O129" s="95"/>
      <c r="P129" s="98"/>
      <c r="Q129" s="95"/>
      <c r="R129" s="100"/>
      <c r="S129" s="95"/>
      <c r="T129" s="95"/>
      <c r="U129" s="96"/>
      <c r="V129" s="96"/>
      <c r="W129" s="96"/>
      <c r="X129" s="96"/>
      <c r="Y129" s="96"/>
      <c r="Z129" s="97"/>
    </row>
    <row r="130" spans="6:26" x14ac:dyDescent="0.25">
      <c r="F130" s="438"/>
      <c r="G130" s="104"/>
      <c r="H130" s="104"/>
      <c r="I130" s="104"/>
      <c r="J130" s="104"/>
      <c r="K130" s="104"/>
      <c r="L130" s="140"/>
      <c r="M130" s="101"/>
      <c r="N130" s="127"/>
      <c r="O130" s="95"/>
      <c r="P130" s="98"/>
      <c r="Q130" s="95"/>
      <c r="R130" s="100"/>
      <c r="S130" s="95"/>
      <c r="T130" s="95"/>
      <c r="U130" s="96"/>
      <c r="V130" s="96"/>
      <c r="W130" s="96"/>
      <c r="X130" s="96"/>
      <c r="Y130" s="96"/>
      <c r="Z130" s="97"/>
    </row>
    <row r="131" spans="6:26" x14ac:dyDescent="0.25">
      <c r="F131" s="438"/>
      <c r="G131" s="104"/>
      <c r="H131" s="104"/>
      <c r="I131" s="104"/>
      <c r="J131" s="104"/>
      <c r="K131" s="104"/>
      <c r="L131" s="140"/>
      <c r="M131" s="101"/>
      <c r="N131" s="127"/>
      <c r="O131" s="95"/>
      <c r="P131" s="98"/>
      <c r="Q131" s="95"/>
      <c r="R131" s="100"/>
      <c r="S131" s="95"/>
      <c r="T131" s="95"/>
      <c r="U131" s="96"/>
      <c r="V131" s="96"/>
      <c r="W131" s="96"/>
      <c r="X131" s="96"/>
      <c r="Y131" s="96"/>
      <c r="Z131" s="97"/>
    </row>
    <row r="132" spans="6:26" x14ac:dyDescent="0.25">
      <c r="F132" s="438"/>
      <c r="G132" s="104"/>
      <c r="H132" s="104"/>
      <c r="I132" s="104"/>
      <c r="J132" s="104"/>
      <c r="K132" s="104"/>
      <c r="L132" s="140"/>
      <c r="M132" s="101"/>
      <c r="N132" s="127"/>
      <c r="O132" s="95"/>
      <c r="P132" s="98"/>
      <c r="Q132" s="95"/>
      <c r="R132" s="100"/>
      <c r="S132" s="95"/>
      <c r="T132" s="95"/>
      <c r="U132" s="96"/>
      <c r="V132" s="96"/>
      <c r="W132" s="96"/>
      <c r="X132" s="96"/>
      <c r="Y132" s="96"/>
      <c r="Z132" s="97"/>
    </row>
    <row r="133" spans="6:26" x14ac:dyDescent="0.25">
      <c r="F133" s="438"/>
      <c r="G133" s="104"/>
      <c r="H133" s="104"/>
      <c r="I133" s="104"/>
      <c r="J133" s="104"/>
      <c r="K133" s="104"/>
      <c r="L133" s="140"/>
      <c r="M133" s="101"/>
      <c r="N133" s="127"/>
      <c r="O133" s="95"/>
      <c r="P133" s="98"/>
      <c r="Q133" s="95"/>
      <c r="R133" s="100"/>
      <c r="S133" s="95"/>
      <c r="T133" s="95"/>
      <c r="U133" s="96"/>
      <c r="V133" s="96"/>
      <c r="W133" s="96"/>
      <c r="X133" s="96"/>
      <c r="Y133" s="96"/>
      <c r="Z133" s="97"/>
    </row>
    <row r="134" spans="6:26" x14ac:dyDescent="0.25">
      <c r="F134" s="438"/>
      <c r="G134" s="104"/>
      <c r="H134" s="104"/>
      <c r="I134" s="104"/>
      <c r="J134" s="104"/>
      <c r="K134" s="104"/>
      <c r="L134" s="140"/>
      <c r="M134" s="101"/>
      <c r="N134" s="127"/>
      <c r="O134" s="95"/>
      <c r="P134" s="98"/>
      <c r="Q134" s="95"/>
      <c r="R134" s="100"/>
      <c r="S134" s="95"/>
      <c r="T134" s="95"/>
      <c r="U134" s="96"/>
      <c r="V134" s="96"/>
      <c r="W134" s="96"/>
      <c r="X134" s="96"/>
      <c r="Y134" s="96"/>
      <c r="Z134" s="97"/>
    </row>
    <row r="135" spans="6:26" x14ac:dyDescent="0.25">
      <c r="F135" s="438"/>
      <c r="G135" s="104"/>
      <c r="H135" s="104"/>
      <c r="I135" s="104"/>
      <c r="J135" s="104"/>
      <c r="K135" s="104"/>
      <c r="L135" s="140"/>
      <c r="M135" s="101"/>
      <c r="N135" s="127"/>
      <c r="O135" s="95"/>
      <c r="P135" s="98"/>
      <c r="Q135" s="95"/>
      <c r="R135" s="100"/>
      <c r="S135" s="95"/>
      <c r="T135" s="95"/>
      <c r="U135" s="96"/>
      <c r="V135" s="96"/>
      <c r="W135" s="96"/>
      <c r="X135" s="96"/>
      <c r="Y135" s="96"/>
      <c r="Z135" s="97"/>
    </row>
    <row r="136" spans="6:26" x14ac:dyDescent="0.25">
      <c r="F136" s="438"/>
      <c r="G136" s="104"/>
      <c r="H136" s="104"/>
      <c r="I136" s="104"/>
      <c r="J136" s="104"/>
      <c r="K136" s="104"/>
      <c r="L136" s="140"/>
      <c r="M136" s="101"/>
      <c r="N136" s="127"/>
      <c r="O136" s="95"/>
      <c r="P136" s="98"/>
      <c r="Q136" s="95"/>
      <c r="R136" s="100"/>
      <c r="S136" s="95"/>
      <c r="T136" s="95"/>
      <c r="U136" s="96"/>
      <c r="V136" s="96"/>
      <c r="W136" s="96"/>
      <c r="X136" s="96"/>
      <c r="Y136" s="96"/>
      <c r="Z136" s="97"/>
    </row>
    <row r="137" spans="6:26" x14ac:dyDescent="0.25">
      <c r="F137" s="438"/>
      <c r="G137" s="104"/>
      <c r="H137" s="104"/>
      <c r="I137" s="104"/>
      <c r="J137" s="104"/>
      <c r="K137" s="104"/>
      <c r="L137" s="140"/>
      <c r="M137" s="101"/>
      <c r="N137" s="127"/>
      <c r="O137" s="95"/>
      <c r="P137" s="98"/>
      <c r="Q137" s="95"/>
      <c r="R137" s="100"/>
      <c r="S137" s="95"/>
      <c r="T137" s="95"/>
      <c r="U137" s="96"/>
      <c r="V137" s="96"/>
      <c r="W137" s="96"/>
      <c r="X137" s="96"/>
      <c r="Y137" s="96"/>
      <c r="Z137" s="97"/>
    </row>
    <row r="138" spans="6:26" x14ac:dyDescent="0.25">
      <c r="F138" s="438"/>
      <c r="G138" s="104"/>
      <c r="H138" s="104"/>
      <c r="I138" s="104"/>
      <c r="J138" s="104"/>
      <c r="K138" s="104"/>
      <c r="L138" s="140"/>
      <c r="M138" s="101"/>
      <c r="N138" s="127"/>
      <c r="O138" s="95"/>
      <c r="P138" s="98"/>
      <c r="Q138" s="95"/>
      <c r="R138" s="100"/>
      <c r="S138" s="95"/>
      <c r="T138" s="95"/>
      <c r="U138" s="96"/>
      <c r="V138" s="96"/>
      <c r="W138" s="96"/>
      <c r="X138" s="96"/>
      <c r="Y138" s="96"/>
      <c r="Z138" s="97"/>
    </row>
    <row r="139" spans="6:26" x14ac:dyDescent="0.25">
      <c r="F139" s="438"/>
      <c r="G139" s="104"/>
      <c r="H139" s="104"/>
      <c r="I139" s="104"/>
      <c r="J139" s="104"/>
      <c r="K139" s="104"/>
      <c r="L139" s="140"/>
      <c r="M139" s="101"/>
      <c r="N139" s="127"/>
      <c r="O139" s="95"/>
      <c r="P139" s="98"/>
      <c r="Q139" s="95"/>
      <c r="R139" s="100"/>
      <c r="S139" s="95"/>
      <c r="T139" s="95"/>
      <c r="U139" s="96"/>
      <c r="V139" s="96"/>
      <c r="W139" s="96"/>
      <c r="X139" s="96"/>
      <c r="Y139" s="96"/>
      <c r="Z139" s="97"/>
    </row>
    <row r="140" spans="6:26" x14ac:dyDescent="0.25">
      <c r="F140" s="438"/>
      <c r="G140" s="104"/>
      <c r="H140" s="104"/>
      <c r="I140" s="104"/>
      <c r="J140" s="104"/>
      <c r="K140" s="104"/>
      <c r="L140" s="140"/>
      <c r="M140" s="101"/>
      <c r="N140" s="127"/>
      <c r="O140" s="95"/>
      <c r="P140" s="98"/>
      <c r="Q140" s="95"/>
      <c r="R140" s="100"/>
      <c r="S140" s="95"/>
      <c r="T140" s="95"/>
      <c r="U140" s="96"/>
      <c r="V140" s="96"/>
      <c r="W140" s="96"/>
      <c r="X140" s="96"/>
      <c r="Y140" s="96"/>
      <c r="Z140" s="97"/>
    </row>
    <row r="141" spans="6:26" x14ac:dyDescent="0.25">
      <c r="F141" s="438"/>
      <c r="G141" s="104"/>
      <c r="H141" s="104"/>
      <c r="I141" s="104"/>
      <c r="J141" s="104"/>
      <c r="K141" s="104"/>
      <c r="L141" s="140"/>
      <c r="M141" s="101"/>
      <c r="N141" s="127"/>
      <c r="O141" s="95"/>
      <c r="P141" s="98"/>
      <c r="Q141" s="95"/>
      <c r="R141" s="100"/>
      <c r="S141" s="95"/>
      <c r="T141" s="95"/>
      <c r="U141" s="96"/>
      <c r="V141" s="96"/>
      <c r="W141" s="96"/>
      <c r="X141" s="96"/>
      <c r="Y141" s="96"/>
      <c r="Z141" s="97"/>
    </row>
    <row r="142" spans="6:26" x14ac:dyDescent="0.25">
      <c r="F142" s="438"/>
      <c r="G142" s="104"/>
      <c r="H142" s="104"/>
      <c r="I142" s="104"/>
      <c r="J142" s="104"/>
      <c r="K142" s="104"/>
      <c r="L142" s="140"/>
      <c r="M142" s="101"/>
      <c r="N142" s="127"/>
      <c r="O142" s="95"/>
      <c r="P142" s="98"/>
      <c r="Q142" s="95"/>
      <c r="R142" s="100"/>
      <c r="S142" s="95"/>
      <c r="T142" s="95"/>
      <c r="U142" s="96"/>
      <c r="V142" s="96"/>
      <c r="W142" s="96"/>
      <c r="X142" s="96"/>
      <c r="Y142" s="96"/>
      <c r="Z142" s="97"/>
    </row>
    <row r="143" spans="6:26" x14ac:dyDescent="0.25">
      <c r="F143" s="438"/>
      <c r="G143" s="104"/>
      <c r="H143" s="104"/>
      <c r="I143" s="104"/>
      <c r="J143" s="104"/>
      <c r="K143" s="104"/>
      <c r="L143" s="140"/>
      <c r="M143" s="101"/>
      <c r="N143" s="127"/>
      <c r="O143" s="95"/>
      <c r="P143" s="98"/>
      <c r="Q143" s="95"/>
      <c r="R143" s="100"/>
      <c r="S143" s="95"/>
      <c r="T143" s="95"/>
      <c r="U143" s="96"/>
      <c r="V143" s="96"/>
      <c r="W143" s="96"/>
      <c r="X143" s="96"/>
      <c r="Y143" s="96"/>
      <c r="Z143" s="97"/>
    </row>
    <row r="144" spans="6:26" x14ac:dyDescent="0.25">
      <c r="F144" s="438"/>
      <c r="G144" s="104"/>
      <c r="H144" s="104"/>
      <c r="I144" s="104"/>
      <c r="J144" s="104"/>
      <c r="K144" s="104"/>
      <c r="L144" s="140"/>
      <c r="M144" s="101"/>
      <c r="N144" s="127"/>
      <c r="O144" s="95"/>
      <c r="P144" s="98"/>
      <c r="Q144" s="95"/>
      <c r="R144" s="100"/>
      <c r="S144" s="95"/>
      <c r="T144" s="95"/>
      <c r="U144" s="96"/>
      <c r="V144" s="96"/>
      <c r="W144" s="96"/>
      <c r="X144" s="96"/>
      <c r="Y144" s="96"/>
      <c r="Z144" s="97"/>
    </row>
    <row r="145" spans="6:26" x14ac:dyDescent="0.25">
      <c r="F145" s="438"/>
      <c r="G145" s="104"/>
      <c r="H145" s="104"/>
      <c r="I145" s="104"/>
      <c r="J145" s="104"/>
      <c r="K145" s="104"/>
      <c r="L145" s="140"/>
      <c r="M145" s="101"/>
      <c r="N145" s="127"/>
      <c r="O145" s="95"/>
      <c r="P145" s="98"/>
      <c r="Q145" s="95"/>
      <c r="R145" s="100"/>
      <c r="S145" s="95"/>
      <c r="T145" s="95"/>
      <c r="U145" s="96"/>
      <c r="V145" s="96"/>
      <c r="W145" s="96"/>
      <c r="X145" s="96"/>
      <c r="Y145" s="96"/>
      <c r="Z145" s="97"/>
    </row>
    <row r="146" spans="6:26" x14ac:dyDescent="0.25">
      <c r="F146" s="438"/>
      <c r="G146" s="104"/>
      <c r="H146" s="104"/>
      <c r="I146" s="104"/>
      <c r="J146" s="104"/>
      <c r="K146" s="104"/>
      <c r="L146" s="140"/>
      <c r="M146" s="101"/>
      <c r="N146" s="127"/>
      <c r="O146" s="95"/>
      <c r="P146" s="98"/>
      <c r="Q146" s="95"/>
      <c r="R146" s="100"/>
      <c r="S146" s="95"/>
      <c r="T146" s="95"/>
      <c r="U146" s="96"/>
      <c r="V146" s="96"/>
      <c r="W146" s="96"/>
      <c r="X146" s="96"/>
      <c r="Y146" s="96"/>
      <c r="Z146" s="97"/>
    </row>
    <row r="147" spans="6:26" x14ac:dyDescent="0.25">
      <c r="F147" s="438"/>
      <c r="G147" s="104"/>
      <c r="H147" s="104"/>
      <c r="I147" s="104"/>
      <c r="J147" s="104"/>
      <c r="K147" s="104"/>
      <c r="L147" s="140"/>
      <c r="M147" s="101"/>
      <c r="N147" s="127"/>
      <c r="O147" s="95"/>
      <c r="P147" s="98"/>
      <c r="Q147" s="95"/>
      <c r="R147" s="100"/>
      <c r="S147" s="95"/>
      <c r="T147" s="95"/>
      <c r="U147" s="96"/>
      <c r="V147" s="96"/>
      <c r="W147" s="96"/>
      <c r="X147" s="96"/>
      <c r="Y147" s="96"/>
      <c r="Z147" s="97"/>
    </row>
    <row r="148" spans="6:26" x14ac:dyDescent="0.25">
      <c r="F148" s="438"/>
      <c r="G148" s="104"/>
      <c r="H148" s="104"/>
      <c r="I148" s="104"/>
      <c r="J148" s="104"/>
      <c r="K148" s="104"/>
      <c r="L148" s="140"/>
      <c r="M148" s="101"/>
      <c r="N148" s="127"/>
      <c r="O148" s="95"/>
      <c r="P148" s="98"/>
      <c r="Q148" s="95"/>
      <c r="R148" s="100"/>
      <c r="S148" s="95"/>
      <c r="T148" s="95"/>
      <c r="U148" s="96"/>
      <c r="V148" s="96"/>
      <c r="W148" s="96"/>
      <c r="X148" s="96"/>
      <c r="Y148" s="96"/>
      <c r="Z148" s="97"/>
    </row>
    <row r="149" spans="6:26" x14ac:dyDescent="0.25">
      <c r="F149" s="438"/>
      <c r="G149" s="104"/>
      <c r="H149" s="104"/>
      <c r="I149" s="104"/>
      <c r="J149" s="104"/>
      <c r="K149" s="104"/>
      <c r="L149" s="140"/>
      <c r="M149" s="101"/>
      <c r="N149" s="127"/>
      <c r="O149" s="95"/>
      <c r="P149" s="98"/>
      <c r="Q149" s="95"/>
      <c r="R149" s="100"/>
      <c r="S149" s="95"/>
      <c r="T149" s="95"/>
      <c r="U149" s="96"/>
      <c r="V149" s="96"/>
      <c r="W149" s="96"/>
      <c r="X149" s="96"/>
      <c r="Y149" s="96"/>
      <c r="Z149" s="97"/>
    </row>
    <row r="150" spans="6:26" x14ac:dyDescent="0.25">
      <c r="F150" s="438"/>
      <c r="G150" s="104"/>
      <c r="H150" s="104"/>
      <c r="I150" s="104"/>
      <c r="J150" s="104"/>
      <c r="K150" s="104"/>
      <c r="L150" s="140"/>
      <c r="M150" s="101"/>
      <c r="N150" s="127"/>
      <c r="O150" s="95"/>
      <c r="P150" s="98"/>
      <c r="Q150" s="95"/>
      <c r="R150" s="100"/>
      <c r="S150" s="95"/>
      <c r="T150" s="95"/>
      <c r="U150" s="96"/>
      <c r="V150" s="96"/>
      <c r="W150" s="96"/>
      <c r="X150" s="96"/>
      <c r="Y150" s="96"/>
      <c r="Z150" s="97"/>
    </row>
    <row r="151" spans="6:26" x14ac:dyDescent="0.25">
      <c r="F151" s="438"/>
      <c r="G151" s="104"/>
      <c r="H151" s="104"/>
      <c r="I151" s="104"/>
      <c r="J151" s="104"/>
      <c r="K151" s="104"/>
      <c r="L151" s="140"/>
      <c r="M151" s="101"/>
      <c r="N151" s="127"/>
      <c r="O151" s="95"/>
      <c r="P151" s="98"/>
      <c r="Q151" s="95"/>
      <c r="R151" s="100"/>
      <c r="S151" s="95"/>
      <c r="T151" s="95"/>
      <c r="U151" s="96"/>
      <c r="V151" s="96"/>
      <c r="W151" s="96"/>
      <c r="X151" s="96"/>
      <c r="Y151" s="96"/>
      <c r="Z151" s="97"/>
    </row>
    <row r="152" spans="6:26" x14ac:dyDescent="0.25">
      <c r="F152" s="438"/>
      <c r="G152" s="104"/>
      <c r="H152" s="104"/>
      <c r="I152" s="104"/>
      <c r="J152" s="104"/>
      <c r="K152" s="104"/>
      <c r="L152" s="140"/>
      <c r="M152" s="101"/>
      <c r="N152" s="127"/>
      <c r="O152" s="95"/>
      <c r="P152" s="98"/>
      <c r="Q152" s="95"/>
      <c r="R152" s="100"/>
      <c r="S152" s="95"/>
      <c r="T152" s="95"/>
      <c r="U152" s="96"/>
      <c r="V152" s="96"/>
      <c r="W152" s="96"/>
      <c r="X152" s="96"/>
      <c r="Y152" s="96"/>
      <c r="Z152" s="97"/>
    </row>
    <row r="153" spans="6:26" x14ac:dyDescent="0.25">
      <c r="F153" s="438"/>
      <c r="G153" s="104"/>
      <c r="H153" s="104"/>
      <c r="I153" s="104"/>
      <c r="J153" s="104"/>
      <c r="K153" s="104"/>
      <c r="L153" s="140"/>
      <c r="M153" s="101"/>
      <c r="N153" s="127"/>
      <c r="O153" s="95"/>
      <c r="P153" s="98"/>
      <c r="Q153" s="95"/>
      <c r="R153" s="100"/>
      <c r="S153" s="95"/>
      <c r="T153" s="95"/>
      <c r="U153" s="96"/>
      <c r="V153" s="96"/>
      <c r="W153" s="96"/>
      <c r="X153" s="96"/>
      <c r="Y153" s="96"/>
      <c r="Z153" s="97"/>
    </row>
    <row r="154" spans="6:26" x14ac:dyDescent="0.25">
      <c r="F154" s="438"/>
      <c r="G154" s="104"/>
      <c r="H154" s="104"/>
      <c r="I154" s="104"/>
      <c r="J154" s="104"/>
      <c r="K154" s="104"/>
      <c r="L154" s="140"/>
      <c r="M154" s="101"/>
      <c r="N154" s="127"/>
      <c r="O154" s="95"/>
      <c r="P154" s="98"/>
      <c r="Q154" s="95"/>
      <c r="R154" s="100"/>
      <c r="S154" s="95"/>
      <c r="T154" s="95"/>
      <c r="U154" s="96"/>
      <c r="V154" s="96"/>
      <c r="W154" s="96"/>
      <c r="X154" s="96"/>
      <c r="Y154" s="96"/>
      <c r="Z154" s="97"/>
    </row>
    <row r="155" spans="6:26" x14ac:dyDescent="0.25">
      <c r="F155" s="438"/>
      <c r="G155" s="104"/>
      <c r="H155" s="104"/>
      <c r="I155" s="104"/>
      <c r="J155" s="104"/>
      <c r="K155" s="104"/>
      <c r="L155" s="140"/>
      <c r="M155" s="101"/>
      <c r="N155" s="127"/>
      <c r="O155" s="95"/>
      <c r="P155" s="98"/>
      <c r="Q155" s="95"/>
      <c r="R155" s="100"/>
      <c r="S155" s="95"/>
      <c r="T155" s="95"/>
      <c r="U155" s="96"/>
      <c r="V155" s="96"/>
      <c r="W155" s="96"/>
      <c r="X155" s="96"/>
      <c r="Y155" s="96"/>
      <c r="Z155" s="97"/>
    </row>
    <row r="156" spans="6:26" x14ac:dyDescent="0.25">
      <c r="F156" s="438"/>
      <c r="G156" s="104"/>
      <c r="H156" s="104"/>
      <c r="I156" s="104"/>
      <c r="J156" s="104"/>
      <c r="K156" s="104"/>
      <c r="L156" s="140"/>
      <c r="M156" s="101"/>
      <c r="N156" s="127"/>
      <c r="O156" s="95"/>
      <c r="P156" s="98"/>
      <c r="Q156" s="95"/>
      <c r="R156" s="100"/>
      <c r="S156" s="95"/>
      <c r="T156" s="95"/>
      <c r="U156" s="96"/>
      <c r="V156" s="96"/>
      <c r="W156" s="96"/>
      <c r="X156" s="96"/>
      <c r="Y156" s="96"/>
      <c r="Z156" s="97"/>
    </row>
    <row r="157" spans="6:26" x14ac:dyDescent="0.25">
      <c r="F157" s="438"/>
      <c r="G157" s="104"/>
      <c r="H157" s="104"/>
      <c r="I157" s="104"/>
      <c r="J157" s="104"/>
      <c r="K157" s="104"/>
      <c r="L157" s="140"/>
      <c r="M157" s="101"/>
      <c r="N157" s="127"/>
      <c r="O157" s="95"/>
      <c r="P157" s="98"/>
      <c r="Q157" s="95"/>
      <c r="R157" s="100"/>
      <c r="S157" s="95"/>
      <c r="T157" s="95"/>
      <c r="U157" s="96"/>
      <c r="V157" s="96"/>
      <c r="W157" s="96"/>
      <c r="X157" s="96"/>
      <c r="Y157" s="96"/>
      <c r="Z157" s="97"/>
    </row>
    <row r="158" spans="6:26" x14ac:dyDescent="0.25">
      <c r="F158" s="438"/>
      <c r="G158" s="104"/>
      <c r="H158" s="104"/>
      <c r="I158" s="104"/>
      <c r="J158" s="104"/>
      <c r="K158" s="104"/>
      <c r="L158" s="140"/>
      <c r="M158" s="101"/>
      <c r="N158" s="127"/>
      <c r="O158" s="95"/>
      <c r="P158" s="98"/>
      <c r="Q158" s="95"/>
      <c r="R158" s="100"/>
      <c r="S158" s="95"/>
      <c r="T158" s="95"/>
      <c r="U158" s="96"/>
      <c r="V158" s="96"/>
      <c r="W158" s="96"/>
      <c r="X158" s="96"/>
      <c r="Y158" s="96"/>
      <c r="Z158" s="97"/>
    </row>
    <row r="159" spans="6:26" x14ac:dyDescent="0.25">
      <c r="F159" s="438"/>
      <c r="G159" s="104"/>
      <c r="H159" s="104"/>
      <c r="I159" s="104"/>
      <c r="J159" s="104"/>
      <c r="K159" s="104"/>
      <c r="L159" s="140"/>
      <c r="M159" s="101"/>
      <c r="N159" s="127"/>
      <c r="O159" s="95"/>
      <c r="P159" s="98"/>
      <c r="Q159" s="95"/>
      <c r="R159" s="100"/>
      <c r="S159" s="95"/>
      <c r="T159" s="95"/>
      <c r="U159" s="96"/>
      <c r="V159" s="96"/>
      <c r="W159" s="96"/>
      <c r="X159" s="96"/>
      <c r="Y159" s="96"/>
      <c r="Z159" s="97"/>
    </row>
    <row r="160" spans="6:26" x14ac:dyDescent="0.25">
      <c r="F160" s="438"/>
      <c r="G160" s="104"/>
      <c r="H160" s="104"/>
      <c r="I160" s="104"/>
      <c r="J160" s="104"/>
      <c r="K160" s="104"/>
      <c r="L160" s="140"/>
      <c r="M160" s="101"/>
      <c r="N160" s="127"/>
      <c r="O160" s="95"/>
      <c r="P160" s="98"/>
      <c r="Q160" s="95"/>
      <c r="R160" s="100"/>
      <c r="S160" s="95"/>
      <c r="T160" s="95"/>
      <c r="U160" s="96"/>
      <c r="V160" s="96"/>
      <c r="W160" s="96"/>
      <c r="X160" s="96"/>
      <c r="Y160" s="96"/>
      <c r="Z160" s="97"/>
    </row>
    <row r="161" spans="6:26" x14ac:dyDescent="0.25">
      <c r="F161" s="438"/>
      <c r="G161" s="104"/>
      <c r="H161" s="104"/>
      <c r="I161" s="104"/>
      <c r="J161" s="104"/>
      <c r="K161" s="104"/>
      <c r="L161" s="140"/>
      <c r="M161" s="101"/>
      <c r="N161" s="127"/>
      <c r="O161" s="95"/>
      <c r="P161" s="98"/>
      <c r="Q161" s="95"/>
      <c r="R161" s="100"/>
      <c r="S161" s="95"/>
      <c r="T161" s="95"/>
      <c r="U161" s="96"/>
      <c r="V161" s="96"/>
      <c r="W161" s="96"/>
      <c r="X161" s="96"/>
      <c r="Y161" s="96"/>
      <c r="Z161" s="97"/>
    </row>
    <row r="162" spans="6:26" x14ac:dyDescent="0.25">
      <c r="F162" s="438"/>
      <c r="G162" s="104"/>
      <c r="H162" s="104"/>
      <c r="I162" s="104"/>
      <c r="J162" s="104"/>
      <c r="K162" s="104"/>
      <c r="L162" s="140"/>
      <c r="M162" s="101"/>
      <c r="N162" s="127"/>
      <c r="O162" s="95"/>
      <c r="P162" s="98"/>
      <c r="Q162" s="95"/>
      <c r="R162" s="100"/>
      <c r="S162" s="95"/>
      <c r="T162" s="95"/>
      <c r="U162" s="96"/>
      <c r="V162" s="96"/>
      <c r="W162" s="96"/>
      <c r="X162" s="96"/>
      <c r="Y162" s="96"/>
      <c r="Z162" s="97"/>
    </row>
    <row r="163" spans="6:26" x14ac:dyDescent="0.25">
      <c r="F163" s="438"/>
      <c r="G163" s="104"/>
      <c r="H163" s="104"/>
      <c r="I163" s="104"/>
      <c r="J163" s="104"/>
      <c r="K163" s="104"/>
      <c r="L163" s="140"/>
      <c r="M163" s="101"/>
      <c r="N163" s="127"/>
      <c r="O163" s="95"/>
      <c r="P163" s="98"/>
      <c r="Q163" s="95"/>
      <c r="R163" s="100"/>
      <c r="S163" s="95"/>
      <c r="T163" s="95"/>
      <c r="U163" s="96"/>
      <c r="V163" s="96"/>
      <c r="W163" s="96"/>
      <c r="X163" s="96"/>
      <c r="Y163" s="96"/>
      <c r="Z163" s="97"/>
    </row>
    <row r="164" spans="6:26" x14ac:dyDescent="0.25">
      <c r="F164" s="438"/>
      <c r="G164" s="104"/>
      <c r="H164" s="104"/>
      <c r="I164" s="104"/>
      <c r="J164" s="104"/>
      <c r="K164" s="104"/>
      <c r="L164" s="140"/>
      <c r="M164" s="101"/>
      <c r="N164" s="127"/>
      <c r="O164" s="95"/>
      <c r="P164" s="98"/>
      <c r="Q164" s="95"/>
      <c r="R164" s="100"/>
      <c r="S164" s="95"/>
      <c r="T164" s="95"/>
      <c r="U164" s="96"/>
      <c r="V164" s="96"/>
      <c r="W164" s="96"/>
      <c r="X164" s="96"/>
      <c r="Y164" s="96"/>
      <c r="Z164" s="97"/>
    </row>
    <row r="165" spans="6:26" x14ac:dyDescent="0.25">
      <c r="F165" s="438"/>
      <c r="G165" s="104"/>
      <c r="H165" s="104"/>
      <c r="I165" s="104"/>
      <c r="J165" s="104"/>
      <c r="K165" s="104"/>
      <c r="L165" s="140"/>
      <c r="M165" s="101"/>
      <c r="N165" s="127"/>
      <c r="O165" s="95"/>
      <c r="P165" s="98"/>
      <c r="Q165" s="95"/>
      <c r="R165" s="100"/>
      <c r="S165" s="95"/>
      <c r="T165" s="95"/>
      <c r="U165" s="96"/>
      <c r="V165" s="96"/>
      <c r="W165" s="96"/>
      <c r="X165" s="96"/>
      <c r="Y165" s="96"/>
      <c r="Z165" s="97"/>
    </row>
    <row r="166" spans="6:26" x14ac:dyDescent="0.25">
      <c r="F166" s="438"/>
      <c r="G166" s="104"/>
      <c r="H166" s="104"/>
      <c r="I166" s="104"/>
      <c r="J166" s="104"/>
      <c r="K166" s="104"/>
      <c r="L166" s="140"/>
      <c r="M166" s="101"/>
      <c r="N166" s="127"/>
      <c r="O166" s="95"/>
      <c r="P166" s="98"/>
      <c r="Q166" s="95"/>
      <c r="R166" s="100"/>
      <c r="S166" s="95"/>
      <c r="T166" s="95"/>
      <c r="U166" s="96"/>
      <c r="V166" s="96"/>
      <c r="W166" s="96"/>
      <c r="X166" s="96"/>
      <c r="Y166" s="96"/>
      <c r="Z166" s="97"/>
    </row>
    <row r="167" spans="6:26" x14ac:dyDescent="0.25">
      <c r="F167" s="438"/>
      <c r="G167" s="104"/>
      <c r="H167" s="104"/>
      <c r="I167" s="104"/>
      <c r="J167" s="104"/>
      <c r="K167" s="104"/>
      <c r="L167" s="140"/>
      <c r="M167" s="101"/>
      <c r="N167" s="127"/>
      <c r="O167" s="95"/>
      <c r="P167" s="98"/>
      <c r="Q167" s="95"/>
      <c r="R167" s="100"/>
      <c r="S167" s="95"/>
      <c r="T167" s="95"/>
      <c r="U167" s="96"/>
      <c r="V167" s="96"/>
      <c r="W167" s="96"/>
      <c r="X167" s="96"/>
      <c r="Y167" s="96"/>
      <c r="Z167" s="97"/>
    </row>
    <row r="168" spans="6:26" x14ac:dyDescent="0.25">
      <c r="F168" s="438"/>
      <c r="G168" s="104"/>
      <c r="H168" s="104"/>
      <c r="I168" s="104"/>
      <c r="J168" s="104"/>
      <c r="K168" s="104"/>
      <c r="L168" s="140"/>
      <c r="M168" s="101"/>
      <c r="N168" s="127"/>
      <c r="O168" s="95"/>
      <c r="P168" s="98"/>
      <c r="Q168" s="95"/>
      <c r="R168" s="100"/>
      <c r="S168" s="95"/>
      <c r="T168" s="95"/>
      <c r="U168" s="96"/>
      <c r="V168" s="96"/>
      <c r="W168" s="96"/>
      <c r="X168" s="96"/>
      <c r="Y168" s="96"/>
      <c r="Z168" s="97"/>
    </row>
    <row r="169" spans="6:26" x14ac:dyDescent="0.25">
      <c r="F169" s="438"/>
      <c r="G169" s="104"/>
      <c r="H169" s="104"/>
      <c r="I169" s="104"/>
      <c r="J169" s="104"/>
      <c r="K169" s="104"/>
      <c r="L169" s="140"/>
      <c r="M169" s="101"/>
      <c r="N169" s="127"/>
      <c r="O169" s="95"/>
      <c r="P169" s="98"/>
      <c r="Q169" s="95"/>
      <c r="R169" s="100"/>
      <c r="S169" s="95"/>
      <c r="T169" s="95"/>
      <c r="U169" s="96"/>
      <c r="V169" s="96"/>
      <c r="W169" s="96"/>
      <c r="X169" s="96"/>
      <c r="Y169" s="96"/>
      <c r="Z169" s="97"/>
    </row>
    <row r="170" spans="6:26" x14ac:dyDescent="0.25">
      <c r="F170" s="438"/>
      <c r="G170" s="104"/>
      <c r="H170" s="104"/>
      <c r="I170" s="104"/>
      <c r="J170" s="104"/>
      <c r="K170" s="104"/>
      <c r="L170" s="140"/>
      <c r="M170" s="101"/>
      <c r="N170" s="127"/>
      <c r="O170" s="95"/>
      <c r="P170" s="98"/>
      <c r="Q170" s="95"/>
      <c r="R170" s="100"/>
      <c r="S170" s="95"/>
      <c r="T170" s="95"/>
      <c r="U170" s="96"/>
      <c r="V170" s="96"/>
      <c r="W170" s="96"/>
      <c r="X170" s="96"/>
      <c r="Y170" s="96"/>
      <c r="Z170" s="97"/>
    </row>
    <row r="171" spans="6:26" x14ac:dyDescent="0.25">
      <c r="F171" s="438"/>
      <c r="G171" s="104"/>
      <c r="H171" s="104"/>
      <c r="I171" s="104"/>
      <c r="J171" s="104"/>
      <c r="K171" s="104"/>
      <c r="L171" s="140"/>
      <c r="M171" s="101"/>
      <c r="N171" s="127"/>
      <c r="O171" s="95"/>
      <c r="P171" s="98"/>
      <c r="Q171" s="95"/>
      <c r="R171" s="100"/>
      <c r="S171" s="95"/>
      <c r="T171" s="95"/>
      <c r="U171" s="96"/>
      <c r="V171" s="96"/>
      <c r="W171" s="96"/>
      <c r="X171" s="96"/>
      <c r="Y171" s="96"/>
      <c r="Z171" s="97"/>
    </row>
    <row r="172" spans="6:26" x14ac:dyDescent="0.25">
      <c r="F172" s="438"/>
      <c r="G172" s="104"/>
      <c r="H172" s="104"/>
      <c r="I172" s="104"/>
      <c r="J172" s="104"/>
      <c r="K172" s="104"/>
      <c r="L172" s="140"/>
      <c r="M172" s="101"/>
      <c r="N172" s="127"/>
      <c r="O172" s="95"/>
      <c r="P172" s="98"/>
      <c r="Q172" s="95"/>
      <c r="R172" s="100"/>
      <c r="S172" s="95"/>
      <c r="T172" s="95"/>
      <c r="U172" s="96"/>
      <c r="V172" s="96"/>
      <c r="W172" s="96"/>
      <c r="X172" s="96"/>
      <c r="Y172" s="96"/>
      <c r="Z172" s="97"/>
    </row>
    <row r="173" spans="6:26" x14ac:dyDescent="0.25">
      <c r="F173" s="438"/>
      <c r="G173" s="104"/>
      <c r="H173" s="104"/>
      <c r="I173" s="104"/>
      <c r="J173" s="104"/>
      <c r="K173" s="104"/>
      <c r="L173" s="140"/>
      <c r="M173" s="101"/>
      <c r="N173" s="127"/>
      <c r="O173" s="95"/>
      <c r="P173" s="98"/>
      <c r="Q173" s="95"/>
      <c r="R173" s="100"/>
      <c r="S173" s="95"/>
      <c r="T173" s="95"/>
      <c r="U173" s="96"/>
      <c r="V173" s="96"/>
      <c r="W173" s="96"/>
      <c r="X173" s="96"/>
      <c r="Y173" s="96"/>
      <c r="Z173" s="97"/>
    </row>
    <row r="174" spans="6:26" x14ac:dyDescent="0.25">
      <c r="F174" s="438"/>
      <c r="G174" s="104"/>
      <c r="H174" s="104"/>
      <c r="I174" s="104"/>
      <c r="J174" s="104"/>
      <c r="K174" s="104"/>
      <c r="L174" s="140"/>
      <c r="M174" s="101"/>
      <c r="N174" s="127"/>
      <c r="O174" s="95"/>
      <c r="P174" s="98"/>
      <c r="Q174" s="95"/>
      <c r="R174" s="100"/>
      <c r="S174" s="95"/>
      <c r="T174" s="95"/>
      <c r="U174" s="96"/>
      <c r="V174" s="96"/>
      <c r="W174" s="96"/>
      <c r="X174" s="96"/>
      <c r="Y174" s="96"/>
      <c r="Z174" s="97"/>
    </row>
    <row r="175" spans="6:26" x14ac:dyDescent="0.25">
      <c r="F175" s="438"/>
      <c r="G175" s="104"/>
      <c r="H175" s="104"/>
      <c r="I175" s="104"/>
      <c r="J175" s="104"/>
      <c r="K175" s="104"/>
      <c r="L175" s="140"/>
      <c r="M175" s="101"/>
      <c r="N175" s="127"/>
      <c r="O175" s="95"/>
      <c r="P175" s="98"/>
      <c r="Q175" s="95"/>
      <c r="R175" s="100"/>
      <c r="S175" s="95"/>
      <c r="T175" s="95"/>
      <c r="U175" s="96"/>
      <c r="V175" s="96"/>
      <c r="W175" s="96"/>
      <c r="X175" s="96"/>
      <c r="Y175" s="96"/>
      <c r="Z175" s="97"/>
    </row>
    <row r="176" spans="6:26" x14ac:dyDescent="0.25">
      <c r="F176" s="438"/>
      <c r="G176" s="104"/>
      <c r="H176" s="104"/>
      <c r="I176" s="104"/>
      <c r="J176" s="104"/>
      <c r="K176" s="104"/>
      <c r="L176" s="140"/>
      <c r="M176" s="101"/>
      <c r="N176" s="127"/>
      <c r="O176" s="95"/>
      <c r="P176" s="98"/>
      <c r="Q176" s="95"/>
      <c r="R176" s="100"/>
      <c r="S176" s="95"/>
      <c r="T176" s="95"/>
      <c r="U176" s="96"/>
      <c r="V176" s="96"/>
      <c r="W176" s="96"/>
      <c r="X176" s="96"/>
      <c r="Y176" s="96"/>
      <c r="Z176" s="97"/>
    </row>
    <row r="177" spans="6:26" x14ac:dyDescent="0.25">
      <c r="F177" s="438"/>
      <c r="G177" s="104"/>
      <c r="H177" s="104"/>
      <c r="I177" s="104"/>
      <c r="J177" s="104"/>
      <c r="K177" s="104"/>
      <c r="L177" s="140"/>
      <c r="M177" s="101"/>
      <c r="N177" s="127"/>
      <c r="O177" s="95"/>
      <c r="P177" s="98"/>
      <c r="Q177" s="95"/>
      <c r="R177" s="100"/>
      <c r="S177" s="95"/>
      <c r="T177" s="95"/>
      <c r="U177" s="96"/>
      <c r="V177" s="96"/>
      <c r="W177" s="96"/>
      <c r="X177" s="96"/>
      <c r="Y177" s="96"/>
      <c r="Z177" s="97"/>
    </row>
    <row r="178" spans="6:26" x14ac:dyDescent="0.25">
      <c r="F178" s="438"/>
      <c r="G178" s="104"/>
      <c r="H178" s="104"/>
      <c r="I178" s="104"/>
      <c r="J178" s="104"/>
      <c r="K178" s="104"/>
      <c r="L178" s="140"/>
      <c r="M178" s="101"/>
      <c r="N178" s="127"/>
      <c r="O178" s="95"/>
      <c r="P178" s="98"/>
      <c r="Q178" s="95"/>
      <c r="R178" s="100"/>
      <c r="S178" s="95"/>
      <c r="T178" s="95"/>
      <c r="U178" s="96"/>
      <c r="V178" s="96"/>
      <c r="W178" s="96"/>
      <c r="X178" s="96"/>
      <c r="Y178" s="96"/>
      <c r="Z178" s="97"/>
    </row>
    <row r="179" spans="6:26" x14ac:dyDescent="0.25">
      <c r="F179" s="438"/>
      <c r="G179" s="104"/>
      <c r="H179" s="104"/>
      <c r="I179" s="104"/>
      <c r="J179" s="104"/>
      <c r="K179" s="104"/>
      <c r="L179" s="140"/>
      <c r="M179" s="101"/>
      <c r="N179" s="127"/>
      <c r="O179" s="95"/>
      <c r="P179" s="98"/>
      <c r="Q179" s="95"/>
      <c r="R179" s="100"/>
      <c r="S179" s="95"/>
      <c r="T179" s="95"/>
      <c r="U179" s="96"/>
      <c r="V179" s="96"/>
      <c r="W179" s="96"/>
      <c r="X179" s="96"/>
      <c r="Y179" s="96"/>
      <c r="Z179" s="97"/>
    </row>
    <row r="180" spans="6:26" x14ac:dyDescent="0.25">
      <c r="F180" s="438"/>
      <c r="G180" s="104"/>
      <c r="H180" s="104"/>
      <c r="I180" s="104"/>
      <c r="J180" s="104"/>
      <c r="K180" s="104"/>
      <c r="L180" s="140"/>
      <c r="M180" s="101"/>
      <c r="N180" s="127"/>
      <c r="O180" s="95"/>
      <c r="P180" s="98"/>
      <c r="Q180" s="95"/>
      <c r="R180" s="100"/>
      <c r="S180" s="95"/>
      <c r="T180" s="95"/>
      <c r="U180" s="96"/>
      <c r="V180" s="96"/>
      <c r="W180" s="96"/>
      <c r="X180" s="96"/>
      <c r="Y180" s="96"/>
      <c r="Z180" s="97"/>
    </row>
    <row r="181" spans="6:26" x14ac:dyDescent="0.25">
      <c r="F181" s="438"/>
      <c r="G181" s="104"/>
      <c r="H181" s="104"/>
      <c r="I181" s="104"/>
      <c r="J181" s="104"/>
      <c r="K181" s="104"/>
      <c r="L181" s="140"/>
      <c r="M181" s="101"/>
      <c r="N181" s="127"/>
      <c r="O181" s="95"/>
      <c r="P181" s="98"/>
      <c r="Q181" s="95"/>
      <c r="R181" s="100"/>
      <c r="S181" s="95"/>
      <c r="T181" s="95"/>
      <c r="U181" s="96"/>
      <c r="V181" s="96"/>
      <c r="W181" s="96"/>
      <c r="X181" s="96"/>
      <c r="Y181" s="96"/>
      <c r="Z181" s="97"/>
    </row>
    <row r="182" spans="6:26" x14ac:dyDescent="0.25">
      <c r="F182" s="438"/>
      <c r="G182" s="104"/>
      <c r="H182" s="104"/>
      <c r="I182" s="104"/>
      <c r="J182" s="104"/>
      <c r="K182" s="104"/>
      <c r="L182" s="140"/>
      <c r="M182" s="101"/>
      <c r="N182" s="127"/>
      <c r="O182" s="95"/>
      <c r="P182" s="98"/>
      <c r="Q182" s="95"/>
      <c r="R182" s="100"/>
      <c r="S182" s="95"/>
      <c r="T182" s="95"/>
      <c r="U182" s="96"/>
      <c r="V182" s="96"/>
      <c r="W182" s="96"/>
      <c r="X182" s="96"/>
      <c r="Y182" s="96"/>
      <c r="Z182" s="97"/>
    </row>
    <row r="183" spans="6:26" x14ac:dyDescent="0.25">
      <c r="F183" s="438"/>
      <c r="G183" s="104"/>
      <c r="H183" s="104"/>
      <c r="I183" s="104"/>
      <c r="J183" s="104"/>
      <c r="K183" s="104"/>
      <c r="L183" s="140"/>
      <c r="M183" s="101"/>
      <c r="N183" s="127"/>
      <c r="O183" s="95"/>
      <c r="P183" s="98"/>
      <c r="Q183" s="95"/>
      <c r="R183" s="100"/>
      <c r="S183" s="95"/>
      <c r="T183" s="95"/>
      <c r="U183" s="96"/>
      <c r="V183" s="96"/>
      <c r="W183" s="96"/>
      <c r="X183" s="96"/>
      <c r="Y183" s="96"/>
      <c r="Z183" s="97"/>
    </row>
    <row r="184" spans="6:26" x14ac:dyDescent="0.25">
      <c r="F184" s="438"/>
      <c r="G184" s="104"/>
      <c r="H184" s="104"/>
      <c r="I184" s="104"/>
      <c r="J184" s="104"/>
      <c r="K184" s="104"/>
      <c r="L184" s="140"/>
      <c r="M184" s="101"/>
      <c r="N184" s="127"/>
      <c r="O184" s="95"/>
      <c r="P184" s="98"/>
      <c r="Q184" s="95"/>
      <c r="R184" s="100"/>
      <c r="S184" s="95"/>
      <c r="T184" s="95"/>
      <c r="U184" s="96"/>
      <c r="V184" s="96"/>
      <c r="W184" s="96"/>
      <c r="X184" s="96"/>
      <c r="Y184" s="96"/>
      <c r="Z184" s="97"/>
    </row>
    <row r="185" spans="6:26" x14ac:dyDescent="0.25">
      <c r="F185" s="438"/>
      <c r="G185" s="104"/>
      <c r="H185" s="104"/>
      <c r="I185" s="104"/>
      <c r="J185" s="104"/>
      <c r="K185" s="104"/>
      <c r="L185" s="140"/>
      <c r="M185" s="101"/>
      <c r="N185" s="127"/>
      <c r="O185" s="95"/>
      <c r="P185" s="98"/>
      <c r="Q185" s="95"/>
      <c r="R185" s="100"/>
      <c r="S185" s="95"/>
      <c r="T185" s="95"/>
      <c r="U185" s="96"/>
      <c r="V185" s="96"/>
      <c r="W185" s="96"/>
      <c r="X185" s="96"/>
      <c r="Y185" s="96"/>
      <c r="Z185" s="97"/>
    </row>
    <row r="186" spans="6:26" x14ac:dyDescent="0.25">
      <c r="F186" s="438"/>
      <c r="G186" s="104"/>
      <c r="H186" s="104"/>
      <c r="I186" s="104"/>
      <c r="J186" s="104"/>
      <c r="K186" s="104"/>
      <c r="L186" s="140"/>
      <c r="M186" s="101"/>
      <c r="N186" s="127"/>
      <c r="O186" s="95"/>
      <c r="P186" s="98"/>
      <c r="Q186" s="95"/>
      <c r="R186" s="100"/>
      <c r="S186" s="95"/>
      <c r="T186" s="95"/>
      <c r="U186" s="96"/>
      <c r="V186" s="96"/>
      <c r="W186" s="96"/>
      <c r="X186" s="96"/>
      <c r="Y186" s="96"/>
      <c r="Z186" s="97"/>
    </row>
    <row r="187" spans="6:26" x14ac:dyDescent="0.25">
      <c r="F187" s="438"/>
      <c r="G187" s="104"/>
      <c r="H187" s="104"/>
      <c r="I187" s="104"/>
      <c r="J187" s="104"/>
      <c r="K187" s="104"/>
      <c r="L187" s="140"/>
      <c r="M187" s="101"/>
      <c r="N187" s="127"/>
      <c r="O187" s="95"/>
      <c r="P187" s="98"/>
      <c r="Q187" s="95"/>
      <c r="R187" s="100"/>
      <c r="S187" s="95"/>
      <c r="T187" s="95"/>
      <c r="U187" s="96"/>
      <c r="V187" s="96"/>
      <c r="W187" s="96"/>
      <c r="X187" s="96"/>
      <c r="Y187" s="96"/>
      <c r="Z187" s="97"/>
    </row>
    <row r="188" spans="6:26" x14ac:dyDescent="0.25">
      <c r="F188" s="438"/>
      <c r="G188" s="104"/>
      <c r="H188" s="104"/>
      <c r="I188" s="104"/>
      <c r="J188" s="104"/>
      <c r="K188" s="104"/>
      <c r="L188" s="140"/>
      <c r="M188" s="101"/>
      <c r="N188" s="127"/>
      <c r="O188" s="95"/>
      <c r="P188" s="98"/>
      <c r="Q188" s="95"/>
      <c r="R188" s="100"/>
      <c r="S188" s="95"/>
      <c r="T188" s="95"/>
      <c r="U188" s="96"/>
      <c r="V188" s="96"/>
      <c r="W188" s="96"/>
      <c r="X188" s="96"/>
      <c r="Y188" s="96"/>
      <c r="Z188" s="97"/>
    </row>
    <row r="189" spans="6:26" x14ac:dyDescent="0.25">
      <c r="F189" s="438"/>
      <c r="G189" s="104"/>
      <c r="H189" s="104"/>
      <c r="I189" s="104"/>
      <c r="J189" s="104"/>
      <c r="K189" s="104"/>
      <c r="L189" s="140"/>
      <c r="M189" s="101"/>
      <c r="N189" s="127"/>
      <c r="O189" s="95"/>
      <c r="P189" s="98"/>
      <c r="Q189" s="95"/>
      <c r="R189" s="100"/>
      <c r="S189" s="95"/>
      <c r="T189" s="95"/>
      <c r="U189" s="96"/>
      <c r="V189" s="96"/>
      <c r="W189" s="96"/>
      <c r="X189" s="96"/>
      <c r="Y189" s="96"/>
      <c r="Z189" s="97"/>
    </row>
    <row r="190" spans="6:26" x14ac:dyDescent="0.25">
      <c r="F190" s="438"/>
      <c r="G190" s="104"/>
      <c r="H190" s="104"/>
      <c r="I190" s="104"/>
      <c r="J190" s="104"/>
      <c r="K190" s="104"/>
      <c r="L190" s="140"/>
      <c r="M190" s="101"/>
      <c r="N190" s="127"/>
      <c r="O190" s="95"/>
      <c r="P190" s="98"/>
      <c r="Q190" s="95"/>
      <c r="R190" s="100"/>
      <c r="S190" s="95"/>
      <c r="T190" s="95"/>
      <c r="U190" s="96"/>
      <c r="V190" s="96"/>
      <c r="W190" s="96"/>
      <c r="X190" s="96"/>
      <c r="Y190" s="96"/>
      <c r="Z190" s="97"/>
    </row>
    <row r="191" spans="6:26" x14ac:dyDescent="0.25">
      <c r="F191" s="438"/>
      <c r="G191" s="104"/>
      <c r="H191" s="104"/>
      <c r="I191" s="104"/>
      <c r="J191" s="104"/>
      <c r="K191" s="104"/>
      <c r="L191" s="140"/>
      <c r="M191" s="101"/>
      <c r="N191" s="127"/>
      <c r="O191" s="95"/>
      <c r="P191" s="98"/>
      <c r="Q191" s="95"/>
      <c r="R191" s="100"/>
      <c r="S191" s="95"/>
      <c r="T191" s="95"/>
      <c r="U191" s="96"/>
      <c r="V191" s="96"/>
      <c r="W191" s="96"/>
      <c r="X191" s="96"/>
      <c r="Y191" s="96"/>
      <c r="Z191" s="97"/>
    </row>
    <row r="192" spans="6:26" x14ac:dyDescent="0.25">
      <c r="F192" s="438"/>
      <c r="G192" s="104"/>
      <c r="H192" s="104"/>
      <c r="I192" s="104"/>
      <c r="J192" s="104"/>
      <c r="K192" s="104"/>
      <c r="L192" s="140"/>
      <c r="M192" s="101"/>
      <c r="N192" s="127"/>
      <c r="O192" s="95"/>
      <c r="P192" s="98"/>
      <c r="Q192" s="95"/>
      <c r="R192" s="100"/>
      <c r="S192" s="95"/>
      <c r="T192" s="95"/>
      <c r="U192" s="96"/>
      <c r="V192" s="96"/>
      <c r="W192" s="96"/>
      <c r="X192" s="96"/>
      <c r="Y192" s="96"/>
      <c r="Z192" s="97"/>
    </row>
    <row r="193" spans="6:26" x14ac:dyDescent="0.25">
      <c r="F193" s="438"/>
      <c r="G193" s="104"/>
      <c r="H193" s="104"/>
      <c r="I193" s="104"/>
      <c r="J193" s="104"/>
      <c r="K193" s="104"/>
      <c r="L193" s="140"/>
      <c r="M193" s="101"/>
      <c r="N193" s="127"/>
      <c r="O193" s="95"/>
      <c r="P193" s="98"/>
      <c r="Q193" s="95"/>
      <c r="R193" s="100"/>
      <c r="S193" s="95"/>
      <c r="T193" s="95"/>
      <c r="U193" s="96"/>
      <c r="V193" s="96"/>
      <c r="W193" s="96"/>
      <c r="X193" s="96"/>
      <c r="Y193" s="96"/>
      <c r="Z193" s="97"/>
    </row>
    <row r="194" spans="6:26" x14ac:dyDescent="0.25">
      <c r="F194" s="438"/>
      <c r="G194" s="104"/>
      <c r="H194" s="104"/>
      <c r="I194" s="104"/>
      <c r="J194" s="104"/>
      <c r="K194" s="104"/>
      <c r="L194" s="140"/>
      <c r="M194" s="101"/>
      <c r="N194" s="127"/>
      <c r="O194" s="95"/>
      <c r="P194" s="98"/>
      <c r="Q194" s="95"/>
      <c r="R194" s="100"/>
      <c r="S194" s="95"/>
      <c r="T194" s="95"/>
      <c r="U194" s="96"/>
      <c r="V194" s="96"/>
      <c r="W194" s="96"/>
      <c r="X194" s="96"/>
      <c r="Y194" s="96"/>
      <c r="Z194" s="97"/>
    </row>
    <row r="195" spans="6:26" x14ac:dyDescent="0.25">
      <c r="F195" s="438"/>
      <c r="G195" s="104"/>
      <c r="H195" s="104"/>
      <c r="I195" s="104"/>
      <c r="J195" s="104"/>
      <c r="K195" s="104"/>
      <c r="L195" s="140"/>
      <c r="M195" s="101"/>
      <c r="N195" s="127"/>
      <c r="O195" s="95"/>
      <c r="P195" s="98"/>
      <c r="Q195" s="95"/>
      <c r="R195" s="100"/>
      <c r="S195" s="95"/>
      <c r="T195" s="95"/>
      <c r="U195" s="96"/>
      <c r="V195" s="96"/>
      <c r="W195" s="96"/>
      <c r="X195" s="96"/>
      <c r="Y195" s="96"/>
      <c r="Z195" s="97"/>
    </row>
    <row r="196" spans="6:26" x14ac:dyDescent="0.25">
      <c r="F196" s="438"/>
      <c r="G196" s="104"/>
      <c r="H196" s="104"/>
      <c r="I196" s="104"/>
      <c r="J196" s="104"/>
      <c r="K196" s="104"/>
      <c r="L196" s="140"/>
      <c r="M196" s="101"/>
      <c r="N196" s="127"/>
      <c r="O196" s="95"/>
      <c r="P196" s="98"/>
      <c r="Q196" s="95"/>
      <c r="R196" s="100"/>
      <c r="S196" s="95"/>
      <c r="T196" s="95"/>
      <c r="U196" s="96"/>
      <c r="V196" s="96"/>
      <c r="W196" s="96"/>
      <c r="X196" s="96"/>
      <c r="Y196" s="96"/>
      <c r="Z196" s="97"/>
    </row>
    <row r="197" spans="6:26" x14ac:dyDescent="0.25">
      <c r="F197" s="438"/>
      <c r="G197" s="104"/>
      <c r="H197" s="104"/>
      <c r="I197" s="104"/>
      <c r="J197" s="104"/>
      <c r="K197" s="104"/>
      <c r="L197" s="140"/>
      <c r="M197" s="101"/>
      <c r="N197" s="127"/>
      <c r="O197" s="95"/>
      <c r="P197" s="98"/>
      <c r="Q197" s="95"/>
      <c r="R197" s="100"/>
      <c r="S197" s="95"/>
      <c r="T197" s="95"/>
      <c r="U197" s="96"/>
      <c r="V197" s="96"/>
      <c r="W197" s="96"/>
      <c r="X197" s="96"/>
      <c r="Y197" s="96"/>
      <c r="Z197" s="97"/>
    </row>
    <row r="198" spans="6:26" x14ac:dyDescent="0.25">
      <c r="F198" s="438"/>
      <c r="G198" s="104"/>
      <c r="H198" s="104"/>
      <c r="I198" s="104"/>
      <c r="J198" s="104"/>
      <c r="K198" s="104"/>
      <c r="L198" s="140"/>
      <c r="M198" s="101"/>
      <c r="N198" s="127"/>
      <c r="O198" s="95"/>
      <c r="P198" s="98"/>
      <c r="Q198" s="95"/>
      <c r="R198" s="100"/>
      <c r="S198" s="95"/>
      <c r="T198" s="95"/>
      <c r="U198" s="96"/>
      <c r="V198" s="96"/>
      <c r="W198" s="96"/>
      <c r="X198" s="96"/>
      <c r="Y198" s="96"/>
      <c r="Z198" s="97"/>
    </row>
    <row r="199" spans="6:26" x14ac:dyDescent="0.25">
      <c r="F199" s="438"/>
      <c r="G199" s="104"/>
      <c r="H199" s="104"/>
      <c r="I199" s="104"/>
      <c r="J199" s="104"/>
      <c r="K199" s="104"/>
      <c r="L199" s="140"/>
      <c r="M199" s="101"/>
      <c r="N199" s="127"/>
      <c r="O199" s="95"/>
      <c r="P199" s="98"/>
      <c r="Q199" s="95"/>
      <c r="R199" s="100"/>
      <c r="S199" s="95"/>
      <c r="T199" s="95"/>
      <c r="U199" s="96"/>
      <c r="V199" s="96"/>
      <c r="W199" s="96"/>
      <c r="X199" s="96"/>
      <c r="Y199" s="96"/>
      <c r="Z199" s="97"/>
    </row>
    <row r="200" spans="6:26" x14ac:dyDescent="0.25">
      <c r="F200" s="438"/>
      <c r="G200" s="104"/>
      <c r="H200" s="104"/>
      <c r="I200" s="104"/>
      <c r="J200" s="104"/>
      <c r="K200" s="104"/>
      <c r="L200" s="140"/>
      <c r="M200" s="101"/>
      <c r="N200" s="127"/>
      <c r="O200" s="95"/>
      <c r="P200" s="98"/>
      <c r="Q200" s="95"/>
      <c r="R200" s="100"/>
      <c r="S200" s="95"/>
      <c r="T200" s="95"/>
      <c r="U200" s="96"/>
      <c r="V200" s="96"/>
      <c r="W200" s="96"/>
      <c r="X200" s="96"/>
      <c r="Y200" s="96"/>
      <c r="Z200" s="97"/>
    </row>
    <row r="201" spans="6:26" x14ac:dyDescent="0.25">
      <c r="F201" s="438"/>
      <c r="G201" s="104"/>
      <c r="H201" s="104"/>
      <c r="I201" s="104"/>
      <c r="J201" s="104"/>
      <c r="K201" s="104"/>
      <c r="L201" s="140"/>
      <c r="M201" s="101"/>
      <c r="N201" s="127"/>
      <c r="O201" s="95"/>
      <c r="P201" s="98"/>
      <c r="Q201" s="95"/>
      <c r="R201" s="100"/>
      <c r="S201" s="95"/>
      <c r="T201" s="95"/>
      <c r="U201" s="96"/>
      <c r="V201" s="96"/>
      <c r="W201" s="96"/>
      <c r="X201" s="96"/>
      <c r="Y201" s="96"/>
      <c r="Z201" s="97"/>
    </row>
    <row r="202" spans="6:26" x14ac:dyDescent="0.25">
      <c r="F202" s="438"/>
      <c r="G202" s="104"/>
      <c r="H202" s="104"/>
      <c r="I202" s="104"/>
      <c r="J202" s="104"/>
      <c r="K202" s="104"/>
      <c r="L202" s="140"/>
      <c r="M202" s="101"/>
      <c r="N202" s="127"/>
      <c r="O202" s="95"/>
      <c r="P202" s="98"/>
      <c r="Q202" s="95"/>
      <c r="R202" s="100"/>
      <c r="S202" s="95"/>
      <c r="T202" s="95"/>
      <c r="U202" s="96"/>
      <c r="V202" s="96"/>
      <c r="W202" s="96"/>
      <c r="X202" s="96"/>
      <c r="Y202" s="96"/>
      <c r="Z202" s="97"/>
    </row>
    <row r="203" spans="6:26" x14ac:dyDescent="0.25">
      <c r="F203" s="438"/>
      <c r="G203" s="104"/>
      <c r="H203" s="104"/>
      <c r="I203" s="104"/>
      <c r="J203" s="104"/>
      <c r="K203" s="104"/>
      <c r="L203" s="140"/>
      <c r="M203" s="101"/>
      <c r="N203" s="127"/>
      <c r="O203" s="95"/>
      <c r="P203" s="98"/>
      <c r="Q203" s="95"/>
      <c r="R203" s="100"/>
      <c r="S203" s="95"/>
      <c r="T203" s="95"/>
      <c r="U203" s="96"/>
      <c r="V203" s="96"/>
      <c r="W203" s="96"/>
      <c r="X203" s="96"/>
      <c r="Y203" s="96"/>
      <c r="Z203" s="97"/>
    </row>
    <row r="204" spans="6:26" x14ac:dyDescent="0.25">
      <c r="F204" s="438"/>
      <c r="G204" s="104"/>
      <c r="H204" s="104"/>
      <c r="I204" s="104"/>
      <c r="J204" s="104"/>
      <c r="K204" s="104"/>
      <c r="L204" s="140"/>
      <c r="M204" s="101"/>
      <c r="N204" s="127"/>
      <c r="O204" s="95"/>
      <c r="P204" s="98"/>
      <c r="Q204" s="95"/>
      <c r="R204" s="100"/>
      <c r="S204" s="95"/>
      <c r="T204" s="95"/>
      <c r="U204" s="96"/>
      <c r="V204" s="96"/>
      <c r="W204" s="96"/>
      <c r="X204" s="96"/>
      <c r="Y204" s="96"/>
      <c r="Z204" s="97"/>
    </row>
    <row r="205" spans="6:26" x14ac:dyDescent="0.25">
      <c r="F205" s="438"/>
      <c r="G205" s="104"/>
      <c r="H205" s="104"/>
      <c r="I205" s="104"/>
      <c r="J205" s="104"/>
      <c r="K205" s="104"/>
      <c r="L205" s="140"/>
      <c r="M205" s="101"/>
      <c r="N205" s="127"/>
      <c r="O205" s="95"/>
      <c r="P205" s="98"/>
      <c r="Q205" s="95"/>
      <c r="R205" s="100"/>
      <c r="S205" s="95"/>
      <c r="T205" s="95"/>
      <c r="U205" s="96"/>
      <c r="V205" s="96"/>
      <c r="W205" s="96"/>
      <c r="X205" s="96"/>
      <c r="Y205" s="96"/>
      <c r="Z205" s="97"/>
    </row>
    <row r="206" spans="6:26" x14ac:dyDescent="0.25">
      <c r="F206" s="438"/>
      <c r="G206" s="104"/>
      <c r="H206" s="104"/>
      <c r="I206" s="104"/>
      <c r="J206" s="104"/>
      <c r="K206" s="104"/>
      <c r="L206" s="140"/>
      <c r="M206" s="101"/>
      <c r="N206" s="127"/>
      <c r="O206" s="95"/>
      <c r="P206" s="98"/>
      <c r="Q206" s="95"/>
      <c r="R206" s="100"/>
      <c r="S206" s="95"/>
      <c r="T206" s="95"/>
      <c r="U206" s="96"/>
      <c r="V206" s="96"/>
      <c r="W206" s="96"/>
      <c r="X206" s="96"/>
      <c r="Y206" s="96"/>
      <c r="Z206" s="97"/>
    </row>
    <row r="207" spans="6:26" x14ac:dyDescent="0.25">
      <c r="F207" s="438"/>
      <c r="G207" s="104"/>
      <c r="H207" s="104"/>
      <c r="I207" s="104"/>
      <c r="J207" s="104"/>
      <c r="K207" s="104"/>
      <c r="L207" s="140"/>
      <c r="M207" s="101"/>
      <c r="N207" s="127"/>
      <c r="O207" s="95"/>
      <c r="P207" s="98"/>
      <c r="Q207" s="95"/>
      <c r="R207" s="100"/>
      <c r="S207" s="95"/>
      <c r="T207" s="95"/>
      <c r="U207" s="96"/>
      <c r="V207" s="96"/>
      <c r="W207" s="96"/>
      <c r="X207" s="96"/>
      <c r="Y207" s="96"/>
      <c r="Z207" s="97"/>
    </row>
    <row r="208" spans="6:26" x14ac:dyDescent="0.25">
      <c r="F208" s="438"/>
      <c r="G208" s="104"/>
      <c r="H208" s="104"/>
      <c r="I208" s="104"/>
      <c r="J208" s="104"/>
      <c r="K208" s="104"/>
      <c r="L208" s="140"/>
      <c r="M208" s="101"/>
      <c r="N208" s="127"/>
      <c r="O208" s="95"/>
      <c r="P208" s="98"/>
      <c r="Q208" s="95"/>
      <c r="R208" s="100"/>
      <c r="S208" s="95"/>
      <c r="T208" s="95"/>
      <c r="U208" s="96"/>
      <c r="V208" s="96"/>
      <c r="W208" s="96"/>
      <c r="X208" s="96"/>
      <c r="Y208" s="96"/>
      <c r="Z208" s="97"/>
    </row>
    <row r="209" spans="6:26" x14ac:dyDescent="0.25">
      <c r="F209" s="438"/>
      <c r="G209" s="104"/>
      <c r="H209" s="104"/>
      <c r="I209" s="104"/>
      <c r="J209" s="104"/>
      <c r="K209" s="104"/>
      <c r="L209" s="140"/>
      <c r="M209" s="101"/>
      <c r="N209" s="127"/>
      <c r="O209" s="95"/>
      <c r="P209" s="98"/>
      <c r="Q209" s="95"/>
      <c r="R209" s="100"/>
      <c r="S209" s="95"/>
      <c r="T209" s="95"/>
      <c r="U209" s="96"/>
      <c r="V209" s="96"/>
      <c r="W209" s="96"/>
      <c r="X209" s="96"/>
      <c r="Y209" s="96"/>
      <c r="Z209" s="97"/>
    </row>
    <row r="210" spans="6:26" x14ac:dyDescent="0.25">
      <c r="F210" s="438"/>
      <c r="G210" s="104"/>
      <c r="H210" s="104"/>
      <c r="I210" s="104"/>
      <c r="J210" s="104"/>
      <c r="K210" s="104"/>
      <c r="L210" s="140"/>
      <c r="M210" s="101"/>
      <c r="N210" s="127"/>
      <c r="O210" s="95"/>
      <c r="P210" s="98"/>
      <c r="Q210" s="95"/>
      <c r="R210" s="100"/>
      <c r="S210" s="95"/>
      <c r="T210" s="95"/>
      <c r="U210" s="96"/>
      <c r="V210" s="96"/>
      <c r="W210" s="96"/>
      <c r="X210" s="96"/>
      <c r="Y210" s="96"/>
      <c r="Z210" s="97"/>
    </row>
    <row r="211" spans="6:26" x14ac:dyDescent="0.25">
      <c r="F211" s="438"/>
      <c r="G211" s="104"/>
      <c r="H211" s="104"/>
      <c r="I211" s="104"/>
      <c r="J211" s="104"/>
      <c r="K211" s="104"/>
      <c r="L211" s="140"/>
      <c r="M211" s="101"/>
      <c r="N211" s="127"/>
      <c r="O211" s="95"/>
      <c r="P211" s="98"/>
      <c r="Q211" s="95"/>
      <c r="R211" s="100"/>
      <c r="S211" s="95"/>
      <c r="T211" s="95"/>
      <c r="U211" s="96"/>
      <c r="V211" s="96"/>
      <c r="W211" s="96"/>
      <c r="X211" s="96"/>
      <c r="Y211" s="96"/>
      <c r="Z211" s="97"/>
    </row>
    <row r="212" spans="6:26" x14ac:dyDescent="0.25">
      <c r="F212" s="438"/>
      <c r="G212" s="104"/>
      <c r="H212" s="104"/>
      <c r="I212" s="104"/>
      <c r="J212" s="104"/>
      <c r="K212" s="104"/>
      <c r="L212" s="140"/>
      <c r="M212" s="101"/>
      <c r="N212" s="127"/>
      <c r="O212" s="95"/>
      <c r="P212" s="98"/>
      <c r="Q212" s="95"/>
      <c r="R212" s="100"/>
      <c r="S212" s="95"/>
      <c r="T212" s="95"/>
      <c r="U212" s="96"/>
      <c r="V212" s="96"/>
      <c r="W212" s="96"/>
      <c r="X212" s="96"/>
      <c r="Y212" s="96"/>
      <c r="Z212" s="97"/>
    </row>
    <row r="213" spans="6:26" x14ac:dyDescent="0.25">
      <c r="F213" s="438"/>
      <c r="G213" s="104"/>
      <c r="H213" s="104"/>
      <c r="I213" s="104"/>
      <c r="J213" s="104"/>
      <c r="K213" s="104"/>
      <c r="L213" s="140"/>
      <c r="M213" s="101"/>
      <c r="N213" s="127"/>
      <c r="O213" s="95"/>
      <c r="P213" s="98"/>
      <c r="Q213" s="95"/>
      <c r="R213" s="100"/>
      <c r="S213" s="95"/>
      <c r="T213" s="95"/>
      <c r="U213" s="96"/>
      <c r="V213" s="96"/>
      <c r="W213" s="96"/>
      <c r="X213" s="96"/>
      <c r="Y213" s="96"/>
      <c r="Z213" s="97"/>
    </row>
    <row r="214" spans="6:26" x14ac:dyDescent="0.25">
      <c r="F214" s="438"/>
      <c r="G214" s="104"/>
      <c r="H214" s="104"/>
      <c r="I214" s="104"/>
      <c r="J214" s="104"/>
      <c r="K214" s="104"/>
      <c r="L214" s="140"/>
      <c r="M214" s="101"/>
      <c r="N214" s="127"/>
      <c r="O214" s="95"/>
      <c r="P214" s="98"/>
      <c r="Q214" s="95"/>
      <c r="R214" s="100"/>
      <c r="S214" s="95"/>
      <c r="T214" s="95"/>
      <c r="U214" s="96"/>
      <c r="V214" s="96"/>
      <c r="W214" s="96"/>
      <c r="X214" s="96"/>
      <c r="Y214" s="96"/>
      <c r="Z214" s="97"/>
    </row>
    <row r="215" spans="6:26" x14ac:dyDescent="0.25">
      <c r="F215" s="438"/>
      <c r="G215" s="104"/>
      <c r="H215" s="104"/>
      <c r="I215" s="104"/>
      <c r="J215" s="104"/>
      <c r="K215" s="104"/>
      <c r="L215" s="140"/>
      <c r="M215" s="101"/>
      <c r="N215" s="127"/>
      <c r="O215" s="95"/>
      <c r="P215" s="98"/>
      <c r="Q215" s="95"/>
      <c r="R215" s="100"/>
      <c r="S215" s="95"/>
      <c r="T215" s="95"/>
      <c r="U215" s="96"/>
      <c r="V215" s="96"/>
      <c r="W215" s="96"/>
      <c r="X215" s="96"/>
      <c r="Y215" s="96"/>
      <c r="Z215" s="97"/>
    </row>
    <row r="216" spans="6:26" x14ac:dyDescent="0.25">
      <c r="F216" s="438"/>
      <c r="G216" s="104"/>
      <c r="H216" s="104"/>
      <c r="I216" s="104"/>
      <c r="J216" s="104"/>
      <c r="K216" s="104"/>
      <c r="L216" s="140"/>
      <c r="M216" s="101"/>
      <c r="N216" s="127"/>
      <c r="O216" s="95"/>
      <c r="P216" s="98"/>
      <c r="Q216" s="95"/>
      <c r="R216" s="100"/>
      <c r="S216" s="95"/>
      <c r="T216" s="95"/>
      <c r="U216" s="96"/>
      <c r="V216" s="96"/>
      <c r="W216" s="96"/>
      <c r="X216" s="96"/>
      <c r="Y216" s="96"/>
      <c r="Z216" s="97"/>
    </row>
    <row r="217" spans="6:26" x14ac:dyDescent="0.25">
      <c r="F217" s="438"/>
      <c r="G217" s="104"/>
      <c r="H217" s="104"/>
      <c r="I217" s="104"/>
      <c r="J217" s="104"/>
      <c r="K217" s="104"/>
      <c r="L217" s="140"/>
      <c r="M217" s="101"/>
      <c r="N217" s="127"/>
      <c r="O217" s="95"/>
      <c r="P217" s="98"/>
      <c r="Q217" s="95"/>
      <c r="R217" s="100"/>
      <c r="S217" s="95"/>
      <c r="T217" s="95"/>
      <c r="U217" s="96"/>
      <c r="V217" s="96"/>
      <c r="W217" s="96"/>
      <c r="X217" s="96"/>
      <c r="Y217" s="96"/>
      <c r="Z217" s="97"/>
    </row>
    <row r="218" spans="6:26" x14ac:dyDescent="0.25">
      <c r="F218" s="438"/>
      <c r="G218" s="104"/>
      <c r="H218" s="104"/>
      <c r="I218" s="104"/>
      <c r="J218" s="104"/>
      <c r="K218" s="104"/>
      <c r="L218" s="140"/>
      <c r="M218" s="101"/>
      <c r="N218" s="127"/>
      <c r="O218" s="95"/>
      <c r="P218" s="98"/>
      <c r="Q218" s="95"/>
      <c r="R218" s="100"/>
      <c r="S218" s="95"/>
      <c r="T218" s="95"/>
      <c r="U218" s="96"/>
      <c r="V218" s="96"/>
      <c r="W218" s="96"/>
      <c r="X218" s="96"/>
      <c r="Y218" s="96"/>
      <c r="Z218" s="97"/>
    </row>
    <row r="219" spans="6:26" x14ac:dyDescent="0.25">
      <c r="F219" s="438"/>
      <c r="G219" s="104"/>
      <c r="H219" s="104"/>
      <c r="I219" s="104"/>
      <c r="J219" s="104"/>
      <c r="K219" s="104"/>
      <c r="L219" s="140"/>
      <c r="M219" s="101"/>
      <c r="N219" s="127"/>
      <c r="O219" s="95"/>
      <c r="P219" s="98"/>
      <c r="Q219" s="95"/>
      <c r="R219" s="100"/>
      <c r="S219" s="95"/>
      <c r="T219" s="95"/>
      <c r="U219" s="96"/>
      <c r="V219" s="96"/>
      <c r="W219" s="96"/>
      <c r="X219" s="96"/>
      <c r="Y219" s="96"/>
      <c r="Z219" s="97"/>
    </row>
    <row r="220" spans="6:26" x14ac:dyDescent="0.25">
      <c r="F220" s="438"/>
      <c r="G220" s="104"/>
      <c r="H220" s="104"/>
      <c r="I220" s="104"/>
      <c r="J220" s="104"/>
      <c r="K220" s="104"/>
      <c r="L220" s="140"/>
      <c r="M220" s="101"/>
      <c r="N220" s="127"/>
      <c r="O220" s="95"/>
      <c r="P220" s="98"/>
      <c r="Q220" s="95"/>
      <c r="R220" s="100"/>
      <c r="S220" s="95"/>
      <c r="T220" s="95"/>
      <c r="U220" s="96"/>
      <c r="V220" s="96"/>
      <c r="W220" s="96"/>
      <c r="X220" s="96"/>
      <c r="Y220" s="96"/>
      <c r="Z220" s="97"/>
    </row>
    <row r="221" spans="6:26" x14ac:dyDescent="0.25">
      <c r="F221" s="438"/>
      <c r="G221" s="104"/>
      <c r="H221" s="104"/>
      <c r="I221" s="104"/>
      <c r="J221" s="104"/>
      <c r="K221" s="104"/>
      <c r="L221" s="140"/>
      <c r="M221" s="101"/>
      <c r="N221" s="127"/>
      <c r="O221" s="95"/>
      <c r="P221" s="98"/>
      <c r="Q221" s="95"/>
      <c r="R221" s="100"/>
      <c r="S221" s="95"/>
      <c r="T221" s="95"/>
      <c r="U221" s="96"/>
      <c r="V221" s="96"/>
      <c r="W221" s="96"/>
      <c r="X221" s="96"/>
      <c r="Y221" s="96"/>
      <c r="Z221" s="97"/>
    </row>
    <row r="222" spans="6:26" x14ac:dyDescent="0.25">
      <c r="F222" s="438"/>
      <c r="G222" s="104"/>
      <c r="H222" s="104"/>
      <c r="I222" s="104"/>
      <c r="J222" s="104"/>
      <c r="K222" s="104"/>
      <c r="L222" s="140"/>
      <c r="M222" s="101"/>
      <c r="N222" s="127"/>
      <c r="O222" s="95"/>
      <c r="P222" s="98"/>
      <c r="Q222" s="95"/>
      <c r="R222" s="100"/>
      <c r="S222" s="95"/>
      <c r="T222" s="95"/>
      <c r="U222" s="96"/>
      <c r="V222" s="96"/>
      <c r="W222" s="96"/>
      <c r="X222" s="96"/>
      <c r="Y222" s="96"/>
      <c r="Z222" s="97"/>
    </row>
    <row r="223" spans="6:26" x14ac:dyDescent="0.25">
      <c r="F223" s="438"/>
      <c r="G223" s="104"/>
      <c r="H223" s="104"/>
      <c r="I223" s="104"/>
      <c r="J223" s="104"/>
      <c r="K223" s="104"/>
      <c r="L223" s="140"/>
      <c r="M223" s="101"/>
      <c r="N223" s="127"/>
      <c r="O223" s="95"/>
      <c r="P223" s="98"/>
      <c r="Q223" s="95"/>
      <c r="R223" s="100"/>
      <c r="S223" s="95"/>
      <c r="T223" s="95"/>
      <c r="U223" s="96"/>
      <c r="V223" s="96"/>
      <c r="W223" s="96"/>
      <c r="X223" s="96"/>
      <c r="Y223" s="96"/>
      <c r="Z223" s="97"/>
    </row>
    <row r="224" spans="6:26" x14ac:dyDescent="0.25">
      <c r="F224" s="438"/>
      <c r="G224" s="104"/>
      <c r="H224" s="104"/>
      <c r="I224" s="104"/>
      <c r="J224" s="104"/>
      <c r="K224" s="104"/>
      <c r="L224" s="140"/>
      <c r="M224" s="101"/>
      <c r="N224" s="127"/>
      <c r="O224" s="95"/>
      <c r="P224" s="98"/>
      <c r="Q224" s="95"/>
      <c r="R224" s="100"/>
      <c r="S224" s="95"/>
      <c r="T224" s="95"/>
      <c r="U224" s="96"/>
      <c r="V224" s="96"/>
      <c r="W224" s="96"/>
      <c r="X224" s="96"/>
      <c r="Y224" s="96"/>
      <c r="Z224" s="97"/>
    </row>
    <row r="225" spans="6:26" x14ac:dyDescent="0.25">
      <c r="F225" s="438"/>
      <c r="G225" s="104"/>
      <c r="H225" s="104"/>
      <c r="I225" s="104"/>
      <c r="J225" s="104"/>
      <c r="K225" s="104"/>
      <c r="L225" s="140"/>
      <c r="M225" s="101"/>
      <c r="N225" s="127"/>
      <c r="O225" s="95"/>
      <c r="P225" s="98"/>
      <c r="Q225" s="95"/>
      <c r="R225" s="100"/>
      <c r="S225" s="95"/>
      <c r="T225" s="95"/>
      <c r="U225" s="96"/>
      <c r="V225" s="96"/>
      <c r="W225" s="96"/>
      <c r="X225" s="96"/>
      <c r="Y225" s="96"/>
      <c r="Z225" s="97"/>
    </row>
    <row r="226" spans="6:26" x14ac:dyDescent="0.25">
      <c r="F226" s="438"/>
      <c r="G226" s="104"/>
      <c r="H226" s="104"/>
      <c r="I226" s="104"/>
      <c r="J226" s="104"/>
      <c r="K226" s="104"/>
      <c r="L226" s="140"/>
      <c r="M226" s="101"/>
      <c r="N226" s="127"/>
      <c r="O226" s="95"/>
      <c r="P226" s="98"/>
      <c r="Q226" s="95"/>
      <c r="R226" s="100"/>
      <c r="S226" s="95"/>
      <c r="T226" s="95"/>
      <c r="U226" s="96"/>
      <c r="V226" s="96"/>
      <c r="W226" s="96"/>
      <c r="X226" s="96"/>
      <c r="Y226" s="96"/>
      <c r="Z226" s="97"/>
    </row>
    <row r="227" spans="6:26" x14ac:dyDescent="0.25">
      <c r="F227" s="438"/>
      <c r="G227" s="104"/>
      <c r="H227" s="104"/>
      <c r="I227" s="104"/>
      <c r="J227" s="104"/>
      <c r="K227" s="104"/>
      <c r="L227" s="140"/>
      <c r="M227" s="101"/>
      <c r="N227" s="127"/>
      <c r="O227" s="95"/>
      <c r="P227" s="98"/>
      <c r="Q227" s="95"/>
      <c r="R227" s="100"/>
      <c r="S227" s="95"/>
      <c r="T227" s="95"/>
      <c r="U227" s="96"/>
      <c r="V227" s="96"/>
      <c r="W227" s="96"/>
      <c r="X227" s="96"/>
      <c r="Y227" s="96"/>
      <c r="Z227" s="97"/>
    </row>
    <row r="228" spans="6:26" x14ac:dyDescent="0.25">
      <c r="F228" s="438"/>
      <c r="G228" s="104"/>
      <c r="H228" s="104"/>
      <c r="I228" s="104"/>
      <c r="J228" s="104"/>
      <c r="K228" s="104"/>
      <c r="L228" s="140"/>
      <c r="M228" s="101"/>
      <c r="N228" s="127"/>
      <c r="O228" s="95"/>
      <c r="P228" s="98"/>
      <c r="Q228" s="95"/>
      <c r="R228" s="100"/>
      <c r="S228" s="95"/>
      <c r="T228" s="95"/>
      <c r="U228" s="96"/>
      <c r="V228" s="96"/>
      <c r="W228" s="96"/>
      <c r="X228" s="96"/>
      <c r="Y228" s="96"/>
      <c r="Z228" s="97"/>
    </row>
    <row r="229" spans="6:26" x14ac:dyDescent="0.25">
      <c r="F229" s="438"/>
      <c r="G229" s="104"/>
      <c r="H229" s="104"/>
      <c r="I229" s="104"/>
      <c r="J229" s="104"/>
      <c r="K229" s="104"/>
      <c r="L229" s="140"/>
      <c r="M229" s="101"/>
      <c r="N229" s="127"/>
      <c r="O229" s="95"/>
      <c r="P229" s="98"/>
      <c r="Q229" s="95"/>
      <c r="R229" s="100"/>
      <c r="S229" s="95"/>
      <c r="T229" s="95"/>
      <c r="U229" s="96"/>
      <c r="V229" s="96"/>
      <c r="W229" s="96"/>
      <c r="X229" s="96"/>
      <c r="Y229" s="96"/>
      <c r="Z229" s="97"/>
    </row>
    <row r="230" spans="6:26" x14ac:dyDescent="0.25">
      <c r="F230" s="438"/>
      <c r="G230" s="104"/>
      <c r="H230" s="104"/>
      <c r="I230" s="104"/>
      <c r="J230" s="104"/>
      <c r="K230" s="104"/>
      <c r="L230" s="140"/>
      <c r="M230" s="101"/>
      <c r="N230" s="127"/>
      <c r="O230" s="95"/>
      <c r="P230" s="98"/>
      <c r="Q230" s="95"/>
      <c r="R230" s="100"/>
      <c r="S230" s="95"/>
      <c r="T230" s="95"/>
      <c r="U230" s="96"/>
      <c r="V230" s="96"/>
      <c r="W230" s="96"/>
      <c r="X230" s="96"/>
      <c r="Y230" s="96"/>
      <c r="Z230" s="97"/>
    </row>
    <row r="231" spans="6:26" x14ac:dyDescent="0.25">
      <c r="F231" s="438"/>
      <c r="G231" s="104"/>
      <c r="H231" s="104"/>
      <c r="I231" s="104"/>
      <c r="J231" s="104"/>
      <c r="K231" s="104"/>
      <c r="L231" s="140"/>
      <c r="M231" s="101"/>
      <c r="N231" s="127"/>
      <c r="O231" s="95"/>
      <c r="P231" s="98"/>
      <c r="Q231" s="95"/>
      <c r="R231" s="100"/>
      <c r="S231" s="95"/>
      <c r="T231" s="95"/>
      <c r="U231" s="96"/>
      <c r="V231" s="96"/>
      <c r="W231" s="96"/>
      <c r="X231" s="96"/>
      <c r="Y231" s="96"/>
      <c r="Z231" s="97"/>
    </row>
    <row r="232" spans="6:26" x14ac:dyDescent="0.25">
      <c r="F232" s="438"/>
      <c r="G232" s="104"/>
      <c r="H232" s="104"/>
      <c r="I232" s="104"/>
      <c r="J232" s="104"/>
      <c r="K232" s="104"/>
      <c r="L232" s="140"/>
      <c r="M232" s="101"/>
      <c r="N232" s="127"/>
      <c r="O232" s="95"/>
      <c r="P232" s="98"/>
      <c r="Q232" s="95"/>
      <c r="R232" s="100"/>
      <c r="S232" s="95"/>
      <c r="T232" s="95"/>
      <c r="U232" s="96"/>
      <c r="V232" s="96"/>
      <c r="W232" s="96"/>
      <c r="X232" s="96"/>
      <c r="Y232" s="96"/>
      <c r="Z232" s="97"/>
    </row>
    <row r="233" spans="6:26" x14ac:dyDescent="0.25">
      <c r="F233" s="438"/>
      <c r="G233" s="104"/>
      <c r="H233" s="104"/>
      <c r="I233" s="104"/>
      <c r="J233" s="104"/>
      <c r="K233" s="104"/>
      <c r="L233" s="140"/>
      <c r="M233" s="101"/>
      <c r="N233" s="127"/>
      <c r="O233" s="95"/>
      <c r="P233" s="98"/>
      <c r="Q233" s="95"/>
      <c r="R233" s="100"/>
      <c r="S233" s="95"/>
      <c r="T233" s="95"/>
      <c r="U233" s="96"/>
      <c r="V233" s="96"/>
      <c r="W233" s="96"/>
      <c r="X233" s="96"/>
      <c r="Y233" s="96"/>
      <c r="Z233" s="97"/>
    </row>
    <row r="234" spans="6:26" x14ac:dyDescent="0.25">
      <c r="F234" s="438"/>
      <c r="G234" s="104"/>
      <c r="H234" s="104"/>
      <c r="I234" s="104"/>
      <c r="J234" s="104"/>
      <c r="K234" s="104"/>
      <c r="L234" s="140"/>
      <c r="M234" s="101"/>
      <c r="N234" s="127"/>
      <c r="O234" s="95"/>
      <c r="P234" s="98"/>
      <c r="Q234" s="95"/>
      <c r="R234" s="100"/>
      <c r="S234" s="95"/>
      <c r="T234" s="95"/>
      <c r="U234" s="96"/>
      <c r="V234" s="96"/>
      <c r="W234" s="96"/>
      <c r="X234" s="96"/>
      <c r="Y234" s="96"/>
      <c r="Z234" s="97"/>
    </row>
    <row r="235" spans="6:26" x14ac:dyDescent="0.25">
      <c r="F235" s="438"/>
      <c r="G235" s="104"/>
      <c r="H235" s="104"/>
      <c r="I235" s="104"/>
      <c r="J235" s="104"/>
      <c r="K235" s="104"/>
      <c r="L235" s="140"/>
      <c r="M235" s="101"/>
      <c r="N235" s="127"/>
      <c r="O235" s="95"/>
      <c r="P235" s="98"/>
      <c r="Q235" s="95"/>
      <c r="R235" s="100"/>
      <c r="S235" s="95"/>
      <c r="T235" s="95"/>
      <c r="U235" s="96"/>
      <c r="V235" s="96"/>
      <c r="W235" s="96"/>
      <c r="X235" s="96"/>
      <c r="Y235" s="96"/>
      <c r="Z235" s="97"/>
    </row>
    <row r="236" spans="6:26" x14ac:dyDescent="0.25">
      <c r="F236" s="438"/>
      <c r="G236" s="104"/>
      <c r="H236" s="104"/>
      <c r="I236" s="104"/>
      <c r="J236" s="104"/>
      <c r="K236" s="104"/>
      <c r="L236" s="140"/>
      <c r="M236" s="101"/>
      <c r="N236" s="127"/>
      <c r="O236" s="95"/>
      <c r="P236" s="98"/>
      <c r="Q236" s="95"/>
      <c r="R236" s="100"/>
      <c r="S236" s="95"/>
      <c r="T236" s="95"/>
      <c r="U236" s="96"/>
      <c r="V236" s="96"/>
      <c r="W236" s="96"/>
      <c r="X236" s="96"/>
      <c r="Y236" s="96"/>
      <c r="Z236" s="97"/>
    </row>
    <row r="237" spans="6:26" x14ac:dyDescent="0.25">
      <c r="F237" s="438"/>
      <c r="G237" s="104"/>
      <c r="H237" s="104"/>
      <c r="I237" s="104"/>
      <c r="J237" s="104"/>
      <c r="K237" s="104"/>
      <c r="L237" s="140"/>
      <c r="M237" s="101"/>
      <c r="N237" s="127"/>
      <c r="O237" s="95"/>
      <c r="P237" s="98"/>
      <c r="Q237" s="95"/>
      <c r="R237" s="100"/>
      <c r="S237" s="95"/>
      <c r="T237" s="95"/>
      <c r="U237" s="96"/>
      <c r="V237" s="96"/>
      <c r="W237" s="96"/>
      <c r="X237" s="96"/>
      <c r="Y237" s="96"/>
      <c r="Z237" s="97"/>
    </row>
    <row r="238" spans="6:26" x14ac:dyDescent="0.25">
      <c r="F238" s="438"/>
      <c r="G238" s="104"/>
      <c r="H238" s="104"/>
      <c r="I238" s="104"/>
      <c r="J238" s="104"/>
      <c r="K238" s="104"/>
      <c r="L238" s="140"/>
      <c r="M238" s="101"/>
      <c r="N238" s="127"/>
      <c r="O238" s="95"/>
      <c r="P238" s="98"/>
      <c r="Q238" s="95"/>
      <c r="R238" s="100"/>
      <c r="S238" s="95"/>
      <c r="T238" s="95"/>
      <c r="U238" s="96"/>
      <c r="V238" s="96"/>
      <c r="W238" s="96"/>
      <c r="X238" s="96"/>
      <c r="Y238" s="96"/>
      <c r="Z238" s="97"/>
    </row>
    <row r="239" spans="6:26" x14ac:dyDescent="0.25">
      <c r="F239" s="438"/>
      <c r="G239" s="104"/>
      <c r="H239" s="104"/>
      <c r="I239" s="104"/>
      <c r="J239" s="104"/>
      <c r="K239" s="104"/>
      <c r="L239" s="140"/>
      <c r="M239" s="101"/>
      <c r="N239" s="127"/>
      <c r="O239" s="95"/>
      <c r="P239" s="98"/>
      <c r="Q239" s="95"/>
      <c r="R239" s="100"/>
      <c r="S239" s="95"/>
      <c r="T239" s="95"/>
      <c r="U239" s="96"/>
      <c r="V239" s="96"/>
      <c r="W239" s="96"/>
      <c r="X239" s="96"/>
      <c r="Y239" s="96"/>
      <c r="Z239" s="97"/>
    </row>
    <row r="240" spans="6:26" x14ac:dyDescent="0.25">
      <c r="F240" s="438"/>
      <c r="G240" s="104"/>
      <c r="H240" s="104"/>
      <c r="I240" s="104"/>
      <c r="J240" s="104"/>
      <c r="K240" s="104"/>
      <c r="L240" s="140"/>
      <c r="M240" s="101"/>
      <c r="N240" s="127"/>
      <c r="O240" s="95"/>
      <c r="P240" s="98"/>
      <c r="Q240" s="95"/>
      <c r="R240" s="100"/>
      <c r="S240" s="95"/>
      <c r="T240" s="95"/>
      <c r="U240" s="96"/>
      <c r="V240" s="96"/>
      <c r="W240" s="96"/>
      <c r="X240" s="96"/>
      <c r="Y240" s="96"/>
      <c r="Z240" s="97"/>
    </row>
    <row r="241" spans="6:26" x14ac:dyDescent="0.25">
      <c r="F241" s="438"/>
      <c r="G241" s="104"/>
      <c r="H241" s="104"/>
      <c r="I241" s="104"/>
      <c r="J241" s="104"/>
      <c r="K241" s="104"/>
      <c r="L241" s="140"/>
      <c r="M241" s="101"/>
      <c r="N241" s="127"/>
      <c r="O241" s="95"/>
      <c r="P241" s="98"/>
      <c r="Q241" s="95"/>
      <c r="R241" s="100"/>
      <c r="S241" s="95"/>
      <c r="T241" s="95"/>
      <c r="U241" s="96"/>
      <c r="V241" s="96"/>
      <c r="W241" s="96"/>
      <c r="X241" s="96"/>
      <c r="Y241" s="96"/>
      <c r="Z241" s="97"/>
    </row>
    <row r="242" spans="6:26" x14ac:dyDescent="0.25">
      <c r="F242" s="438"/>
      <c r="G242" s="104"/>
      <c r="H242" s="104"/>
      <c r="I242" s="104"/>
      <c r="J242" s="104"/>
      <c r="K242" s="104"/>
      <c r="L242" s="140"/>
      <c r="M242" s="101"/>
      <c r="N242" s="127"/>
      <c r="O242" s="95"/>
      <c r="P242" s="98"/>
      <c r="Q242" s="95"/>
      <c r="R242" s="100"/>
      <c r="S242" s="95"/>
      <c r="T242" s="95"/>
      <c r="U242" s="96"/>
      <c r="V242" s="96"/>
      <c r="W242" s="96"/>
      <c r="X242" s="96"/>
      <c r="Y242" s="96"/>
      <c r="Z242" s="97"/>
    </row>
    <row r="243" spans="6:26" x14ac:dyDescent="0.25">
      <c r="F243" s="438"/>
      <c r="G243" s="104"/>
      <c r="H243" s="104"/>
      <c r="I243" s="104"/>
      <c r="J243" s="104"/>
      <c r="K243" s="104"/>
      <c r="L243" s="140"/>
      <c r="M243" s="101"/>
      <c r="N243" s="127"/>
      <c r="O243" s="95"/>
      <c r="P243" s="98"/>
      <c r="Q243" s="95"/>
      <c r="R243" s="100"/>
      <c r="S243" s="95"/>
      <c r="T243" s="95"/>
      <c r="U243" s="96"/>
      <c r="V243" s="96"/>
      <c r="W243" s="96"/>
      <c r="X243" s="96"/>
      <c r="Y243" s="96"/>
      <c r="Z243" s="97"/>
    </row>
    <row r="244" spans="6:26" x14ac:dyDescent="0.25">
      <c r="F244" s="438"/>
      <c r="G244" s="104"/>
      <c r="H244" s="104"/>
      <c r="I244" s="104"/>
      <c r="J244" s="104"/>
      <c r="K244" s="104"/>
      <c r="L244" s="140"/>
      <c r="M244" s="101"/>
      <c r="N244" s="127"/>
      <c r="O244" s="95"/>
      <c r="P244" s="98"/>
      <c r="Q244" s="95"/>
      <c r="R244" s="100"/>
      <c r="S244" s="95"/>
      <c r="T244" s="95"/>
      <c r="U244" s="96"/>
      <c r="V244" s="96"/>
      <c r="W244" s="96"/>
      <c r="X244" s="96"/>
      <c r="Y244" s="96"/>
      <c r="Z244" s="97"/>
    </row>
    <row r="245" spans="6:26" x14ac:dyDescent="0.25">
      <c r="F245" s="438"/>
      <c r="G245" s="104"/>
      <c r="H245" s="104"/>
      <c r="I245" s="104"/>
      <c r="J245" s="104"/>
      <c r="K245" s="104"/>
      <c r="L245" s="140"/>
      <c r="M245" s="101"/>
      <c r="N245" s="127"/>
      <c r="O245" s="95"/>
      <c r="P245" s="98"/>
      <c r="Q245" s="95"/>
      <c r="R245" s="100"/>
      <c r="S245" s="95"/>
      <c r="T245" s="95"/>
      <c r="U245" s="96"/>
      <c r="V245" s="96"/>
      <c r="W245" s="96"/>
      <c r="X245" s="96"/>
      <c r="Y245" s="96"/>
      <c r="Z245" s="97"/>
    </row>
    <row r="246" spans="6:26" x14ac:dyDescent="0.25">
      <c r="F246" s="438"/>
      <c r="G246" s="104"/>
      <c r="H246" s="104"/>
      <c r="I246" s="104"/>
      <c r="J246" s="104"/>
      <c r="K246" s="104"/>
      <c r="L246" s="140"/>
      <c r="M246" s="101"/>
      <c r="N246" s="127"/>
      <c r="O246" s="95"/>
      <c r="P246" s="98"/>
      <c r="Q246" s="95"/>
      <c r="R246" s="100"/>
      <c r="S246" s="95"/>
      <c r="T246" s="95"/>
      <c r="U246" s="96"/>
      <c r="V246" s="96"/>
      <c r="W246" s="96"/>
      <c r="X246" s="96"/>
      <c r="Y246" s="96"/>
      <c r="Z246" s="97"/>
    </row>
    <row r="247" spans="6:26" x14ac:dyDescent="0.25">
      <c r="F247" s="438"/>
      <c r="G247" s="104"/>
      <c r="H247" s="104"/>
      <c r="I247" s="104"/>
      <c r="J247" s="104"/>
      <c r="K247" s="104"/>
      <c r="L247" s="140"/>
      <c r="M247" s="101"/>
      <c r="N247" s="127"/>
      <c r="O247" s="95"/>
      <c r="P247" s="98"/>
      <c r="Q247" s="95"/>
      <c r="R247" s="100"/>
      <c r="S247" s="95"/>
      <c r="T247" s="95"/>
      <c r="U247" s="96"/>
      <c r="V247" s="96"/>
      <c r="W247" s="96"/>
      <c r="X247" s="96"/>
      <c r="Y247" s="96"/>
      <c r="Z247" s="97"/>
    </row>
    <row r="248" spans="6:26" x14ac:dyDescent="0.25">
      <c r="F248" s="438"/>
      <c r="G248" s="104"/>
      <c r="H248" s="104"/>
      <c r="I248" s="104"/>
      <c r="J248" s="104"/>
      <c r="K248" s="104"/>
      <c r="L248" s="140"/>
      <c r="M248" s="101"/>
      <c r="N248" s="127"/>
      <c r="O248" s="95"/>
      <c r="P248" s="98"/>
      <c r="Q248" s="95"/>
      <c r="R248" s="100"/>
      <c r="S248" s="95"/>
      <c r="T248" s="95"/>
      <c r="U248" s="96"/>
      <c r="V248" s="96"/>
      <c r="W248" s="96"/>
      <c r="X248" s="96"/>
      <c r="Y248" s="96"/>
      <c r="Z248" s="97"/>
    </row>
    <row r="249" spans="6:26" x14ac:dyDescent="0.25">
      <c r="F249" s="438"/>
      <c r="G249" s="104"/>
      <c r="H249" s="104"/>
      <c r="I249" s="104"/>
      <c r="J249" s="104"/>
      <c r="K249" s="104"/>
      <c r="L249" s="140"/>
      <c r="M249" s="101"/>
      <c r="N249" s="127"/>
      <c r="O249" s="95"/>
      <c r="P249" s="98"/>
      <c r="Q249" s="95"/>
      <c r="R249" s="100"/>
      <c r="S249" s="95"/>
      <c r="T249" s="95"/>
      <c r="U249" s="96"/>
      <c r="V249" s="96"/>
      <c r="W249" s="96"/>
      <c r="X249" s="96"/>
      <c r="Y249" s="96"/>
      <c r="Z249" s="97"/>
    </row>
    <row r="250" spans="6:26" x14ac:dyDescent="0.25">
      <c r="F250" s="438"/>
      <c r="G250" s="104"/>
      <c r="H250" s="104"/>
      <c r="I250" s="104"/>
      <c r="J250" s="104"/>
      <c r="K250" s="104"/>
      <c r="L250" s="140"/>
      <c r="M250" s="101"/>
      <c r="N250" s="127"/>
      <c r="O250" s="95"/>
      <c r="P250" s="98"/>
      <c r="Q250" s="95"/>
      <c r="R250" s="100"/>
      <c r="S250" s="95"/>
      <c r="T250" s="95"/>
      <c r="U250" s="96"/>
      <c r="V250" s="96"/>
      <c r="W250" s="96"/>
      <c r="X250" s="96"/>
      <c r="Y250" s="96"/>
      <c r="Z250" s="97"/>
    </row>
    <row r="251" spans="6:26" x14ac:dyDescent="0.25">
      <c r="F251" s="438"/>
      <c r="G251" s="104"/>
      <c r="H251" s="104"/>
      <c r="I251" s="104"/>
      <c r="J251" s="104"/>
      <c r="K251" s="104"/>
      <c r="L251" s="140"/>
      <c r="M251" s="101"/>
      <c r="N251" s="127"/>
      <c r="O251" s="95"/>
      <c r="P251" s="98"/>
      <c r="Q251" s="95"/>
      <c r="R251" s="100"/>
      <c r="S251" s="95"/>
      <c r="T251" s="95"/>
      <c r="U251" s="96"/>
      <c r="V251" s="96"/>
      <c r="W251" s="96"/>
      <c r="X251" s="96"/>
      <c r="Y251" s="96"/>
      <c r="Z251" s="97"/>
    </row>
    <row r="252" spans="6:26" x14ac:dyDescent="0.25">
      <c r="F252" s="438"/>
      <c r="G252" s="104"/>
      <c r="H252" s="104"/>
      <c r="I252" s="104"/>
      <c r="J252" s="104"/>
      <c r="K252" s="104"/>
      <c r="L252" s="140"/>
      <c r="M252" s="101"/>
      <c r="N252" s="127"/>
      <c r="O252" s="95"/>
      <c r="P252" s="98"/>
      <c r="Q252" s="95"/>
      <c r="R252" s="100"/>
      <c r="S252" s="95"/>
      <c r="T252" s="95"/>
      <c r="U252" s="96"/>
      <c r="V252" s="96"/>
      <c r="W252" s="96"/>
      <c r="X252" s="96"/>
      <c r="Y252" s="96"/>
      <c r="Z252" s="97"/>
    </row>
    <row r="253" spans="6:26" x14ac:dyDescent="0.25">
      <c r="F253" s="438"/>
      <c r="G253" s="104"/>
      <c r="H253" s="104"/>
      <c r="I253" s="104"/>
      <c r="J253" s="104"/>
      <c r="K253" s="104"/>
      <c r="L253" s="140"/>
      <c r="M253" s="101"/>
      <c r="N253" s="127"/>
      <c r="O253" s="95"/>
      <c r="P253" s="98"/>
      <c r="Q253" s="95"/>
      <c r="R253" s="100"/>
      <c r="S253" s="95"/>
      <c r="T253" s="95"/>
      <c r="U253" s="96"/>
      <c r="V253" s="96"/>
      <c r="W253" s="96"/>
      <c r="X253" s="96"/>
      <c r="Y253" s="96"/>
      <c r="Z253" s="97"/>
    </row>
    <row r="254" spans="6:26" x14ac:dyDescent="0.25">
      <c r="F254" s="438"/>
      <c r="G254" s="104"/>
      <c r="H254" s="104"/>
      <c r="I254" s="104"/>
      <c r="J254" s="104"/>
      <c r="K254" s="104"/>
      <c r="L254" s="140"/>
      <c r="M254" s="101"/>
      <c r="N254" s="127"/>
      <c r="O254" s="95"/>
      <c r="P254" s="98"/>
      <c r="Q254" s="95"/>
      <c r="R254" s="100"/>
      <c r="S254" s="95"/>
      <c r="T254" s="95"/>
      <c r="U254" s="96"/>
      <c r="V254" s="96"/>
      <c r="W254" s="96"/>
      <c r="X254" s="96"/>
      <c r="Y254" s="96"/>
      <c r="Z254" s="97"/>
    </row>
    <row r="255" spans="6:26" x14ac:dyDescent="0.25">
      <c r="F255" s="438"/>
      <c r="G255" s="104"/>
      <c r="H255" s="104"/>
      <c r="I255" s="104"/>
      <c r="J255" s="104"/>
      <c r="K255" s="104"/>
      <c r="L255" s="140"/>
      <c r="M255" s="101"/>
      <c r="N255" s="127"/>
      <c r="O255" s="95"/>
      <c r="P255" s="98"/>
      <c r="Q255" s="95"/>
      <c r="R255" s="100"/>
      <c r="S255" s="95"/>
      <c r="T255" s="95"/>
      <c r="U255" s="96"/>
      <c r="V255" s="96"/>
      <c r="W255" s="96"/>
      <c r="X255" s="96"/>
      <c r="Y255" s="96"/>
      <c r="Z255" s="97"/>
    </row>
    <row r="256" spans="6:26" x14ac:dyDescent="0.25">
      <c r="F256" s="438"/>
      <c r="G256" s="104"/>
      <c r="H256" s="104"/>
      <c r="I256" s="104"/>
      <c r="J256" s="104"/>
      <c r="K256" s="104"/>
      <c r="L256" s="140"/>
      <c r="M256" s="101"/>
      <c r="N256" s="127"/>
      <c r="O256" s="95"/>
      <c r="P256" s="98"/>
      <c r="Q256" s="95"/>
      <c r="R256" s="100"/>
      <c r="S256" s="95"/>
      <c r="T256" s="95"/>
      <c r="U256" s="96"/>
      <c r="V256" s="96"/>
      <c r="W256" s="96"/>
      <c r="X256" s="96"/>
      <c r="Y256" s="96"/>
      <c r="Z256" s="97"/>
    </row>
    <row r="257" spans="6:26" x14ac:dyDescent="0.25">
      <c r="F257" s="438"/>
      <c r="G257" s="104"/>
      <c r="H257" s="104"/>
      <c r="I257" s="104"/>
      <c r="J257" s="104"/>
      <c r="K257" s="104"/>
      <c r="L257" s="140"/>
      <c r="M257" s="101"/>
      <c r="N257" s="127"/>
      <c r="O257" s="95"/>
      <c r="P257" s="98"/>
      <c r="Q257" s="95"/>
      <c r="R257" s="100"/>
      <c r="S257" s="95"/>
      <c r="T257" s="95"/>
      <c r="U257" s="96"/>
      <c r="V257" s="96"/>
      <c r="W257" s="96"/>
      <c r="X257" s="96"/>
      <c r="Y257" s="96"/>
      <c r="Z257" s="97"/>
    </row>
    <row r="258" spans="6:26" x14ac:dyDescent="0.25">
      <c r="F258" s="438"/>
      <c r="G258" s="104"/>
      <c r="H258" s="104"/>
      <c r="I258" s="104"/>
      <c r="J258" s="104"/>
      <c r="K258" s="104"/>
      <c r="L258" s="140"/>
      <c r="M258" s="101"/>
      <c r="N258" s="127"/>
      <c r="O258" s="95"/>
      <c r="P258" s="98"/>
      <c r="Q258" s="95"/>
      <c r="R258" s="100"/>
      <c r="S258" s="95"/>
      <c r="T258" s="95"/>
      <c r="U258" s="96"/>
      <c r="V258" s="96"/>
      <c r="W258" s="96"/>
      <c r="X258" s="96"/>
      <c r="Y258" s="96"/>
      <c r="Z258" s="97"/>
    </row>
    <row r="259" spans="6:26" x14ac:dyDescent="0.25">
      <c r="F259" s="438"/>
      <c r="G259" s="104"/>
      <c r="H259" s="104"/>
      <c r="I259" s="104"/>
      <c r="J259" s="104"/>
      <c r="K259" s="104"/>
      <c r="L259" s="140"/>
      <c r="M259" s="101"/>
      <c r="N259" s="127"/>
      <c r="O259" s="95"/>
      <c r="P259" s="98"/>
      <c r="Q259" s="95"/>
      <c r="R259" s="100"/>
      <c r="S259" s="95"/>
      <c r="T259" s="95"/>
      <c r="U259" s="96"/>
      <c r="V259" s="96"/>
      <c r="W259" s="96"/>
      <c r="X259" s="96"/>
      <c r="Y259" s="96"/>
      <c r="Z259" s="97"/>
    </row>
    <row r="260" spans="6:26" x14ac:dyDescent="0.25">
      <c r="F260" s="438"/>
      <c r="G260" s="104"/>
      <c r="H260" s="104"/>
      <c r="I260" s="104"/>
      <c r="J260" s="104"/>
      <c r="K260" s="104"/>
      <c r="L260" s="140"/>
      <c r="M260" s="101"/>
      <c r="N260" s="127"/>
      <c r="O260" s="95"/>
      <c r="P260" s="98"/>
      <c r="Q260" s="95"/>
      <c r="R260" s="100"/>
      <c r="S260" s="95"/>
      <c r="T260" s="95"/>
      <c r="U260" s="96"/>
      <c r="V260" s="96"/>
      <c r="W260" s="96"/>
      <c r="X260" s="96"/>
      <c r="Y260" s="96"/>
      <c r="Z260" s="97"/>
    </row>
    <row r="261" spans="6:26" x14ac:dyDescent="0.25">
      <c r="F261" s="438"/>
      <c r="G261" s="104"/>
      <c r="H261" s="104"/>
      <c r="I261" s="104"/>
      <c r="J261" s="104"/>
      <c r="K261" s="104"/>
      <c r="L261" s="140"/>
      <c r="M261" s="101"/>
      <c r="N261" s="127"/>
      <c r="O261" s="95"/>
      <c r="P261" s="98"/>
      <c r="Q261" s="95"/>
      <c r="R261" s="100"/>
      <c r="S261" s="95"/>
      <c r="T261" s="95"/>
      <c r="U261" s="96"/>
      <c r="V261" s="96"/>
      <c r="W261" s="96"/>
      <c r="X261" s="96"/>
      <c r="Y261" s="96"/>
      <c r="Z261" s="97"/>
    </row>
    <row r="262" spans="6:26" x14ac:dyDescent="0.25">
      <c r="F262" s="438"/>
      <c r="G262" s="104"/>
      <c r="H262" s="104"/>
      <c r="I262" s="104"/>
      <c r="J262" s="104"/>
      <c r="K262" s="104"/>
      <c r="L262" s="140"/>
      <c r="M262" s="101"/>
      <c r="N262" s="127"/>
      <c r="O262" s="95"/>
      <c r="P262" s="98"/>
      <c r="Q262" s="95"/>
      <c r="R262" s="100"/>
      <c r="S262" s="95"/>
      <c r="T262" s="95"/>
      <c r="U262" s="96"/>
      <c r="V262" s="96"/>
      <c r="W262" s="96"/>
      <c r="X262" s="96"/>
      <c r="Y262" s="96"/>
      <c r="Z262" s="97"/>
    </row>
    <row r="263" spans="6:26" x14ac:dyDescent="0.25">
      <c r="F263" s="438"/>
      <c r="G263" s="104"/>
      <c r="H263" s="104"/>
      <c r="I263" s="104"/>
      <c r="J263" s="104"/>
      <c r="K263" s="104"/>
      <c r="L263" s="140"/>
      <c r="M263" s="101"/>
      <c r="N263" s="127"/>
      <c r="O263" s="95"/>
      <c r="P263" s="98"/>
      <c r="Q263" s="95"/>
      <c r="R263" s="100"/>
      <c r="S263" s="95"/>
      <c r="T263" s="95"/>
      <c r="U263" s="96"/>
      <c r="V263" s="96"/>
      <c r="W263" s="96"/>
      <c r="X263" s="96"/>
      <c r="Y263" s="96"/>
      <c r="Z263" s="97"/>
    </row>
    <row r="264" spans="6:26" x14ac:dyDescent="0.25">
      <c r="F264" s="438"/>
      <c r="G264" s="104"/>
      <c r="H264" s="104"/>
      <c r="I264" s="104"/>
      <c r="J264" s="104"/>
      <c r="K264" s="104"/>
      <c r="L264" s="140"/>
      <c r="M264" s="101"/>
      <c r="N264" s="127"/>
      <c r="O264" s="95"/>
      <c r="P264" s="98"/>
      <c r="Q264" s="95"/>
      <c r="R264" s="100"/>
      <c r="S264" s="95"/>
      <c r="T264" s="95"/>
      <c r="U264" s="96"/>
      <c r="V264" s="96"/>
      <c r="W264" s="96"/>
      <c r="X264" s="96"/>
      <c r="Y264" s="96"/>
      <c r="Z264" s="97"/>
    </row>
    <row r="265" spans="6:26" x14ac:dyDescent="0.25">
      <c r="F265" s="438"/>
      <c r="G265" s="104"/>
      <c r="H265" s="104"/>
      <c r="I265" s="104"/>
      <c r="J265" s="104"/>
      <c r="K265" s="104"/>
      <c r="L265" s="140"/>
      <c r="M265" s="101"/>
      <c r="N265" s="127"/>
      <c r="O265" s="95"/>
      <c r="P265" s="98"/>
      <c r="Q265" s="95"/>
      <c r="R265" s="100"/>
      <c r="S265" s="95"/>
      <c r="T265" s="95"/>
      <c r="U265" s="96"/>
      <c r="V265" s="96"/>
      <c r="W265" s="96"/>
      <c r="X265" s="96"/>
      <c r="Y265" s="96"/>
      <c r="Z265" s="97"/>
    </row>
    <row r="266" spans="6:26" x14ac:dyDescent="0.25">
      <c r="F266" s="438"/>
      <c r="G266" s="104"/>
      <c r="H266" s="104"/>
      <c r="I266" s="104"/>
      <c r="J266" s="104"/>
      <c r="K266" s="104"/>
      <c r="L266" s="140"/>
      <c r="M266" s="101"/>
      <c r="N266" s="127"/>
      <c r="O266" s="95"/>
      <c r="P266" s="98"/>
      <c r="Q266" s="95"/>
      <c r="R266" s="100"/>
      <c r="S266" s="95"/>
      <c r="T266" s="95"/>
      <c r="U266" s="96"/>
      <c r="V266" s="96"/>
      <c r="W266" s="96"/>
      <c r="X266" s="96"/>
      <c r="Y266" s="96"/>
      <c r="Z266" s="97"/>
    </row>
    <row r="267" spans="6:26" x14ac:dyDescent="0.25">
      <c r="F267" s="438"/>
      <c r="G267" s="104"/>
      <c r="H267" s="104"/>
      <c r="I267" s="104"/>
      <c r="J267" s="104"/>
      <c r="K267" s="104"/>
      <c r="L267" s="140"/>
      <c r="M267" s="101"/>
      <c r="N267" s="127"/>
      <c r="O267" s="95"/>
      <c r="P267" s="98"/>
      <c r="Q267" s="95"/>
      <c r="R267" s="100"/>
      <c r="S267" s="95"/>
      <c r="T267" s="95"/>
      <c r="U267" s="96"/>
      <c r="V267" s="96"/>
      <c r="W267" s="96"/>
      <c r="X267" s="96"/>
      <c r="Y267" s="96"/>
      <c r="Z267" s="97"/>
    </row>
    <row r="268" spans="6:26" x14ac:dyDescent="0.25">
      <c r="F268" s="438"/>
      <c r="G268" s="104"/>
      <c r="H268" s="104"/>
      <c r="I268" s="104"/>
      <c r="J268" s="104"/>
      <c r="K268" s="104"/>
      <c r="L268" s="140"/>
      <c r="M268" s="101"/>
      <c r="N268" s="127"/>
      <c r="O268" s="95"/>
      <c r="P268" s="98"/>
      <c r="Q268" s="95"/>
      <c r="R268" s="100"/>
      <c r="S268" s="95"/>
      <c r="T268" s="95"/>
      <c r="U268" s="96"/>
      <c r="V268" s="96"/>
      <c r="W268" s="96"/>
      <c r="X268" s="96"/>
      <c r="Y268" s="96"/>
      <c r="Z268" s="97"/>
    </row>
    <row r="269" spans="6:26" x14ac:dyDescent="0.25">
      <c r="F269" s="438"/>
      <c r="G269" s="104"/>
      <c r="H269" s="104"/>
      <c r="I269" s="104"/>
      <c r="J269" s="104"/>
      <c r="K269" s="104"/>
      <c r="L269" s="140"/>
      <c r="M269" s="101"/>
      <c r="N269" s="127"/>
      <c r="O269" s="95"/>
      <c r="P269" s="98"/>
      <c r="Q269" s="95"/>
      <c r="R269" s="100"/>
      <c r="S269" s="95"/>
      <c r="T269" s="95"/>
      <c r="U269" s="96"/>
      <c r="V269" s="96"/>
      <c r="W269" s="96"/>
      <c r="X269" s="96"/>
      <c r="Y269" s="96"/>
      <c r="Z269" s="97"/>
    </row>
    <row r="270" spans="6:26" x14ac:dyDescent="0.25">
      <c r="F270" s="438"/>
      <c r="G270" s="104"/>
      <c r="H270" s="104"/>
      <c r="I270" s="104"/>
      <c r="J270" s="104"/>
      <c r="K270" s="104"/>
      <c r="L270" s="140"/>
      <c r="M270" s="101"/>
      <c r="N270" s="127"/>
      <c r="O270" s="95"/>
      <c r="P270" s="98"/>
      <c r="Q270" s="95"/>
      <c r="R270" s="100"/>
      <c r="S270" s="95"/>
      <c r="T270" s="95"/>
      <c r="U270" s="96"/>
      <c r="V270" s="96"/>
      <c r="W270" s="96"/>
      <c r="X270" s="96"/>
      <c r="Y270" s="96"/>
      <c r="Z270" s="97"/>
    </row>
    <row r="271" spans="6:26" x14ac:dyDescent="0.25">
      <c r="F271" s="438"/>
      <c r="G271" s="104"/>
      <c r="H271" s="104"/>
      <c r="I271" s="104"/>
      <c r="J271" s="104"/>
      <c r="K271" s="104"/>
      <c r="L271" s="140"/>
      <c r="M271" s="101"/>
      <c r="N271" s="127"/>
      <c r="O271" s="95"/>
      <c r="P271" s="98"/>
      <c r="Q271" s="95"/>
      <c r="R271" s="100"/>
      <c r="S271" s="95"/>
      <c r="T271" s="95"/>
      <c r="U271" s="96"/>
      <c r="V271" s="96"/>
      <c r="W271" s="96"/>
      <c r="X271" s="96"/>
      <c r="Y271" s="96"/>
      <c r="Z271" s="97"/>
    </row>
    <row r="272" spans="6:26" x14ac:dyDescent="0.25">
      <c r="F272" s="438"/>
      <c r="G272" s="104"/>
      <c r="H272" s="104"/>
      <c r="I272" s="104"/>
      <c r="J272" s="104"/>
      <c r="K272" s="104"/>
      <c r="L272" s="140"/>
      <c r="M272" s="101"/>
      <c r="N272" s="127"/>
      <c r="O272" s="95"/>
      <c r="P272" s="98"/>
      <c r="Q272" s="95"/>
      <c r="R272" s="100"/>
      <c r="S272" s="95"/>
      <c r="T272" s="95"/>
      <c r="U272" s="96"/>
      <c r="V272" s="96"/>
      <c r="W272" s="96"/>
      <c r="X272" s="96"/>
      <c r="Y272" s="96"/>
      <c r="Z272" s="97"/>
    </row>
    <row r="273" spans="6:26" x14ac:dyDescent="0.25">
      <c r="F273" s="438"/>
      <c r="G273" s="104"/>
      <c r="H273" s="104"/>
      <c r="I273" s="104"/>
      <c r="J273" s="104"/>
      <c r="K273" s="104"/>
      <c r="L273" s="140"/>
      <c r="M273" s="101"/>
      <c r="N273" s="127"/>
      <c r="O273" s="95"/>
      <c r="P273" s="98"/>
      <c r="Q273" s="95"/>
      <c r="R273" s="100"/>
      <c r="S273" s="95"/>
      <c r="T273" s="95"/>
      <c r="U273" s="96"/>
      <c r="V273" s="96"/>
      <c r="W273" s="96"/>
      <c r="X273" s="96"/>
      <c r="Y273" s="96"/>
      <c r="Z273" s="97"/>
    </row>
    <row r="274" spans="6:26" x14ac:dyDescent="0.25">
      <c r="F274" s="438"/>
      <c r="G274" s="104"/>
      <c r="H274" s="104"/>
      <c r="I274" s="104"/>
      <c r="J274" s="104"/>
      <c r="K274" s="104"/>
      <c r="L274" s="140"/>
      <c r="M274" s="101"/>
      <c r="N274" s="127"/>
      <c r="O274" s="95"/>
      <c r="P274" s="98"/>
      <c r="Q274" s="95"/>
      <c r="R274" s="100"/>
      <c r="S274" s="95"/>
      <c r="T274" s="95"/>
      <c r="U274" s="96"/>
      <c r="V274" s="96"/>
      <c r="W274" s="96"/>
      <c r="X274" s="96"/>
      <c r="Y274" s="96"/>
      <c r="Z274" s="97"/>
    </row>
    <row r="275" spans="6:26" x14ac:dyDescent="0.25">
      <c r="F275" s="438"/>
      <c r="G275" s="104"/>
      <c r="H275" s="104"/>
      <c r="I275" s="104"/>
      <c r="J275" s="104"/>
      <c r="K275" s="104"/>
      <c r="L275" s="140"/>
      <c r="M275" s="101"/>
      <c r="N275" s="127"/>
      <c r="O275" s="95"/>
      <c r="P275" s="98"/>
      <c r="Q275" s="95"/>
      <c r="R275" s="100"/>
      <c r="S275" s="95"/>
      <c r="T275" s="95"/>
      <c r="U275" s="96"/>
      <c r="V275" s="96"/>
      <c r="W275" s="96"/>
      <c r="X275" s="96"/>
      <c r="Y275" s="96"/>
      <c r="Z275" s="97"/>
    </row>
    <row r="276" spans="6:26" x14ac:dyDescent="0.25">
      <c r="F276" s="438"/>
      <c r="G276" s="104"/>
      <c r="H276" s="104"/>
      <c r="I276" s="104"/>
      <c r="J276" s="104"/>
      <c r="K276" s="104"/>
      <c r="L276" s="140"/>
      <c r="M276" s="101"/>
      <c r="N276" s="127"/>
      <c r="O276" s="95"/>
      <c r="P276" s="98"/>
      <c r="Q276" s="95"/>
      <c r="R276" s="100"/>
      <c r="S276" s="95"/>
      <c r="T276" s="95"/>
      <c r="U276" s="96"/>
      <c r="V276" s="96"/>
      <c r="W276" s="96"/>
      <c r="X276" s="96"/>
      <c r="Y276" s="96"/>
      <c r="Z276" s="97"/>
    </row>
    <row r="277" spans="6:26" x14ac:dyDescent="0.25">
      <c r="F277" s="438"/>
      <c r="G277" s="104"/>
      <c r="H277" s="104"/>
      <c r="I277" s="104"/>
      <c r="J277" s="104"/>
      <c r="K277" s="104"/>
      <c r="L277" s="140"/>
      <c r="M277" s="101"/>
      <c r="N277" s="127"/>
      <c r="O277" s="95"/>
      <c r="P277" s="98"/>
      <c r="Q277" s="95"/>
      <c r="R277" s="100"/>
      <c r="S277" s="95"/>
      <c r="T277" s="95"/>
      <c r="U277" s="96"/>
      <c r="V277" s="96"/>
      <c r="W277" s="96"/>
      <c r="X277" s="96"/>
      <c r="Y277" s="96"/>
      <c r="Z277" s="97"/>
    </row>
    <row r="278" spans="6:26" x14ac:dyDescent="0.25">
      <c r="F278" s="438"/>
      <c r="G278" s="104"/>
      <c r="H278" s="104"/>
      <c r="I278" s="104"/>
      <c r="J278" s="104"/>
      <c r="K278" s="104"/>
      <c r="L278" s="140"/>
      <c r="M278" s="101"/>
      <c r="N278" s="127"/>
      <c r="O278" s="95"/>
      <c r="P278" s="98"/>
      <c r="Q278" s="95"/>
      <c r="R278" s="100"/>
      <c r="S278" s="95"/>
      <c r="T278" s="95"/>
      <c r="U278" s="96"/>
      <c r="V278" s="96"/>
      <c r="W278" s="96"/>
      <c r="X278" s="96"/>
      <c r="Y278" s="96"/>
      <c r="Z278" s="97"/>
    </row>
    <row r="279" spans="6:26" x14ac:dyDescent="0.25">
      <c r="F279" s="438"/>
      <c r="G279" s="104"/>
      <c r="H279" s="104"/>
      <c r="I279" s="104"/>
      <c r="J279" s="104"/>
      <c r="K279" s="104"/>
      <c r="L279" s="140"/>
      <c r="M279" s="101"/>
      <c r="N279" s="127"/>
      <c r="O279" s="95"/>
      <c r="P279" s="98"/>
      <c r="Q279" s="95"/>
      <c r="R279" s="100"/>
      <c r="S279" s="95"/>
      <c r="T279" s="95"/>
      <c r="U279" s="96"/>
      <c r="V279" s="96"/>
      <c r="W279" s="96"/>
      <c r="X279" s="96"/>
      <c r="Y279" s="96"/>
      <c r="Z279" s="97"/>
    </row>
    <row r="280" spans="6:26" x14ac:dyDescent="0.25">
      <c r="F280" s="438"/>
      <c r="G280" s="104"/>
      <c r="H280" s="104"/>
      <c r="I280" s="104"/>
      <c r="J280" s="104"/>
      <c r="K280" s="104"/>
      <c r="L280" s="140"/>
      <c r="M280" s="101"/>
      <c r="N280" s="127"/>
      <c r="O280" s="95"/>
      <c r="P280" s="98"/>
      <c r="Q280" s="95"/>
      <c r="R280" s="100"/>
      <c r="S280" s="95"/>
      <c r="T280" s="95"/>
      <c r="U280" s="96"/>
      <c r="V280" s="96"/>
      <c r="W280" s="96"/>
      <c r="X280" s="96"/>
      <c r="Y280" s="96"/>
      <c r="Z280" s="97"/>
    </row>
    <row r="281" spans="6:26" x14ac:dyDescent="0.25">
      <c r="F281" s="438"/>
      <c r="G281" s="104"/>
      <c r="H281" s="104"/>
      <c r="I281" s="104"/>
      <c r="J281" s="104"/>
      <c r="K281" s="104"/>
      <c r="L281" s="140"/>
      <c r="M281" s="101"/>
      <c r="N281" s="127"/>
      <c r="O281" s="95"/>
      <c r="P281" s="98"/>
      <c r="Q281" s="95"/>
      <c r="R281" s="100"/>
      <c r="S281" s="95"/>
      <c r="T281" s="95"/>
      <c r="U281" s="96"/>
      <c r="V281" s="96"/>
      <c r="W281" s="96"/>
      <c r="X281" s="96"/>
      <c r="Y281" s="96"/>
      <c r="Z281" s="97"/>
    </row>
    <row r="282" spans="6:26" x14ac:dyDescent="0.25">
      <c r="F282" s="438"/>
      <c r="G282" s="104"/>
      <c r="H282" s="104"/>
      <c r="I282" s="104"/>
      <c r="J282" s="104"/>
      <c r="K282" s="104"/>
      <c r="L282" s="140"/>
      <c r="M282" s="101"/>
      <c r="N282" s="127"/>
      <c r="O282" s="95"/>
      <c r="P282" s="98"/>
      <c r="Q282" s="95"/>
      <c r="R282" s="100"/>
      <c r="S282" s="95"/>
      <c r="T282" s="95"/>
      <c r="U282" s="96"/>
      <c r="V282" s="96"/>
      <c r="W282" s="96"/>
      <c r="X282" s="96"/>
      <c r="Y282" s="96"/>
      <c r="Z282" s="97"/>
    </row>
    <row r="283" spans="6:26" x14ac:dyDescent="0.25">
      <c r="F283" s="438"/>
      <c r="G283" s="104"/>
      <c r="H283" s="104"/>
      <c r="I283" s="104"/>
      <c r="J283" s="104"/>
      <c r="K283" s="104"/>
      <c r="L283" s="140"/>
      <c r="M283" s="101"/>
      <c r="N283" s="127"/>
      <c r="O283" s="95"/>
      <c r="P283" s="98"/>
      <c r="Q283" s="95"/>
      <c r="R283" s="100"/>
      <c r="S283" s="95"/>
      <c r="T283" s="95"/>
      <c r="U283" s="96"/>
      <c r="V283" s="96"/>
      <c r="W283" s="96"/>
      <c r="X283" s="96"/>
      <c r="Y283" s="96"/>
      <c r="Z283" s="97"/>
    </row>
    <row r="284" spans="6:26" x14ac:dyDescent="0.25">
      <c r="F284" s="438"/>
      <c r="G284" s="104"/>
      <c r="H284" s="104"/>
      <c r="I284" s="104"/>
      <c r="J284" s="104"/>
      <c r="K284" s="104"/>
      <c r="L284" s="140"/>
      <c r="M284" s="101"/>
      <c r="N284" s="127"/>
      <c r="O284" s="95"/>
      <c r="P284" s="98"/>
      <c r="Q284" s="95"/>
      <c r="R284" s="100"/>
      <c r="S284" s="95"/>
      <c r="T284" s="95"/>
      <c r="U284" s="96"/>
      <c r="V284" s="96"/>
      <c r="W284" s="96"/>
      <c r="X284" s="96"/>
      <c r="Y284" s="96"/>
      <c r="Z284" s="97"/>
    </row>
    <row r="285" spans="6:26" x14ac:dyDescent="0.25">
      <c r="F285" s="438"/>
      <c r="G285" s="104"/>
      <c r="H285" s="104"/>
      <c r="I285" s="104"/>
      <c r="J285" s="104"/>
      <c r="K285" s="104"/>
      <c r="L285" s="140"/>
      <c r="M285" s="101"/>
      <c r="N285" s="127"/>
      <c r="O285" s="95"/>
      <c r="P285" s="98"/>
      <c r="Q285" s="95"/>
      <c r="R285" s="100"/>
      <c r="S285" s="95"/>
      <c r="T285" s="95"/>
      <c r="U285" s="96"/>
      <c r="V285" s="96"/>
      <c r="W285" s="96"/>
      <c r="X285" s="96"/>
      <c r="Y285" s="96"/>
      <c r="Z285" s="97"/>
    </row>
    <row r="286" spans="6:26" x14ac:dyDescent="0.25">
      <c r="F286" s="438"/>
      <c r="G286" s="104"/>
      <c r="H286" s="104"/>
      <c r="I286" s="104"/>
      <c r="J286" s="104"/>
      <c r="K286" s="104"/>
      <c r="L286" s="140"/>
      <c r="M286" s="101"/>
      <c r="N286" s="127"/>
      <c r="O286" s="95"/>
      <c r="P286" s="98"/>
      <c r="Q286" s="95"/>
      <c r="R286" s="100"/>
      <c r="S286" s="95"/>
      <c r="T286" s="95"/>
      <c r="U286" s="96"/>
      <c r="V286" s="96"/>
      <c r="W286" s="96"/>
      <c r="X286" s="96"/>
      <c r="Y286" s="96"/>
      <c r="Z286" s="97"/>
    </row>
    <row r="287" spans="6:26" x14ac:dyDescent="0.25">
      <c r="F287" s="438"/>
      <c r="G287" s="104"/>
      <c r="H287" s="104"/>
      <c r="I287" s="104"/>
      <c r="J287" s="104"/>
      <c r="K287" s="104"/>
      <c r="L287" s="140"/>
      <c r="M287" s="101"/>
      <c r="N287" s="127"/>
      <c r="O287" s="95"/>
      <c r="P287" s="98"/>
      <c r="Q287" s="95"/>
      <c r="R287" s="100"/>
      <c r="S287" s="95"/>
      <c r="T287" s="95"/>
      <c r="U287" s="96"/>
      <c r="V287" s="96"/>
      <c r="W287" s="96"/>
      <c r="X287" s="96"/>
      <c r="Y287" s="96"/>
      <c r="Z287" s="97"/>
    </row>
    <row r="288" spans="6:26" x14ac:dyDescent="0.25">
      <c r="F288" s="438"/>
      <c r="G288" s="104"/>
      <c r="H288" s="104"/>
      <c r="I288" s="104"/>
      <c r="J288" s="104"/>
      <c r="K288" s="104"/>
      <c r="L288" s="140"/>
      <c r="M288" s="101"/>
      <c r="N288" s="127"/>
      <c r="O288" s="95"/>
      <c r="P288" s="98"/>
      <c r="Q288" s="95"/>
      <c r="R288" s="100"/>
      <c r="S288" s="95"/>
      <c r="T288" s="95"/>
      <c r="U288" s="96"/>
      <c r="V288" s="96"/>
      <c r="W288" s="96"/>
      <c r="X288" s="96"/>
      <c r="Y288" s="96"/>
      <c r="Z288" s="97"/>
    </row>
    <row r="289" spans="6:26" x14ac:dyDescent="0.25">
      <c r="F289" s="438"/>
      <c r="G289" s="104"/>
      <c r="H289" s="104"/>
      <c r="I289" s="104"/>
      <c r="J289" s="104"/>
      <c r="K289" s="104"/>
      <c r="L289" s="140"/>
      <c r="M289" s="101"/>
      <c r="N289" s="127"/>
      <c r="O289" s="95"/>
      <c r="P289" s="98"/>
      <c r="Q289" s="95"/>
      <c r="R289" s="100"/>
      <c r="S289" s="95"/>
      <c r="T289" s="95"/>
      <c r="U289" s="96"/>
      <c r="V289" s="96"/>
      <c r="W289" s="96"/>
      <c r="X289" s="96"/>
      <c r="Y289" s="96"/>
      <c r="Z289" s="97"/>
    </row>
    <row r="290" spans="6:26" x14ac:dyDescent="0.25">
      <c r="F290" s="438"/>
      <c r="G290" s="104"/>
      <c r="H290" s="104"/>
      <c r="I290" s="104"/>
      <c r="J290" s="104"/>
      <c r="K290" s="104"/>
      <c r="L290" s="140"/>
      <c r="M290" s="101"/>
      <c r="N290" s="127"/>
      <c r="O290" s="95"/>
      <c r="P290" s="98"/>
      <c r="Q290" s="95"/>
      <c r="R290" s="100"/>
      <c r="S290" s="95"/>
      <c r="T290" s="95"/>
      <c r="U290" s="96"/>
      <c r="V290" s="96"/>
      <c r="W290" s="96"/>
      <c r="X290" s="96"/>
      <c r="Y290" s="96"/>
      <c r="Z290" s="97"/>
    </row>
    <row r="291" spans="6:26" x14ac:dyDescent="0.25">
      <c r="F291" s="438"/>
      <c r="G291" s="104"/>
      <c r="H291" s="104"/>
      <c r="I291" s="104"/>
      <c r="J291" s="104"/>
      <c r="K291" s="104"/>
      <c r="L291" s="140"/>
      <c r="M291" s="101"/>
      <c r="N291" s="127"/>
      <c r="O291" s="95"/>
      <c r="P291" s="98"/>
      <c r="Q291" s="95"/>
      <c r="R291" s="100"/>
      <c r="S291" s="95"/>
      <c r="T291" s="95"/>
      <c r="U291" s="96"/>
      <c r="V291" s="96"/>
      <c r="W291" s="96"/>
      <c r="X291" s="96"/>
      <c r="Y291" s="96"/>
      <c r="Z291" s="97"/>
    </row>
    <row r="292" spans="6:26" x14ac:dyDescent="0.25">
      <c r="F292" s="438"/>
      <c r="G292" s="104"/>
      <c r="H292" s="104"/>
      <c r="I292" s="104"/>
      <c r="J292" s="104"/>
      <c r="K292" s="104"/>
      <c r="L292" s="140"/>
      <c r="M292" s="101"/>
      <c r="N292" s="127"/>
      <c r="O292" s="95"/>
      <c r="P292" s="98"/>
      <c r="Q292" s="95"/>
      <c r="R292" s="100"/>
      <c r="S292" s="95"/>
      <c r="T292" s="95"/>
      <c r="U292" s="96"/>
      <c r="V292" s="96"/>
      <c r="W292" s="96"/>
      <c r="X292" s="96"/>
      <c r="Y292" s="96"/>
      <c r="Z292" s="97"/>
    </row>
    <row r="293" spans="6:26" x14ac:dyDescent="0.25">
      <c r="F293" s="438"/>
      <c r="G293" s="104"/>
      <c r="H293" s="104"/>
      <c r="I293" s="104"/>
      <c r="J293" s="104"/>
      <c r="K293" s="104"/>
      <c r="L293" s="140"/>
      <c r="M293" s="101"/>
      <c r="N293" s="127"/>
      <c r="O293" s="95"/>
      <c r="P293" s="98"/>
      <c r="Q293" s="95"/>
      <c r="R293" s="100"/>
      <c r="S293" s="95"/>
      <c r="T293" s="95"/>
      <c r="U293" s="96"/>
      <c r="V293" s="96"/>
      <c r="W293" s="96"/>
      <c r="X293" s="96"/>
      <c r="Y293" s="96"/>
      <c r="Z293" s="97"/>
    </row>
    <row r="294" spans="6:26" x14ac:dyDescent="0.25">
      <c r="F294" s="438"/>
      <c r="G294" s="104"/>
      <c r="H294" s="104"/>
      <c r="I294" s="104"/>
      <c r="J294" s="104"/>
      <c r="K294" s="104"/>
      <c r="L294" s="140"/>
      <c r="M294" s="101"/>
      <c r="N294" s="127"/>
      <c r="O294" s="95"/>
      <c r="P294" s="98"/>
      <c r="Q294" s="95"/>
      <c r="R294" s="100"/>
      <c r="S294" s="95"/>
      <c r="T294" s="95"/>
      <c r="U294" s="96"/>
      <c r="V294" s="96"/>
      <c r="W294" s="96"/>
      <c r="X294" s="96"/>
      <c r="Y294" s="96"/>
      <c r="Z294" s="97"/>
    </row>
    <row r="295" spans="6:26" x14ac:dyDescent="0.25">
      <c r="F295" s="438"/>
      <c r="G295" s="104"/>
      <c r="H295" s="104"/>
      <c r="I295" s="104"/>
      <c r="J295" s="104"/>
      <c r="K295" s="104"/>
      <c r="L295" s="140"/>
      <c r="M295" s="101"/>
      <c r="N295" s="127"/>
      <c r="O295" s="95"/>
      <c r="P295" s="98"/>
      <c r="Q295" s="95"/>
      <c r="R295" s="100"/>
      <c r="S295" s="95"/>
      <c r="T295" s="95"/>
      <c r="U295" s="96"/>
      <c r="V295" s="96"/>
      <c r="W295" s="96"/>
      <c r="X295" s="96"/>
      <c r="Y295" s="96"/>
      <c r="Z295" s="97"/>
    </row>
    <row r="296" spans="6:26" x14ac:dyDescent="0.25">
      <c r="F296" s="438"/>
      <c r="G296" s="104"/>
      <c r="H296" s="104"/>
      <c r="I296" s="104"/>
      <c r="J296" s="104"/>
      <c r="K296" s="104"/>
      <c r="L296" s="140"/>
      <c r="M296" s="101"/>
      <c r="N296" s="127"/>
      <c r="O296" s="95"/>
      <c r="P296" s="98"/>
      <c r="Q296" s="95"/>
      <c r="R296" s="100"/>
      <c r="S296" s="95"/>
      <c r="T296" s="95"/>
      <c r="U296" s="96"/>
      <c r="V296" s="96"/>
      <c r="W296" s="96"/>
      <c r="X296" s="96"/>
      <c r="Y296" s="96"/>
      <c r="Z296" s="97"/>
    </row>
    <row r="297" spans="6:26" x14ac:dyDescent="0.25">
      <c r="F297" s="438"/>
      <c r="G297" s="104"/>
      <c r="H297" s="104"/>
      <c r="I297" s="104"/>
      <c r="J297" s="104"/>
      <c r="K297" s="104"/>
      <c r="L297" s="140"/>
      <c r="M297" s="101"/>
      <c r="N297" s="127"/>
      <c r="O297" s="95"/>
      <c r="P297" s="98"/>
      <c r="Q297" s="95"/>
      <c r="R297" s="100"/>
      <c r="S297" s="95"/>
      <c r="T297" s="95"/>
      <c r="U297" s="96"/>
      <c r="V297" s="96"/>
      <c r="W297" s="96"/>
      <c r="X297" s="96"/>
      <c r="Y297" s="96"/>
      <c r="Z297" s="97"/>
    </row>
    <row r="298" spans="6:26" x14ac:dyDescent="0.25">
      <c r="F298" s="438"/>
      <c r="G298" s="104"/>
      <c r="H298" s="104"/>
      <c r="I298" s="104"/>
      <c r="J298" s="104"/>
      <c r="K298" s="104"/>
      <c r="L298" s="140"/>
      <c r="M298" s="101"/>
      <c r="N298" s="127"/>
      <c r="O298" s="95"/>
      <c r="P298" s="98"/>
      <c r="Q298" s="95"/>
      <c r="R298" s="100"/>
      <c r="S298" s="95"/>
      <c r="T298" s="95"/>
      <c r="U298" s="96"/>
      <c r="V298" s="96"/>
      <c r="W298" s="96"/>
      <c r="X298" s="96"/>
      <c r="Y298" s="96"/>
      <c r="Z298" s="97"/>
    </row>
    <row r="299" spans="6:26" x14ac:dyDescent="0.25">
      <c r="F299" s="438"/>
      <c r="G299" s="104"/>
      <c r="H299" s="104"/>
      <c r="I299" s="104"/>
      <c r="J299" s="104"/>
      <c r="K299" s="104"/>
      <c r="L299" s="140"/>
      <c r="M299" s="101"/>
      <c r="N299" s="127"/>
      <c r="O299" s="95"/>
      <c r="P299" s="98"/>
      <c r="Q299" s="95"/>
      <c r="R299" s="100"/>
      <c r="S299" s="95"/>
      <c r="T299" s="95"/>
      <c r="U299" s="96"/>
      <c r="V299" s="96"/>
      <c r="W299" s="96"/>
      <c r="X299" s="96"/>
      <c r="Y299" s="96"/>
      <c r="Z299" s="97"/>
    </row>
    <row r="300" spans="6:26" x14ac:dyDescent="0.25">
      <c r="F300" s="438"/>
      <c r="G300" s="104"/>
      <c r="H300" s="104"/>
      <c r="I300" s="104"/>
      <c r="J300" s="104"/>
      <c r="K300" s="104"/>
      <c r="L300" s="140"/>
      <c r="M300" s="101"/>
      <c r="N300" s="127"/>
      <c r="O300" s="95"/>
      <c r="P300" s="98"/>
      <c r="Q300" s="95"/>
      <c r="R300" s="100"/>
      <c r="S300" s="95"/>
      <c r="T300" s="95"/>
      <c r="U300" s="96"/>
      <c r="V300" s="96"/>
      <c r="W300" s="96"/>
      <c r="X300" s="96"/>
      <c r="Y300" s="96"/>
      <c r="Z300" s="97"/>
    </row>
    <row r="301" spans="6:26" x14ac:dyDescent="0.25">
      <c r="F301" s="438"/>
      <c r="G301" s="104"/>
      <c r="H301" s="104"/>
      <c r="I301" s="104"/>
      <c r="J301" s="104"/>
      <c r="K301" s="104"/>
      <c r="L301" s="140"/>
      <c r="M301" s="101"/>
      <c r="N301" s="127"/>
      <c r="O301" s="95"/>
      <c r="P301" s="98"/>
      <c r="Q301" s="95"/>
      <c r="R301" s="100"/>
      <c r="S301" s="95"/>
      <c r="T301" s="95"/>
      <c r="U301" s="96"/>
      <c r="V301" s="96"/>
      <c r="W301" s="96"/>
      <c r="X301" s="96"/>
      <c r="Y301" s="96"/>
      <c r="Z301" s="97"/>
    </row>
    <row r="302" spans="6:26" x14ac:dyDescent="0.25">
      <c r="F302" s="438"/>
      <c r="G302" s="104"/>
      <c r="H302" s="104"/>
      <c r="I302" s="104"/>
      <c r="J302" s="104"/>
      <c r="K302" s="104"/>
      <c r="L302" s="140"/>
      <c r="M302" s="101"/>
      <c r="N302" s="127"/>
      <c r="O302" s="95"/>
      <c r="P302" s="98"/>
      <c r="Q302" s="95"/>
      <c r="R302" s="100"/>
      <c r="S302" s="95"/>
      <c r="T302" s="95"/>
      <c r="U302" s="96"/>
      <c r="V302" s="96"/>
      <c r="W302" s="96"/>
      <c r="X302" s="96"/>
      <c r="Y302" s="96"/>
      <c r="Z302" s="97"/>
    </row>
    <row r="303" spans="6:26" x14ac:dyDescent="0.25">
      <c r="F303" s="438"/>
      <c r="G303" s="104"/>
      <c r="H303" s="104"/>
      <c r="I303" s="104"/>
      <c r="J303" s="104"/>
      <c r="K303" s="104"/>
      <c r="L303" s="140"/>
      <c r="M303" s="101"/>
      <c r="N303" s="127"/>
      <c r="O303" s="95"/>
      <c r="P303" s="98"/>
      <c r="Q303" s="95"/>
      <c r="R303" s="100"/>
      <c r="S303" s="95"/>
      <c r="T303" s="95"/>
      <c r="U303" s="96"/>
      <c r="V303" s="96"/>
      <c r="W303" s="96"/>
      <c r="X303" s="96"/>
      <c r="Y303" s="96"/>
      <c r="Z303" s="97"/>
    </row>
    <row r="304" spans="6:26" x14ac:dyDescent="0.25">
      <c r="F304" s="438"/>
      <c r="G304" s="104"/>
      <c r="H304" s="104"/>
      <c r="I304" s="104"/>
      <c r="J304" s="104"/>
      <c r="K304" s="104"/>
      <c r="L304" s="140"/>
      <c r="M304" s="101"/>
      <c r="N304" s="127"/>
      <c r="O304" s="95"/>
      <c r="P304" s="98"/>
      <c r="Q304" s="95"/>
      <c r="R304" s="100"/>
      <c r="S304" s="95"/>
      <c r="T304" s="95"/>
      <c r="U304" s="96"/>
      <c r="V304" s="96"/>
      <c r="W304" s="96"/>
      <c r="X304" s="96"/>
      <c r="Y304" s="96"/>
      <c r="Z304" s="97"/>
    </row>
    <row r="305" spans="6:26" x14ac:dyDescent="0.25">
      <c r="F305" s="438"/>
      <c r="G305" s="104"/>
      <c r="H305" s="104"/>
      <c r="I305" s="104"/>
      <c r="J305" s="104"/>
      <c r="K305" s="104"/>
      <c r="L305" s="140"/>
      <c r="M305" s="101"/>
      <c r="N305" s="127"/>
      <c r="O305" s="95"/>
      <c r="P305" s="98"/>
      <c r="Q305" s="95"/>
      <c r="R305" s="100"/>
      <c r="S305" s="95"/>
      <c r="T305" s="95"/>
      <c r="U305" s="96"/>
      <c r="V305" s="96"/>
      <c r="W305" s="96"/>
      <c r="X305" s="96"/>
      <c r="Y305" s="96"/>
      <c r="Z305" s="97"/>
    </row>
    <row r="306" spans="6:26" x14ac:dyDescent="0.25">
      <c r="F306" s="438"/>
      <c r="G306" s="104"/>
      <c r="H306" s="104"/>
      <c r="I306" s="104"/>
      <c r="J306" s="104"/>
      <c r="K306" s="104"/>
      <c r="L306" s="140"/>
      <c r="M306" s="101"/>
      <c r="N306" s="127"/>
      <c r="O306" s="95"/>
      <c r="P306" s="98"/>
      <c r="Q306" s="95"/>
      <c r="R306" s="100"/>
      <c r="S306" s="95"/>
      <c r="T306" s="95"/>
      <c r="U306" s="96"/>
      <c r="V306" s="96"/>
      <c r="W306" s="96"/>
      <c r="X306" s="96"/>
      <c r="Y306" s="96"/>
      <c r="Z306" s="97"/>
    </row>
    <row r="307" spans="6:26" x14ac:dyDescent="0.25">
      <c r="F307" s="438"/>
      <c r="G307" s="104"/>
      <c r="H307" s="104"/>
      <c r="I307" s="104"/>
      <c r="J307" s="104"/>
      <c r="K307" s="104"/>
      <c r="L307" s="140"/>
      <c r="M307" s="101"/>
      <c r="N307" s="127"/>
      <c r="O307" s="95"/>
      <c r="P307" s="98"/>
      <c r="Q307" s="95"/>
      <c r="R307" s="100"/>
      <c r="S307" s="95"/>
      <c r="T307" s="95"/>
      <c r="U307" s="96"/>
      <c r="V307" s="96"/>
      <c r="W307" s="96"/>
      <c r="X307" s="96"/>
      <c r="Y307" s="96"/>
      <c r="Z307" s="97"/>
    </row>
    <row r="308" spans="6:26" x14ac:dyDescent="0.25">
      <c r="F308" s="438"/>
      <c r="G308" s="104"/>
      <c r="H308" s="104"/>
      <c r="I308" s="104"/>
      <c r="J308" s="104"/>
      <c r="K308" s="104"/>
      <c r="L308" s="140"/>
      <c r="M308" s="101"/>
      <c r="N308" s="127"/>
      <c r="O308" s="95"/>
      <c r="P308" s="98"/>
      <c r="Q308" s="95"/>
      <c r="R308" s="100"/>
      <c r="S308" s="95"/>
      <c r="T308" s="95"/>
      <c r="U308" s="96"/>
      <c r="V308" s="96"/>
      <c r="W308" s="96"/>
      <c r="X308" s="96"/>
      <c r="Y308" s="96"/>
      <c r="Z308" s="97"/>
    </row>
    <row r="309" spans="6:26" x14ac:dyDescent="0.25">
      <c r="F309" s="438"/>
      <c r="G309" s="104"/>
      <c r="H309" s="104"/>
      <c r="I309" s="104"/>
      <c r="J309" s="104"/>
      <c r="K309" s="104"/>
      <c r="L309" s="140"/>
      <c r="M309" s="101"/>
      <c r="N309" s="127"/>
      <c r="O309" s="95"/>
      <c r="P309" s="98"/>
      <c r="Q309" s="95"/>
      <c r="R309" s="100"/>
      <c r="S309" s="95"/>
      <c r="T309" s="95"/>
      <c r="U309" s="96"/>
      <c r="V309" s="96"/>
      <c r="W309" s="96"/>
      <c r="X309" s="96"/>
      <c r="Y309" s="96"/>
      <c r="Z309" s="97"/>
    </row>
    <row r="310" spans="6:26" x14ac:dyDescent="0.25">
      <c r="F310" s="438"/>
      <c r="G310" s="104"/>
      <c r="H310" s="104"/>
      <c r="I310" s="104"/>
      <c r="J310" s="104"/>
      <c r="K310" s="104"/>
      <c r="L310" s="140"/>
      <c r="M310" s="101"/>
      <c r="N310" s="127"/>
      <c r="O310" s="95"/>
      <c r="P310" s="98"/>
      <c r="Q310" s="95"/>
      <c r="R310" s="100"/>
      <c r="S310" s="95"/>
      <c r="T310" s="95"/>
      <c r="U310" s="96"/>
      <c r="V310" s="96"/>
      <c r="W310" s="96"/>
      <c r="X310" s="96"/>
      <c r="Y310" s="96"/>
      <c r="Z310" s="97"/>
    </row>
    <row r="311" spans="6:26" x14ac:dyDescent="0.25">
      <c r="F311" s="438"/>
      <c r="G311" s="104"/>
      <c r="H311" s="104"/>
      <c r="I311" s="104"/>
      <c r="J311" s="104"/>
      <c r="K311" s="104"/>
      <c r="L311" s="140"/>
      <c r="M311" s="101"/>
      <c r="N311" s="127"/>
      <c r="O311" s="95"/>
      <c r="P311" s="98"/>
      <c r="Q311" s="95"/>
      <c r="R311" s="100"/>
      <c r="S311" s="95"/>
      <c r="T311" s="95"/>
      <c r="U311" s="96"/>
      <c r="V311" s="96"/>
      <c r="W311" s="96"/>
      <c r="X311" s="96"/>
      <c r="Y311" s="96"/>
      <c r="Z311" s="97"/>
    </row>
    <row r="312" spans="6:26" x14ac:dyDescent="0.25">
      <c r="F312" s="438"/>
      <c r="G312" s="104"/>
      <c r="H312" s="104"/>
      <c r="I312" s="104"/>
      <c r="J312" s="104"/>
      <c r="K312" s="104"/>
      <c r="L312" s="140"/>
      <c r="M312" s="101"/>
      <c r="N312" s="127"/>
      <c r="O312" s="95"/>
      <c r="P312" s="98"/>
      <c r="Q312" s="95"/>
      <c r="R312" s="100"/>
      <c r="S312" s="95"/>
      <c r="T312" s="95"/>
      <c r="U312" s="96"/>
      <c r="V312" s="96"/>
      <c r="W312" s="96"/>
      <c r="X312" s="96"/>
      <c r="Y312" s="96"/>
      <c r="Z312" s="97"/>
    </row>
    <row r="313" spans="6:26" x14ac:dyDescent="0.25">
      <c r="F313" s="438"/>
      <c r="G313" s="104"/>
      <c r="H313" s="104"/>
      <c r="I313" s="104"/>
      <c r="J313" s="104"/>
      <c r="K313" s="104"/>
      <c r="L313" s="140"/>
      <c r="M313" s="101"/>
      <c r="N313" s="127"/>
      <c r="O313" s="95"/>
      <c r="P313" s="98"/>
      <c r="Q313" s="95"/>
      <c r="R313" s="100"/>
      <c r="S313" s="95"/>
      <c r="T313" s="95"/>
      <c r="U313" s="96"/>
      <c r="V313" s="96"/>
      <c r="W313" s="96"/>
      <c r="X313" s="96"/>
      <c r="Y313" s="96"/>
      <c r="Z313" s="97"/>
    </row>
    <row r="314" spans="6:26" x14ac:dyDescent="0.25">
      <c r="F314" s="438"/>
      <c r="G314" s="104"/>
      <c r="H314" s="104"/>
      <c r="I314" s="104"/>
      <c r="J314" s="104"/>
      <c r="K314" s="104"/>
      <c r="L314" s="140"/>
      <c r="M314" s="101"/>
      <c r="N314" s="127"/>
      <c r="O314" s="95"/>
      <c r="P314" s="98"/>
      <c r="Q314" s="95"/>
      <c r="R314" s="100"/>
      <c r="S314" s="95"/>
      <c r="T314" s="95"/>
      <c r="U314" s="96"/>
      <c r="V314" s="96"/>
      <c r="W314" s="96"/>
      <c r="X314" s="96"/>
      <c r="Y314" s="96"/>
      <c r="Z314" s="97"/>
    </row>
    <row r="315" spans="6:26" x14ac:dyDescent="0.25">
      <c r="F315" s="438"/>
      <c r="G315" s="104"/>
      <c r="H315" s="104"/>
      <c r="I315" s="104"/>
      <c r="J315" s="104"/>
      <c r="K315" s="104"/>
      <c r="L315" s="140"/>
      <c r="M315" s="101"/>
      <c r="N315" s="127"/>
      <c r="O315" s="95"/>
      <c r="P315" s="98"/>
      <c r="Q315" s="95"/>
      <c r="R315" s="100"/>
      <c r="S315" s="95"/>
      <c r="T315" s="95"/>
      <c r="U315" s="96"/>
      <c r="V315" s="96"/>
      <c r="W315" s="96"/>
      <c r="X315" s="96"/>
      <c r="Y315" s="96"/>
      <c r="Z315" s="97"/>
    </row>
    <row r="316" spans="6:26" x14ac:dyDescent="0.25">
      <c r="F316" s="438"/>
      <c r="G316" s="104"/>
      <c r="H316" s="104"/>
      <c r="I316" s="104"/>
      <c r="J316" s="104"/>
      <c r="K316" s="104"/>
      <c r="L316" s="140"/>
      <c r="M316" s="101"/>
      <c r="N316" s="127"/>
      <c r="O316" s="95"/>
      <c r="P316" s="98"/>
      <c r="Q316" s="95"/>
      <c r="R316" s="100"/>
      <c r="S316" s="95"/>
      <c r="T316" s="95"/>
      <c r="U316" s="96"/>
      <c r="V316" s="96"/>
      <c r="W316" s="96"/>
      <c r="X316" s="96"/>
      <c r="Y316" s="96"/>
      <c r="Z316" s="97"/>
    </row>
    <row r="317" spans="6:26" x14ac:dyDescent="0.25">
      <c r="F317" s="438"/>
      <c r="G317" s="104"/>
      <c r="H317" s="104"/>
      <c r="I317" s="104"/>
      <c r="J317" s="104"/>
      <c r="K317" s="104"/>
      <c r="L317" s="140"/>
      <c r="M317" s="101"/>
      <c r="N317" s="127"/>
      <c r="O317" s="95"/>
      <c r="P317" s="98"/>
      <c r="Q317" s="95"/>
      <c r="R317" s="100"/>
      <c r="S317" s="95"/>
      <c r="T317" s="95"/>
      <c r="U317" s="96"/>
      <c r="V317" s="96"/>
      <c r="W317" s="96"/>
      <c r="X317" s="96"/>
      <c r="Y317" s="96"/>
      <c r="Z317" s="97"/>
    </row>
    <row r="318" spans="6:26" x14ac:dyDescent="0.25">
      <c r="F318" s="438"/>
      <c r="G318" s="104"/>
      <c r="H318" s="104"/>
      <c r="I318" s="104"/>
      <c r="J318" s="104"/>
      <c r="K318" s="104"/>
      <c r="L318" s="140"/>
      <c r="M318" s="101"/>
      <c r="N318" s="127"/>
      <c r="O318" s="95"/>
      <c r="P318" s="98"/>
      <c r="Q318" s="95"/>
      <c r="R318" s="100"/>
      <c r="S318" s="95"/>
      <c r="T318" s="95"/>
      <c r="U318" s="96"/>
      <c r="V318" s="96"/>
      <c r="W318" s="96"/>
      <c r="X318" s="96"/>
      <c r="Y318" s="96"/>
      <c r="Z318" s="97"/>
    </row>
    <row r="319" spans="6:26" x14ac:dyDescent="0.25">
      <c r="F319" s="438"/>
      <c r="G319" s="104"/>
      <c r="H319" s="104"/>
      <c r="I319" s="104"/>
      <c r="J319" s="104"/>
      <c r="K319" s="104"/>
      <c r="L319" s="140"/>
      <c r="M319" s="101"/>
      <c r="N319" s="127"/>
      <c r="O319" s="95"/>
      <c r="P319" s="98"/>
      <c r="Q319" s="95"/>
      <c r="R319" s="100"/>
      <c r="S319" s="95"/>
      <c r="T319" s="95"/>
      <c r="U319" s="96"/>
      <c r="V319" s="96"/>
      <c r="W319" s="96"/>
      <c r="X319" s="96"/>
      <c r="Y319" s="96"/>
      <c r="Z319" s="97"/>
    </row>
    <row r="320" spans="6:26" x14ac:dyDescent="0.25">
      <c r="F320" s="438"/>
      <c r="G320" s="104"/>
      <c r="H320" s="104"/>
      <c r="I320" s="104"/>
      <c r="J320" s="104"/>
      <c r="K320" s="104"/>
      <c r="L320" s="140"/>
      <c r="M320" s="101"/>
      <c r="N320" s="127"/>
      <c r="O320" s="95"/>
      <c r="P320" s="98"/>
      <c r="Q320" s="95"/>
      <c r="R320" s="100"/>
      <c r="S320" s="95"/>
      <c r="T320" s="95"/>
      <c r="U320" s="96"/>
      <c r="V320" s="96"/>
      <c r="W320" s="96"/>
      <c r="X320" s="96"/>
      <c r="Y320" s="96"/>
      <c r="Z320" s="97"/>
    </row>
    <row r="321" spans="6:26" x14ac:dyDescent="0.25">
      <c r="F321" s="438"/>
      <c r="G321" s="104"/>
      <c r="H321" s="104"/>
      <c r="I321" s="104"/>
      <c r="J321" s="104"/>
      <c r="K321" s="104"/>
      <c r="L321" s="140"/>
      <c r="M321" s="101"/>
      <c r="N321" s="127"/>
      <c r="O321" s="95"/>
      <c r="P321" s="98"/>
      <c r="Q321" s="95"/>
      <c r="R321" s="100"/>
      <c r="S321" s="95"/>
      <c r="T321" s="95"/>
      <c r="U321" s="96"/>
      <c r="V321" s="96"/>
      <c r="W321" s="96"/>
      <c r="X321" s="96"/>
      <c r="Y321" s="96"/>
      <c r="Z321" s="97"/>
    </row>
    <row r="322" spans="6:26" x14ac:dyDescent="0.25">
      <c r="F322" s="438"/>
      <c r="G322" s="104"/>
      <c r="H322" s="104"/>
      <c r="I322" s="104"/>
      <c r="J322" s="104"/>
      <c r="K322" s="104"/>
      <c r="L322" s="140"/>
      <c r="M322" s="101"/>
      <c r="N322" s="127"/>
      <c r="O322" s="95"/>
      <c r="P322" s="98"/>
      <c r="Q322" s="95"/>
      <c r="R322" s="100"/>
      <c r="S322" s="95"/>
      <c r="T322" s="95"/>
      <c r="U322" s="96"/>
      <c r="V322" s="96"/>
      <c r="W322" s="96"/>
      <c r="X322" s="96"/>
      <c r="Y322" s="96"/>
      <c r="Z322" s="97"/>
    </row>
    <row r="323" spans="6:26" x14ac:dyDescent="0.25">
      <c r="F323" s="438"/>
      <c r="G323" s="104"/>
      <c r="H323" s="104"/>
      <c r="I323" s="104"/>
      <c r="J323" s="104"/>
      <c r="K323" s="104"/>
      <c r="L323" s="140"/>
      <c r="M323" s="101"/>
      <c r="N323" s="127"/>
      <c r="O323" s="95"/>
      <c r="P323" s="98"/>
      <c r="Q323" s="95"/>
      <c r="R323" s="100"/>
      <c r="S323" s="95"/>
      <c r="T323" s="95"/>
      <c r="U323" s="96"/>
      <c r="V323" s="96"/>
      <c r="W323" s="96"/>
      <c r="X323" s="96"/>
      <c r="Y323" s="96"/>
      <c r="Z323" s="97"/>
    </row>
    <row r="324" spans="6:26" x14ac:dyDescent="0.25">
      <c r="F324" s="438"/>
      <c r="G324" s="104"/>
      <c r="H324" s="104"/>
      <c r="I324" s="104"/>
      <c r="J324" s="104"/>
      <c r="K324" s="104"/>
      <c r="L324" s="140"/>
      <c r="M324" s="101"/>
      <c r="N324" s="127"/>
      <c r="O324" s="95"/>
      <c r="P324" s="98"/>
      <c r="Q324" s="95"/>
      <c r="R324" s="100"/>
      <c r="S324" s="95"/>
      <c r="T324" s="95"/>
      <c r="U324" s="96"/>
      <c r="V324" s="96"/>
      <c r="W324" s="96"/>
      <c r="X324" s="96"/>
      <c r="Y324" s="96"/>
      <c r="Z324" s="97"/>
    </row>
    <row r="325" spans="6:26" x14ac:dyDescent="0.25">
      <c r="F325" s="438"/>
      <c r="G325" s="104"/>
      <c r="H325" s="104"/>
      <c r="I325" s="104"/>
      <c r="J325" s="104"/>
      <c r="K325" s="104"/>
      <c r="L325" s="140"/>
      <c r="M325" s="101"/>
      <c r="N325" s="127"/>
      <c r="O325" s="95"/>
      <c r="P325" s="98"/>
      <c r="Q325" s="95"/>
      <c r="R325" s="100"/>
      <c r="S325" s="95"/>
      <c r="T325" s="95"/>
      <c r="U325" s="96"/>
      <c r="V325" s="96"/>
      <c r="W325" s="96"/>
      <c r="X325" s="96"/>
      <c r="Y325" s="96"/>
      <c r="Z325" s="97"/>
    </row>
    <row r="326" spans="6:26" x14ac:dyDescent="0.25">
      <c r="F326" s="438"/>
      <c r="G326" s="104"/>
      <c r="H326" s="104"/>
      <c r="I326" s="104"/>
      <c r="J326" s="104"/>
      <c r="K326" s="104"/>
      <c r="L326" s="140"/>
      <c r="M326" s="101"/>
      <c r="N326" s="127"/>
      <c r="O326" s="95"/>
      <c r="P326" s="98"/>
      <c r="Q326" s="95"/>
      <c r="R326" s="100"/>
      <c r="S326" s="95"/>
      <c r="T326" s="95"/>
      <c r="U326" s="96"/>
      <c r="V326" s="96"/>
      <c r="W326" s="96"/>
      <c r="X326" s="96"/>
      <c r="Y326" s="96"/>
      <c r="Z326" s="97"/>
    </row>
    <row r="327" spans="6:26" x14ac:dyDescent="0.25">
      <c r="F327" s="438"/>
      <c r="G327" s="104"/>
      <c r="H327" s="104"/>
      <c r="I327" s="104"/>
      <c r="J327" s="104"/>
      <c r="K327" s="104"/>
      <c r="L327" s="140"/>
      <c r="M327" s="101"/>
      <c r="N327" s="127"/>
      <c r="O327" s="95"/>
      <c r="P327" s="98"/>
      <c r="Q327" s="95"/>
      <c r="R327" s="100"/>
      <c r="S327" s="95"/>
      <c r="T327" s="95"/>
      <c r="U327" s="96"/>
      <c r="V327" s="96"/>
      <c r="W327" s="96"/>
      <c r="X327" s="96"/>
      <c r="Y327" s="96"/>
      <c r="Z327" s="97"/>
    </row>
    <row r="328" spans="6:26" x14ac:dyDescent="0.25">
      <c r="F328" s="438"/>
      <c r="G328" s="104"/>
      <c r="H328" s="104"/>
      <c r="I328" s="104"/>
      <c r="J328" s="104"/>
      <c r="K328" s="104"/>
      <c r="L328" s="140"/>
      <c r="M328" s="101"/>
      <c r="N328" s="127"/>
      <c r="O328" s="95"/>
      <c r="P328" s="98"/>
      <c r="Q328" s="95"/>
      <c r="R328" s="100"/>
      <c r="S328" s="95"/>
      <c r="T328" s="95"/>
      <c r="U328" s="96"/>
      <c r="V328" s="96"/>
      <c r="W328" s="96"/>
      <c r="X328" s="96"/>
      <c r="Y328" s="96"/>
      <c r="Z328" s="97"/>
    </row>
    <row r="329" spans="6:26" x14ac:dyDescent="0.25">
      <c r="F329" s="438"/>
      <c r="G329" s="104"/>
      <c r="H329" s="104"/>
      <c r="I329" s="104"/>
      <c r="J329" s="104"/>
      <c r="K329" s="104"/>
      <c r="L329" s="140"/>
      <c r="M329" s="101"/>
      <c r="N329" s="127"/>
      <c r="O329" s="95"/>
      <c r="P329" s="98"/>
      <c r="Q329" s="95"/>
      <c r="R329" s="100"/>
      <c r="S329" s="95"/>
      <c r="T329" s="95"/>
      <c r="U329" s="96"/>
      <c r="V329" s="96"/>
      <c r="W329" s="96"/>
      <c r="X329" s="96"/>
      <c r="Y329" s="96"/>
      <c r="Z329" s="97"/>
    </row>
    <row r="330" spans="6:26" x14ac:dyDescent="0.25">
      <c r="F330" s="438"/>
      <c r="G330" s="104"/>
      <c r="H330" s="104"/>
      <c r="I330" s="104"/>
      <c r="J330" s="104"/>
      <c r="K330" s="104"/>
      <c r="L330" s="140"/>
      <c r="M330" s="101"/>
      <c r="N330" s="127"/>
      <c r="O330" s="95"/>
      <c r="P330" s="98"/>
      <c r="Q330" s="95"/>
      <c r="R330" s="100"/>
      <c r="S330" s="95"/>
      <c r="T330" s="95"/>
      <c r="U330" s="96"/>
      <c r="V330" s="96"/>
      <c r="W330" s="96"/>
      <c r="X330" s="96"/>
      <c r="Y330" s="96"/>
      <c r="Z330" s="97"/>
    </row>
    <row r="331" spans="6:26" x14ac:dyDescent="0.25">
      <c r="F331" s="438"/>
      <c r="G331" s="104"/>
      <c r="H331" s="104"/>
      <c r="I331" s="104"/>
      <c r="J331" s="104"/>
      <c r="K331" s="104"/>
      <c r="L331" s="140"/>
      <c r="M331" s="101"/>
      <c r="N331" s="127"/>
      <c r="O331" s="95"/>
      <c r="P331" s="98"/>
      <c r="Q331" s="95"/>
      <c r="R331" s="100"/>
      <c r="S331" s="95"/>
      <c r="T331" s="95"/>
      <c r="U331" s="96"/>
      <c r="V331" s="96"/>
      <c r="W331" s="96"/>
      <c r="X331" s="96"/>
      <c r="Y331" s="96"/>
      <c r="Z331" s="97"/>
    </row>
    <row r="332" spans="6:26" x14ac:dyDescent="0.25">
      <c r="F332" s="438"/>
      <c r="G332" s="104"/>
      <c r="H332" s="104"/>
      <c r="I332" s="104"/>
      <c r="J332" s="104"/>
      <c r="K332" s="104"/>
      <c r="L332" s="140"/>
      <c r="M332" s="101"/>
      <c r="N332" s="127"/>
      <c r="O332" s="95"/>
      <c r="P332" s="98"/>
      <c r="Q332" s="95"/>
      <c r="R332" s="100"/>
      <c r="S332" s="95"/>
      <c r="T332" s="95"/>
      <c r="U332" s="96"/>
      <c r="V332" s="96"/>
      <c r="W332" s="96"/>
      <c r="X332" s="96"/>
      <c r="Y332" s="96"/>
      <c r="Z332" s="97"/>
    </row>
    <row r="333" spans="6:26" x14ac:dyDescent="0.25">
      <c r="F333" s="438"/>
      <c r="G333" s="104"/>
      <c r="H333" s="104"/>
      <c r="I333" s="104"/>
      <c r="J333" s="104"/>
      <c r="K333" s="104"/>
      <c r="L333" s="140"/>
      <c r="M333" s="101"/>
      <c r="N333" s="127"/>
      <c r="O333" s="95"/>
      <c r="P333" s="98"/>
      <c r="Q333" s="95"/>
      <c r="R333" s="100"/>
      <c r="S333" s="95"/>
      <c r="T333" s="95"/>
      <c r="U333" s="96"/>
      <c r="V333" s="96"/>
      <c r="W333" s="96"/>
      <c r="X333" s="96"/>
      <c r="Y333" s="96"/>
      <c r="Z333" s="97"/>
    </row>
    <row r="334" spans="6:26" x14ac:dyDescent="0.25">
      <c r="F334" s="438"/>
      <c r="G334" s="104"/>
      <c r="H334" s="104"/>
      <c r="I334" s="104"/>
      <c r="J334" s="104"/>
      <c r="K334" s="104"/>
      <c r="L334" s="140"/>
      <c r="M334" s="101"/>
      <c r="N334" s="127"/>
      <c r="O334" s="95"/>
      <c r="P334" s="98"/>
      <c r="Q334" s="95"/>
      <c r="R334" s="100"/>
      <c r="S334" s="95"/>
      <c r="T334" s="95"/>
      <c r="U334" s="96"/>
      <c r="V334" s="96"/>
      <c r="W334" s="96"/>
      <c r="X334" s="96"/>
      <c r="Y334" s="96"/>
      <c r="Z334" s="97"/>
    </row>
    <row r="335" spans="6:26" x14ac:dyDescent="0.25">
      <c r="F335" s="438"/>
      <c r="G335" s="104"/>
      <c r="H335" s="104"/>
      <c r="I335" s="104"/>
      <c r="J335" s="104"/>
      <c r="K335" s="104"/>
      <c r="L335" s="140"/>
      <c r="M335" s="101"/>
      <c r="N335" s="127"/>
      <c r="O335" s="95"/>
      <c r="P335" s="98"/>
      <c r="Q335" s="95"/>
      <c r="R335" s="100"/>
      <c r="S335" s="95"/>
      <c r="T335" s="95"/>
      <c r="U335" s="96"/>
      <c r="V335" s="96"/>
      <c r="W335" s="96"/>
      <c r="X335" s="96"/>
      <c r="Y335" s="96"/>
      <c r="Z335" s="97"/>
    </row>
    <row r="336" spans="6:26" x14ac:dyDescent="0.25">
      <c r="F336" s="438"/>
      <c r="G336" s="104"/>
      <c r="H336" s="104"/>
      <c r="I336" s="104"/>
      <c r="J336" s="104"/>
      <c r="K336" s="104"/>
      <c r="L336" s="140"/>
      <c r="M336" s="101"/>
      <c r="N336" s="127"/>
      <c r="O336" s="95"/>
      <c r="P336" s="98"/>
      <c r="Q336" s="95"/>
      <c r="R336" s="100"/>
      <c r="S336" s="95"/>
      <c r="T336" s="95"/>
      <c r="U336" s="96"/>
      <c r="V336" s="96"/>
      <c r="W336" s="96"/>
      <c r="X336" s="96"/>
      <c r="Y336" s="96"/>
      <c r="Z336" s="97"/>
    </row>
    <row r="337" spans="6:26" x14ac:dyDescent="0.25">
      <c r="F337" s="438"/>
      <c r="G337" s="104"/>
      <c r="H337" s="104"/>
      <c r="I337" s="104"/>
      <c r="J337" s="104"/>
      <c r="K337" s="104"/>
      <c r="L337" s="140"/>
      <c r="M337" s="101"/>
      <c r="N337" s="127"/>
      <c r="O337" s="95"/>
      <c r="P337" s="98"/>
      <c r="Q337" s="95"/>
      <c r="R337" s="100"/>
      <c r="S337" s="95"/>
      <c r="T337" s="95"/>
      <c r="U337" s="96"/>
      <c r="V337" s="96"/>
      <c r="W337" s="96"/>
      <c r="X337" s="96"/>
      <c r="Y337" s="96"/>
      <c r="Z337" s="97"/>
    </row>
    <row r="338" spans="6:26" x14ac:dyDescent="0.25">
      <c r="F338" s="438"/>
      <c r="G338" s="104"/>
      <c r="H338" s="104"/>
      <c r="I338" s="104"/>
      <c r="J338" s="104"/>
      <c r="K338" s="104"/>
      <c r="L338" s="140"/>
      <c r="M338" s="101"/>
      <c r="N338" s="127"/>
      <c r="O338" s="95"/>
      <c r="P338" s="98"/>
      <c r="Q338" s="95"/>
      <c r="R338" s="100"/>
      <c r="S338" s="95"/>
      <c r="T338" s="95"/>
      <c r="U338" s="96"/>
      <c r="V338" s="96"/>
      <c r="W338" s="96"/>
      <c r="X338" s="96"/>
      <c r="Y338" s="96"/>
      <c r="Z338" s="97"/>
    </row>
    <row r="339" spans="6:26" x14ac:dyDescent="0.25">
      <c r="F339" s="438"/>
      <c r="G339" s="104"/>
      <c r="H339" s="104"/>
      <c r="I339" s="104"/>
      <c r="J339" s="104"/>
      <c r="K339" s="104"/>
      <c r="L339" s="140"/>
      <c r="M339" s="101"/>
      <c r="N339" s="127"/>
      <c r="O339" s="95"/>
      <c r="P339" s="98"/>
      <c r="Q339" s="95"/>
      <c r="R339" s="100"/>
      <c r="S339" s="95"/>
      <c r="T339" s="95"/>
      <c r="U339" s="96"/>
      <c r="V339" s="96"/>
      <c r="W339" s="96"/>
      <c r="X339" s="96"/>
      <c r="Y339" s="96"/>
      <c r="Z339" s="97"/>
    </row>
    <row r="340" spans="6:26" x14ac:dyDescent="0.25">
      <c r="F340" s="438"/>
      <c r="G340" s="104"/>
      <c r="H340" s="104"/>
      <c r="I340" s="104"/>
      <c r="J340" s="104"/>
      <c r="K340" s="104"/>
      <c r="L340" s="140"/>
      <c r="M340" s="101"/>
      <c r="N340" s="127"/>
      <c r="O340" s="95"/>
      <c r="P340" s="98"/>
      <c r="Q340" s="95"/>
      <c r="R340" s="100"/>
      <c r="S340" s="95"/>
      <c r="T340" s="95"/>
      <c r="U340" s="96"/>
      <c r="V340" s="96"/>
      <c r="W340" s="96"/>
      <c r="X340" s="96"/>
      <c r="Y340" s="96"/>
      <c r="Z340" s="97"/>
    </row>
    <row r="341" spans="6:26" x14ac:dyDescent="0.25">
      <c r="F341" s="438"/>
      <c r="G341" s="104"/>
      <c r="H341" s="104"/>
      <c r="I341" s="104"/>
      <c r="J341" s="104"/>
      <c r="K341" s="104"/>
      <c r="L341" s="140"/>
      <c r="M341" s="101"/>
      <c r="N341" s="127"/>
      <c r="O341" s="95"/>
      <c r="P341" s="98"/>
      <c r="Q341" s="95"/>
      <c r="R341" s="100"/>
      <c r="S341" s="95"/>
      <c r="T341" s="95"/>
      <c r="U341" s="96"/>
      <c r="V341" s="96"/>
      <c r="W341" s="96"/>
      <c r="X341" s="96"/>
      <c r="Y341" s="96"/>
      <c r="Z341" s="97"/>
    </row>
    <row r="342" spans="6:26" x14ac:dyDescent="0.25">
      <c r="F342" s="438"/>
      <c r="G342" s="104"/>
      <c r="H342" s="104"/>
      <c r="I342" s="104"/>
      <c r="J342" s="104"/>
      <c r="K342" s="104"/>
      <c r="L342" s="140"/>
      <c r="M342" s="101"/>
      <c r="N342" s="127"/>
      <c r="O342" s="95"/>
      <c r="P342" s="98"/>
      <c r="Q342" s="95"/>
      <c r="R342" s="100"/>
      <c r="S342" s="95"/>
      <c r="T342" s="95"/>
      <c r="U342" s="96"/>
      <c r="V342" s="96"/>
      <c r="W342" s="96"/>
      <c r="X342" s="96"/>
      <c r="Y342" s="96"/>
      <c r="Z342" s="97"/>
    </row>
    <row r="343" spans="6:26" x14ac:dyDescent="0.25">
      <c r="F343" s="438"/>
      <c r="G343" s="104"/>
      <c r="H343" s="104"/>
      <c r="I343" s="104"/>
      <c r="J343" s="104"/>
      <c r="K343" s="104"/>
      <c r="L343" s="140"/>
      <c r="M343" s="101"/>
      <c r="N343" s="127"/>
      <c r="O343" s="95"/>
      <c r="P343" s="98"/>
      <c r="Q343" s="95"/>
      <c r="R343" s="100"/>
      <c r="S343" s="95"/>
      <c r="T343" s="95"/>
      <c r="U343" s="96"/>
      <c r="V343" s="96"/>
      <c r="W343" s="96"/>
      <c r="X343" s="96"/>
      <c r="Y343" s="96"/>
      <c r="Z343" s="97"/>
    </row>
    <row r="344" spans="6:26" x14ac:dyDescent="0.25">
      <c r="F344" s="438"/>
      <c r="G344" s="104"/>
      <c r="H344" s="104"/>
      <c r="I344" s="104"/>
      <c r="J344" s="104"/>
      <c r="K344" s="104"/>
      <c r="L344" s="140"/>
      <c r="M344" s="101"/>
      <c r="N344" s="127"/>
      <c r="O344" s="95"/>
      <c r="P344" s="98"/>
      <c r="Q344" s="95"/>
      <c r="R344" s="100"/>
      <c r="S344" s="95"/>
      <c r="T344" s="95"/>
      <c r="U344" s="96"/>
      <c r="V344" s="96"/>
      <c r="W344" s="96"/>
      <c r="X344" s="96"/>
      <c r="Y344" s="96"/>
      <c r="Z344" s="97"/>
    </row>
    <row r="345" spans="6:26" x14ac:dyDescent="0.25">
      <c r="F345" s="438"/>
      <c r="G345" s="104"/>
      <c r="H345" s="104"/>
      <c r="I345" s="104"/>
      <c r="J345" s="104"/>
      <c r="K345" s="104"/>
      <c r="L345" s="140"/>
      <c r="M345" s="101"/>
      <c r="N345" s="127"/>
      <c r="O345" s="95"/>
      <c r="P345" s="98"/>
      <c r="Q345" s="95"/>
      <c r="R345" s="100"/>
      <c r="S345" s="95"/>
      <c r="T345" s="95"/>
      <c r="U345" s="96"/>
      <c r="V345" s="96"/>
      <c r="W345" s="96"/>
      <c r="X345" s="96"/>
      <c r="Y345" s="96"/>
      <c r="Z345" s="97"/>
    </row>
    <row r="346" spans="6:26" x14ac:dyDescent="0.25">
      <c r="F346" s="438"/>
      <c r="G346" s="104"/>
      <c r="H346" s="104"/>
      <c r="I346" s="104"/>
      <c r="J346" s="104"/>
      <c r="K346" s="104"/>
      <c r="L346" s="140"/>
      <c r="M346" s="101"/>
      <c r="N346" s="127"/>
      <c r="O346" s="95"/>
      <c r="P346" s="98"/>
      <c r="Q346" s="95"/>
      <c r="R346" s="100"/>
      <c r="S346" s="95"/>
      <c r="T346" s="95"/>
      <c r="U346" s="96"/>
      <c r="V346" s="96"/>
      <c r="W346" s="96"/>
      <c r="X346" s="96"/>
      <c r="Y346" s="96"/>
      <c r="Z346" s="97"/>
    </row>
    <row r="347" spans="6:26" x14ac:dyDescent="0.25">
      <c r="F347" s="438"/>
      <c r="G347" s="104"/>
      <c r="H347" s="104"/>
      <c r="I347" s="104"/>
      <c r="J347" s="104"/>
      <c r="K347" s="104"/>
      <c r="L347" s="140"/>
      <c r="M347" s="101"/>
      <c r="N347" s="127"/>
      <c r="O347" s="95"/>
      <c r="P347" s="98"/>
      <c r="Q347" s="95"/>
      <c r="R347" s="100"/>
      <c r="S347" s="95"/>
      <c r="T347" s="95"/>
      <c r="U347" s="96"/>
      <c r="V347" s="96"/>
      <c r="W347" s="96"/>
      <c r="X347" s="96"/>
      <c r="Y347" s="96"/>
      <c r="Z347" s="97"/>
    </row>
    <row r="348" spans="6:26" x14ac:dyDescent="0.25">
      <c r="F348" s="438"/>
      <c r="G348" s="104"/>
      <c r="H348" s="104"/>
      <c r="I348" s="104"/>
      <c r="J348" s="104"/>
      <c r="K348" s="104"/>
      <c r="L348" s="140"/>
      <c r="M348" s="101"/>
      <c r="N348" s="127"/>
      <c r="O348" s="95"/>
      <c r="P348" s="98"/>
      <c r="Q348" s="95"/>
      <c r="R348" s="100"/>
      <c r="S348" s="95"/>
      <c r="T348" s="95"/>
      <c r="U348" s="96"/>
      <c r="V348" s="96"/>
      <c r="W348" s="96"/>
      <c r="X348" s="96"/>
      <c r="Y348" s="96"/>
      <c r="Z348" s="97"/>
    </row>
    <row r="349" spans="6:26" x14ac:dyDescent="0.25">
      <c r="F349" s="438"/>
      <c r="G349" s="104"/>
      <c r="H349" s="104"/>
      <c r="I349" s="104"/>
      <c r="J349" s="104"/>
      <c r="K349" s="104"/>
      <c r="L349" s="140"/>
      <c r="M349" s="101"/>
      <c r="N349" s="127"/>
      <c r="O349" s="95"/>
      <c r="P349" s="98"/>
      <c r="Q349" s="95"/>
      <c r="R349" s="100"/>
      <c r="S349" s="95"/>
      <c r="T349" s="95"/>
      <c r="U349" s="96"/>
      <c r="V349" s="96"/>
      <c r="W349" s="96"/>
      <c r="X349" s="96"/>
      <c r="Y349" s="96"/>
      <c r="Z349" s="97"/>
    </row>
    <row r="350" spans="6:26" x14ac:dyDescent="0.25">
      <c r="F350" s="438"/>
      <c r="G350" s="104"/>
      <c r="H350" s="104"/>
      <c r="I350" s="104"/>
      <c r="J350" s="104"/>
      <c r="K350" s="104"/>
      <c r="L350" s="140"/>
      <c r="M350" s="101"/>
      <c r="N350" s="127"/>
      <c r="O350" s="95"/>
      <c r="P350" s="98"/>
      <c r="Q350" s="95"/>
      <c r="R350" s="100"/>
      <c r="S350" s="95"/>
      <c r="T350" s="95"/>
      <c r="U350" s="96"/>
      <c r="V350" s="96"/>
      <c r="W350" s="96"/>
      <c r="X350" s="96"/>
      <c r="Y350" s="96"/>
      <c r="Z350" s="97"/>
    </row>
    <row r="351" spans="6:26" x14ac:dyDescent="0.25">
      <c r="F351" s="438"/>
      <c r="G351" s="104"/>
      <c r="H351" s="104"/>
      <c r="I351" s="104"/>
      <c r="J351" s="104"/>
      <c r="K351" s="104"/>
      <c r="L351" s="140"/>
      <c r="M351" s="101"/>
      <c r="N351" s="127"/>
      <c r="O351" s="95"/>
      <c r="P351" s="98"/>
      <c r="Q351" s="95"/>
      <c r="R351" s="100"/>
      <c r="S351" s="95"/>
      <c r="T351" s="95"/>
      <c r="U351" s="96"/>
      <c r="V351" s="96"/>
      <c r="W351" s="96"/>
      <c r="X351" s="96"/>
      <c r="Y351" s="96"/>
      <c r="Z351" s="97"/>
    </row>
    <row r="352" spans="6:26" x14ac:dyDescent="0.25">
      <c r="F352" s="438"/>
      <c r="G352" s="104"/>
      <c r="H352" s="104"/>
      <c r="I352" s="104"/>
      <c r="J352" s="104"/>
      <c r="K352" s="104"/>
      <c r="L352" s="140"/>
      <c r="M352" s="101"/>
      <c r="N352" s="127"/>
      <c r="O352" s="95"/>
      <c r="P352" s="98"/>
      <c r="Q352" s="95"/>
      <c r="R352" s="100"/>
      <c r="S352" s="95"/>
      <c r="T352" s="95"/>
      <c r="U352" s="96"/>
      <c r="V352" s="96"/>
      <c r="W352" s="96"/>
      <c r="X352" s="96"/>
      <c r="Y352" s="96"/>
      <c r="Z352" s="97"/>
    </row>
    <row r="353" spans="6:26" x14ac:dyDescent="0.25">
      <c r="F353" s="438"/>
      <c r="G353" s="104"/>
      <c r="H353" s="104"/>
      <c r="I353" s="104"/>
      <c r="J353" s="104"/>
      <c r="K353" s="104"/>
      <c r="L353" s="140"/>
      <c r="M353" s="101"/>
      <c r="N353" s="127"/>
      <c r="O353" s="95"/>
      <c r="P353" s="98"/>
      <c r="Q353" s="95"/>
      <c r="R353" s="100"/>
      <c r="S353" s="95"/>
      <c r="T353" s="95"/>
      <c r="U353" s="96"/>
      <c r="V353" s="96"/>
      <c r="W353" s="96"/>
      <c r="X353" s="96"/>
      <c r="Y353" s="96"/>
      <c r="Z353" s="97"/>
    </row>
    <row r="354" spans="6:26" x14ac:dyDescent="0.25">
      <c r="F354" s="438"/>
      <c r="G354" s="104"/>
      <c r="H354" s="104"/>
      <c r="I354" s="104"/>
      <c r="J354" s="104"/>
      <c r="K354" s="104"/>
      <c r="L354" s="140"/>
      <c r="M354" s="101"/>
      <c r="N354" s="127"/>
      <c r="O354" s="95"/>
      <c r="P354" s="98"/>
      <c r="Q354" s="95"/>
      <c r="R354" s="100"/>
      <c r="S354" s="95"/>
      <c r="T354" s="95"/>
      <c r="U354" s="96"/>
      <c r="V354" s="96"/>
      <c r="W354" s="96"/>
      <c r="X354" s="96"/>
      <c r="Y354" s="96"/>
      <c r="Z354" s="97"/>
    </row>
    <row r="355" spans="6:26" x14ac:dyDescent="0.25">
      <c r="F355" s="438"/>
      <c r="G355" s="104"/>
      <c r="H355" s="104"/>
      <c r="I355" s="104"/>
      <c r="J355" s="104"/>
      <c r="K355" s="104"/>
      <c r="L355" s="140"/>
      <c r="M355" s="101"/>
      <c r="N355" s="127"/>
      <c r="O355" s="95"/>
      <c r="P355" s="98"/>
      <c r="Q355" s="95"/>
      <c r="R355" s="100"/>
      <c r="S355" s="95"/>
      <c r="T355" s="95"/>
      <c r="U355" s="96"/>
      <c r="V355" s="96"/>
      <c r="W355" s="96"/>
      <c r="X355" s="96"/>
      <c r="Y355" s="96"/>
      <c r="Z355" s="97"/>
    </row>
    <row r="356" spans="6:26" x14ac:dyDescent="0.25">
      <c r="F356" s="438"/>
      <c r="G356" s="104"/>
      <c r="H356" s="104"/>
      <c r="I356" s="104"/>
      <c r="J356" s="104"/>
      <c r="K356" s="104"/>
      <c r="L356" s="140"/>
      <c r="M356" s="101"/>
      <c r="N356" s="127"/>
      <c r="O356" s="95"/>
      <c r="P356" s="98"/>
      <c r="Q356" s="95"/>
      <c r="R356" s="100"/>
      <c r="S356" s="95"/>
      <c r="T356" s="95"/>
      <c r="U356" s="96"/>
      <c r="V356" s="96"/>
      <c r="W356" s="96"/>
      <c r="X356" s="96"/>
      <c r="Y356" s="96"/>
      <c r="Z356" s="97"/>
    </row>
    <row r="357" spans="6:26" x14ac:dyDescent="0.25">
      <c r="F357" s="438"/>
      <c r="G357" s="104"/>
      <c r="H357" s="104"/>
      <c r="I357" s="104"/>
      <c r="J357" s="104"/>
      <c r="K357" s="104"/>
      <c r="L357" s="140"/>
      <c r="M357" s="101"/>
      <c r="N357" s="127"/>
      <c r="O357" s="95"/>
      <c r="P357" s="98"/>
      <c r="Q357" s="95"/>
      <c r="R357" s="100"/>
      <c r="S357" s="95"/>
      <c r="T357" s="95"/>
      <c r="U357" s="96"/>
      <c r="V357" s="96"/>
      <c r="W357" s="96"/>
      <c r="X357" s="96"/>
      <c r="Y357" s="96"/>
      <c r="Z357" s="97"/>
    </row>
    <row r="358" spans="6:26" x14ac:dyDescent="0.25">
      <c r="F358" s="438"/>
      <c r="G358" s="104"/>
      <c r="H358" s="104"/>
      <c r="I358" s="104"/>
      <c r="J358" s="104"/>
      <c r="K358" s="104"/>
      <c r="L358" s="140"/>
      <c r="M358" s="101"/>
      <c r="N358" s="127"/>
      <c r="O358" s="95"/>
      <c r="P358" s="98"/>
      <c r="Q358" s="95"/>
      <c r="R358" s="100"/>
      <c r="S358" s="95"/>
      <c r="T358" s="95"/>
      <c r="U358" s="96"/>
      <c r="V358" s="96"/>
      <c r="W358" s="96"/>
      <c r="X358" s="96"/>
      <c r="Y358" s="96"/>
      <c r="Z358" s="97"/>
    </row>
    <row r="359" spans="6:26" x14ac:dyDescent="0.25">
      <c r="F359" s="438"/>
      <c r="G359" s="104"/>
      <c r="H359" s="104"/>
      <c r="I359" s="104"/>
      <c r="J359" s="104"/>
      <c r="K359" s="104"/>
      <c r="L359" s="140"/>
      <c r="M359" s="101"/>
      <c r="N359" s="127"/>
      <c r="O359" s="95"/>
      <c r="P359" s="98"/>
      <c r="Q359" s="95"/>
      <c r="R359" s="100"/>
      <c r="S359" s="95"/>
      <c r="T359" s="95"/>
      <c r="U359" s="96"/>
      <c r="V359" s="96"/>
      <c r="W359" s="96"/>
      <c r="X359" s="96"/>
      <c r="Y359" s="96"/>
      <c r="Z359" s="97"/>
    </row>
    <row r="360" spans="6:26" x14ac:dyDescent="0.25">
      <c r="F360" s="438"/>
      <c r="G360" s="104"/>
      <c r="H360" s="104"/>
      <c r="I360" s="104"/>
      <c r="J360" s="104"/>
      <c r="K360" s="104"/>
      <c r="L360" s="140"/>
      <c r="M360" s="101"/>
      <c r="N360" s="127"/>
      <c r="O360" s="95"/>
      <c r="P360" s="98"/>
      <c r="Q360" s="95"/>
      <c r="R360" s="100"/>
      <c r="S360" s="95"/>
      <c r="T360" s="95"/>
      <c r="U360" s="96"/>
      <c r="V360" s="96"/>
      <c r="W360" s="96"/>
      <c r="X360" s="96"/>
      <c r="Y360" s="96"/>
      <c r="Z360" s="97"/>
    </row>
    <row r="361" spans="6:26" x14ac:dyDescent="0.25">
      <c r="F361" s="438"/>
      <c r="G361" s="104"/>
      <c r="H361" s="104"/>
      <c r="I361" s="104"/>
      <c r="J361" s="104"/>
      <c r="K361" s="104"/>
      <c r="L361" s="140"/>
      <c r="M361" s="101"/>
      <c r="N361" s="127"/>
      <c r="O361" s="95"/>
      <c r="P361" s="98"/>
      <c r="Q361" s="95"/>
      <c r="R361" s="100"/>
      <c r="S361" s="95"/>
      <c r="T361" s="95"/>
      <c r="U361" s="96"/>
      <c r="V361" s="96"/>
      <c r="W361" s="96"/>
      <c r="X361" s="96"/>
      <c r="Y361" s="96"/>
      <c r="Z361" s="97"/>
    </row>
    <row r="362" spans="6:26" x14ac:dyDescent="0.25">
      <c r="F362" s="438"/>
      <c r="G362" s="104"/>
      <c r="H362" s="104"/>
      <c r="I362" s="104"/>
      <c r="J362" s="104"/>
      <c r="K362" s="104"/>
      <c r="L362" s="140"/>
      <c r="M362" s="101"/>
      <c r="N362" s="127"/>
      <c r="O362" s="95"/>
      <c r="P362" s="98"/>
      <c r="Q362" s="95"/>
      <c r="R362" s="100"/>
      <c r="S362" s="95"/>
      <c r="T362" s="95"/>
      <c r="U362" s="96"/>
      <c r="V362" s="96"/>
      <c r="W362" s="96"/>
      <c r="X362" s="96"/>
      <c r="Y362" s="96"/>
      <c r="Z362" s="97"/>
    </row>
    <row r="363" spans="6:26" x14ac:dyDescent="0.25">
      <c r="F363" s="438"/>
      <c r="G363" s="104"/>
      <c r="H363" s="104"/>
      <c r="I363" s="104"/>
      <c r="J363" s="104"/>
      <c r="K363" s="104"/>
      <c r="L363" s="140"/>
      <c r="M363" s="101"/>
      <c r="N363" s="127"/>
      <c r="O363" s="95"/>
      <c r="P363" s="98"/>
      <c r="Q363" s="95"/>
      <c r="R363" s="100"/>
      <c r="S363" s="95"/>
      <c r="T363" s="95"/>
      <c r="U363" s="96"/>
      <c r="V363" s="96"/>
      <c r="W363" s="96"/>
      <c r="X363" s="96"/>
      <c r="Y363" s="96"/>
      <c r="Z363" s="97"/>
    </row>
    <row r="364" spans="6:26" x14ac:dyDescent="0.25">
      <c r="F364" s="438"/>
      <c r="G364" s="104"/>
      <c r="H364" s="104"/>
      <c r="I364" s="104"/>
      <c r="J364" s="104"/>
      <c r="K364" s="104"/>
      <c r="L364" s="140"/>
      <c r="M364" s="101"/>
      <c r="N364" s="127"/>
      <c r="O364" s="95"/>
      <c r="P364" s="98"/>
      <c r="Q364" s="95"/>
      <c r="R364" s="100"/>
      <c r="S364" s="95"/>
      <c r="T364" s="95"/>
      <c r="U364" s="96"/>
      <c r="V364" s="96"/>
      <c r="W364" s="96"/>
      <c r="X364" s="96"/>
      <c r="Y364" s="96"/>
      <c r="Z364" s="97"/>
    </row>
    <row r="365" spans="6:26" x14ac:dyDescent="0.25">
      <c r="F365" s="438"/>
      <c r="G365" s="104"/>
      <c r="H365" s="104"/>
      <c r="I365" s="104"/>
      <c r="J365" s="104"/>
      <c r="K365" s="104"/>
      <c r="L365" s="140"/>
      <c r="M365" s="101"/>
      <c r="N365" s="127"/>
      <c r="O365" s="95"/>
      <c r="P365" s="98"/>
      <c r="Q365" s="95"/>
      <c r="R365" s="100"/>
      <c r="S365" s="95"/>
      <c r="T365" s="95"/>
      <c r="U365" s="96"/>
      <c r="V365" s="96"/>
      <c r="W365" s="96"/>
      <c r="X365" s="96"/>
      <c r="Y365" s="96"/>
      <c r="Z365" s="97"/>
    </row>
    <row r="366" spans="6:26" x14ac:dyDescent="0.25">
      <c r="F366" s="438"/>
      <c r="G366" s="104"/>
      <c r="H366" s="104"/>
      <c r="I366" s="104"/>
      <c r="J366" s="104"/>
      <c r="K366" s="104"/>
      <c r="L366" s="140"/>
      <c r="M366" s="101"/>
      <c r="N366" s="127"/>
      <c r="O366" s="95"/>
      <c r="P366" s="98"/>
      <c r="Q366" s="95"/>
      <c r="R366" s="100"/>
      <c r="S366" s="95"/>
      <c r="T366" s="95"/>
      <c r="U366" s="96"/>
      <c r="V366" s="96"/>
      <c r="W366" s="96"/>
      <c r="X366" s="96"/>
      <c r="Y366" s="96"/>
      <c r="Z366" s="97"/>
    </row>
    <row r="367" spans="6:26" x14ac:dyDescent="0.25">
      <c r="F367" s="438"/>
      <c r="G367" s="104"/>
      <c r="H367" s="104"/>
      <c r="I367" s="104"/>
      <c r="J367" s="104"/>
      <c r="K367" s="104"/>
      <c r="L367" s="140"/>
      <c r="M367" s="101"/>
      <c r="N367" s="127"/>
      <c r="O367" s="95"/>
      <c r="P367" s="98"/>
      <c r="Q367" s="95"/>
      <c r="R367" s="100"/>
      <c r="S367" s="95"/>
      <c r="T367" s="95"/>
      <c r="U367" s="96"/>
      <c r="V367" s="96"/>
      <c r="W367" s="96"/>
      <c r="X367" s="96"/>
      <c r="Y367" s="96"/>
      <c r="Z367" s="97"/>
    </row>
    <row r="368" spans="6:26" x14ac:dyDescent="0.25">
      <c r="F368" s="438"/>
      <c r="G368" s="104"/>
      <c r="H368" s="104"/>
      <c r="I368" s="104"/>
      <c r="J368" s="104"/>
      <c r="K368" s="104"/>
      <c r="L368" s="140"/>
      <c r="M368" s="101"/>
      <c r="N368" s="127"/>
      <c r="O368" s="95"/>
      <c r="P368" s="98"/>
      <c r="Q368" s="95"/>
      <c r="R368" s="100"/>
      <c r="S368" s="95"/>
      <c r="T368" s="95"/>
      <c r="U368" s="96"/>
      <c r="V368" s="96"/>
      <c r="W368" s="96"/>
      <c r="X368" s="96"/>
      <c r="Y368" s="96"/>
      <c r="Z368" s="97"/>
    </row>
    <row r="369" spans="6:26" x14ac:dyDescent="0.25">
      <c r="F369" s="438"/>
      <c r="G369" s="104"/>
      <c r="H369" s="104"/>
      <c r="I369" s="104"/>
      <c r="J369" s="104"/>
      <c r="K369" s="104"/>
      <c r="L369" s="140"/>
      <c r="M369" s="101"/>
      <c r="N369" s="127"/>
      <c r="O369" s="95"/>
      <c r="P369" s="98"/>
      <c r="Q369" s="95"/>
      <c r="R369" s="100"/>
      <c r="S369" s="95"/>
      <c r="T369" s="95"/>
      <c r="U369" s="96"/>
      <c r="V369" s="96"/>
      <c r="W369" s="96"/>
      <c r="X369" s="96"/>
      <c r="Y369" s="96"/>
      <c r="Z369" s="97"/>
    </row>
    <row r="370" spans="6:26" x14ac:dyDescent="0.25">
      <c r="F370" s="438"/>
      <c r="G370" s="104"/>
      <c r="H370" s="104"/>
      <c r="I370" s="104"/>
      <c r="J370" s="104"/>
      <c r="K370" s="104"/>
      <c r="L370" s="140"/>
      <c r="M370" s="101"/>
      <c r="N370" s="127"/>
      <c r="O370" s="95"/>
      <c r="P370" s="98"/>
      <c r="Q370" s="95"/>
      <c r="R370" s="100"/>
      <c r="S370" s="95"/>
      <c r="T370" s="95"/>
      <c r="U370" s="96"/>
      <c r="V370" s="96"/>
      <c r="W370" s="96"/>
      <c r="X370" s="96"/>
      <c r="Y370" s="96"/>
      <c r="Z370" s="97"/>
    </row>
    <row r="371" spans="6:26" x14ac:dyDescent="0.25">
      <c r="F371" s="438"/>
      <c r="G371" s="104"/>
      <c r="H371" s="104"/>
      <c r="I371" s="104"/>
      <c r="J371" s="104"/>
      <c r="K371" s="104"/>
      <c r="L371" s="140"/>
      <c r="M371" s="101"/>
      <c r="N371" s="127"/>
      <c r="O371" s="95"/>
      <c r="P371" s="98"/>
      <c r="Q371" s="95"/>
      <c r="R371" s="100"/>
      <c r="S371" s="95"/>
      <c r="T371" s="95"/>
      <c r="U371" s="96"/>
      <c r="V371" s="96"/>
      <c r="W371" s="96"/>
      <c r="X371" s="96"/>
      <c r="Y371" s="96"/>
      <c r="Z371" s="97"/>
    </row>
    <row r="372" spans="6:26" x14ac:dyDescent="0.25">
      <c r="F372" s="438"/>
      <c r="G372" s="104"/>
      <c r="H372" s="104"/>
      <c r="I372" s="104"/>
      <c r="J372" s="104"/>
      <c r="K372" s="104"/>
      <c r="L372" s="140"/>
      <c r="M372" s="101"/>
      <c r="N372" s="127"/>
      <c r="O372" s="95"/>
      <c r="P372" s="98"/>
      <c r="Q372" s="95"/>
      <c r="R372" s="100"/>
      <c r="S372" s="95"/>
      <c r="T372" s="95"/>
      <c r="U372" s="96"/>
      <c r="V372" s="96"/>
      <c r="W372" s="96"/>
      <c r="X372" s="96"/>
      <c r="Y372" s="96"/>
      <c r="Z372" s="97"/>
    </row>
    <row r="373" spans="6:26" x14ac:dyDescent="0.25">
      <c r="F373" s="438"/>
      <c r="G373" s="104"/>
      <c r="H373" s="104"/>
      <c r="I373" s="104"/>
      <c r="J373" s="104"/>
      <c r="K373" s="104"/>
      <c r="L373" s="140"/>
      <c r="M373" s="101"/>
      <c r="N373" s="127"/>
      <c r="O373" s="95"/>
      <c r="P373" s="98"/>
      <c r="Q373" s="95"/>
      <c r="R373" s="100"/>
      <c r="S373" s="95"/>
      <c r="T373" s="95"/>
      <c r="U373" s="96"/>
      <c r="V373" s="96"/>
      <c r="W373" s="96"/>
      <c r="X373" s="96"/>
      <c r="Y373" s="96"/>
      <c r="Z373" s="97"/>
    </row>
    <row r="374" spans="6:26" x14ac:dyDescent="0.25">
      <c r="F374" s="438"/>
      <c r="G374" s="104"/>
      <c r="H374" s="104"/>
      <c r="I374" s="104"/>
      <c r="J374" s="104"/>
      <c r="K374" s="104"/>
      <c r="L374" s="140"/>
      <c r="M374" s="101"/>
      <c r="N374" s="127"/>
      <c r="O374" s="95"/>
      <c r="P374" s="98"/>
      <c r="Q374" s="95"/>
      <c r="R374" s="100"/>
      <c r="S374" s="95"/>
      <c r="T374" s="95"/>
      <c r="U374" s="96"/>
      <c r="V374" s="96"/>
      <c r="W374" s="96"/>
      <c r="X374" s="96"/>
      <c r="Y374" s="96"/>
      <c r="Z374" s="97"/>
    </row>
    <row r="375" spans="6:26" x14ac:dyDescent="0.25">
      <c r="F375" s="438"/>
      <c r="G375" s="104"/>
      <c r="H375" s="104"/>
      <c r="I375" s="104"/>
      <c r="J375" s="104"/>
      <c r="K375" s="104"/>
      <c r="L375" s="140"/>
      <c r="M375" s="101"/>
      <c r="N375" s="127"/>
      <c r="O375" s="95"/>
      <c r="P375" s="98"/>
      <c r="Q375" s="95"/>
      <c r="R375" s="100"/>
      <c r="S375" s="95"/>
      <c r="T375" s="95"/>
      <c r="U375" s="96"/>
      <c r="V375" s="96"/>
      <c r="W375" s="96"/>
      <c r="X375" s="96"/>
      <c r="Y375" s="96"/>
      <c r="Z375" s="97"/>
    </row>
    <row r="376" spans="6:26" x14ac:dyDescent="0.25">
      <c r="F376" s="438"/>
      <c r="G376" s="104"/>
      <c r="H376" s="104"/>
      <c r="I376" s="104"/>
      <c r="J376" s="104"/>
      <c r="K376" s="104"/>
      <c r="L376" s="140"/>
      <c r="M376" s="101"/>
      <c r="N376" s="127"/>
      <c r="O376" s="95"/>
      <c r="P376" s="98"/>
      <c r="Q376" s="95"/>
      <c r="R376" s="100"/>
      <c r="S376" s="95"/>
      <c r="T376" s="95"/>
      <c r="U376" s="96"/>
      <c r="V376" s="96"/>
      <c r="W376" s="96"/>
      <c r="X376" s="96"/>
      <c r="Y376" s="96"/>
      <c r="Z376" s="97"/>
    </row>
    <row r="377" spans="6:26" x14ac:dyDescent="0.25">
      <c r="F377" s="438"/>
      <c r="G377" s="104"/>
      <c r="H377" s="104"/>
      <c r="I377" s="104"/>
      <c r="J377" s="104"/>
      <c r="K377" s="104"/>
      <c r="L377" s="140"/>
      <c r="M377" s="101"/>
      <c r="N377" s="127"/>
      <c r="O377" s="95"/>
      <c r="P377" s="98"/>
      <c r="Q377" s="95"/>
      <c r="R377" s="100"/>
      <c r="S377" s="95"/>
      <c r="T377" s="95"/>
      <c r="U377" s="96"/>
      <c r="V377" s="96"/>
      <c r="W377" s="96"/>
      <c r="X377" s="96"/>
      <c r="Y377" s="96"/>
      <c r="Z377" s="97"/>
    </row>
    <row r="378" spans="6:26" x14ac:dyDescent="0.25">
      <c r="F378" s="438"/>
      <c r="G378" s="104"/>
      <c r="H378" s="104"/>
      <c r="I378" s="104"/>
      <c r="J378" s="104"/>
      <c r="K378" s="104"/>
      <c r="L378" s="140"/>
      <c r="M378" s="101"/>
      <c r="N378" s="127"/>
      <c r="O378" s="95"/>
      <c r="P378" s="98"/>
      <c r="Q378" s="95"/>
      <c r="R378" s="100"/>
      <c r="S378" s="95"/>
      <c r="T378" s="95"/>
      <c r="U378" s="96"/>
      <c r="V378" s="96"/>
      <c r="W378" s="96"/>
      <c r="X378" s="96"/>
      <c r="Y378" s="96"/>
      <c r="Z378" s="97"/>
    </row>
    <row r="379" spans="6:26" x14ac:dyDescent="0.25">
      <c r="F379" s="438"/>
      <c r="G379" s="104"/>
      <c r="H379" s="104"/>
      <c r="I379" s="104"/>
      <c r="J379" s="104"/>
      <c r="K379" s="104"/>
      <c r="L379" s="140"/>
      <c r="M379" s="101"/>
      <c r="N379" s="127"/>
      <c r="O379" s="95"/>
      <c r="P379" s="98"/>
      <c r="Q379" s="95"/>
      <c r="R379" s="100"/>
      <c r="S379" s="95"/>
      <c r="T379" s="95"/>
      <c r="U379" s="96"/>
      <c r="V379" s="96"/>
      <c r="W379" s="96"/>
      <c r="X379" s="96"/>
      <c r="Y379" s="96"/>
      <c r="Z379" s="97"/>
    </row>
    <row r="380" spans="6:26" x14ac:dyDescent="0.25">
      <c r="F380" s="438"/>
      <c r="G380" s="104"/>
      <c r="H380" s="104"/>
      <c r="I380" s="104"/>
      <c r="J380" s="104"/>
      <c r="K380" s="104"/>
      <c r="L380" s="140"/>
      <c r="M380" s="101"/>
      <c r="N380" s="127"/>
      <c r="O380" s="95"/>
      <c r="P380" s="98"/>
      <c r="Q380" s="95"/>
      <c r="R380" s="100"/>
      <c r="S380" s="95"/>
      <c r="T380" s="95"/>
      <c r="U380" s="96"/>
      <c r="V380" s="96"/>
      <c r="W380" s="96"/>
      <c r="X380" s="96"/>
      <c r="Y380" s="96"/>
      <c r="Z380" s="97"/>
    </row>
    <row r="381" spans="6:26" x14ac:dyDescent="0.25">
      <c r="F381" s="438"/>
      <c r="G381" s="104"/>
      <c r="H381" s="104"/>
      <c r="I381" s="104"/>
      <c r="J381" s="104"/>
      <c r="K381" s="104"/>
      <c r="L381" s="140"/>
      <c r="M381" s="101"/>
      <c r="N381" s="127"/>
      <c r="O381" s="95"/>
      <c r="P381" s="98"/>
      <c r="Q381" s="95"/>
      <c r="R381" s="100"/>
      <c r="S381" s="95"/>
      <c r="T381" s="95"/>
      <c r="U381" s="96"/>
      <c r="V381" s="96"/>
      <c r="W381" s="96"/>
      <c r="X381" s="96"/>
      <c r="Y381" s="96"/>
      <c r="Z381" s="97"/>
    </row>
    <row r="382" spans="6:26" x14ac:dyDescent="0.25">
      <c r="F382" s="438"/>
      <c r="G382" s="104"/>
      <c r="H382" s="104"/>
      <c r="I382" s="104"/>
      <c r="J382" s="104"/>
      <c r="K382" s="104"/>
      <c r="L382" s="140"/>
      <c r="M382" s="101"/>
      <c r="N382" s="127"/>
      <c r="O382" s="95"/>
      <c r="P382" s="98"/>
      <c r="Q382" s="95"/>
      <c r="R382" s="100"/>
      <c r="S382" s="95"/>
      <c r="T382" s="95"/>
      <c r="U382" s="96"/>
      <c r="V382" s="96"/>
      <c r="W382" s="96"/>
      <c r="X382" s="96"/>
      <c r="Y382" s="96"/>
      <c r="Z382" s="97"/>
    </row>
    <row r="383" spans="6:26" x14ac:dyDescent="0.25">
      <c r="F383" s="438"/>
      <c r="G383" s="104"/>
      <c r="H383" s="104"/>
      <c r="I383" s="104"/>
      <c r="J383" s="104"/>
      <c r="K383" s="104"/>
      <c r="L383" s="140"/>
      <c r="M383" s="101"/>
      <c r="N383" s="127"/>
      <c r="O383" s="95"/>
      <c r="P383" s="98"/>
      <c r="Q383" s="95"/>
      <c r="R383" s="100"/>
      <c r="S383" s="95"/>
      <c r="T383" s="95"/>
      <c r="U383" s="96"/>
      <c r="V383" s="96"/>
      <c r="W383" s="96"/>
      <c r="X383" s="96"/>
      <c r="Y383" s="96"/>
      <c r="Z383" s="97"/>
    </row>
    <row r="384" spans="6:26" x14ac:dyDescent="0.25">
      <c r="F384" s="438"/>
      <c r="G384" s="104"/>
      <c r="H384" s="104"/>
      <c r="I384" s="104"/>
      <c r="J384" s="104"/>
      <c r="K384" s="104"/>
      <c r="L384" s="140"/>
      <c r="M384" s="101"/>
      <c r="N384" s="127"/>
      <c r="O384" s="95"/>
      <c r="P384" s="98"/>
      <c r="Q384" s="95"/>
      <c r="R384" s="100"/>
      <c r="S384" s="95"/>
      <c r="T384" s="95"/>
      <c r="U384" s="96"/>
      <c r="V384" s="96"/>
      <c r="W384" s="96"/>
      <c r="X384" s="96"/>
      <c r="Y384" s="96"/>
      <c r="Z384" s="97"/>
    </row>
    <row r="385" spans="6:26" x14ac:dyDescent="0.25">
      <c r="F385" s="438"/>
      <c r="G385" s="104"/>
      <c r="H385" s="104"/>
      <c r="I385" s="104"/>
      <c r="J385" s="104"/>
      <c r="K385" s="104"/>
      <c r="L385" s="140"/>
      <c r="M385" s="101"/>
      <c r="N385" s="127"/>
      <c r="O385" s="95"/>
      <c r="P385" s="98"/>
      <c r="Q385" s="95"/>
      <c r="R385" s="100"/>
      <c r="S385" s="95"/>
      <c r="T385" s="95"/>
      <c r="U385" s="96"/>
      <c r="V385" s="96"/>
      <c r="W385" s="96"/>
      <c r="X385" s="96"/>
      <c r="Y385" s="96"/>
      <c r="Z385" s="97"/>
    </row>
    <row r="386" spans="6:26" x14ac:dyDescent="0.25">
      <c r="F386" s="438"/>
      <c r="G386" s="104"/>
      <c r="H386" s="104"/>
      <c r="I386" s="104"/>
      <c r="J386" s="104"/>
      <c r="K386" s="104"/>
      <c r="L386" s="140"/>
      <c r="M386" s="101"/>
      <c r="N386" s="127"/>
      <c r="O386" s="95"/>
      <c r="P386" s="98"/>
      <c r="Q386" s="95"/>
      <c r="R386" s="100"/>
      <c r="S386" s="95"/>
      <c r="T386" s="95"/>
      <c r="U386" s="96"/>
      <c r="V386" s="96"/>
      <c r="W386" s="96"/>
      <c r="X386" s="96"/>
      <c r="Y386" s="96"/>
      <c r="Z386" s="97"/>
    </row>
    <row r="387" spans="6:26" x14ac:dyDescent="0.25">
      <c r="F387" s="438"/>
      <c r="G387" s="104"/>
      <c r="H387" s="104"/>
      <c r="I387" s="104"/>
      <c r="J387" s="104"/>
      <c r="K387" s="104"/>
      <c r="L387" s="140"/>
      <c r="M387" s="101"/>
      <c r="N387" s="127"/>
      <c r="O387" s="95"/>
      <c r="P387" s="98"/>
      <c r="Q387" s="95"/>
      <c r="R387" s="100"/>
      <c r="S387" s="95"/>
      <c r="T387" s="95"/>
      <c r="U387" s="96"/>
      <c r="V387" s="96"/>
      <c r="W387" s="96"/>
      <c r="X387" s="96"/>
      <c r="Y387" s="96"/>
      <c r="Z387" s="97"/>
    </row>
    <row r="388" spans="6:26" x14ac:dyDescent="0.25">
      <c r="F388" s="438"/>
      <c r="G388" s="104"/>
      <c r="H388" s="104"/>
      <c r="I388" s="104"/>
      <c r="J388" s="104"/>
      <c r="K388" s="104"/>
      <c r="L388" s="140"/>
      <c r="M388" s="101"/>
      <c r="N388" s="127"/>
      <c r="O388" s="95"/>
      <c r="P388" s="98"/>
      <c r="Q388" s="95"/>
      <c r="R388" s="100"/>
      <c r="S388" s="95"/>
      <c r="T388" s="95"/>
      <c r="U388" s="96"/>
      <c r="V388" s="96"/>
      <c r="W388" s="96"/>
      <c r="X388" s="96"/>
      <c r="Y388" s="96"/>
      <c r="Z388" s="97"/>
    </row>
    <row r="389" spans="6:26" x14ac:dyDescent="0.25">
      <c r="F389" s="438"/>
      <c r="G389" s="104"/>
      <c r="H389" s="104"/>
      <c r="I389" s="104"/>
      <c r="J389" s="104"/>
      <c r="K389" s="104"/>
      <c r="L389" s="140"/>
      <c r="M389" s="101"/>
      <c r="N389" s="127"/>
      <c r="O389" s="95"/>
      <c r="P389" s="98"/>
      <c r="Q389" s="95"/>
      <c r="R389" s="100"/>
      <c r="S389" s="95"/>
      <c r="T389" s="95"/>
      <c r="U389" s="96"/>
      <c r="V389" s="96"/>
      <c r="W389" s="96"/>
      <c r="X389" s="96"/>
      <c r="Y389" s="96"/>
      <c r="Z389" s="97"/>
    </row>
    <row r="390" spans="6:26" x14ac:dyDescent="0.25">
      <c r="F390" s="438"/>
      <c r="G390" s="104"/>
      <c r="H390" s="104"/>
      <c r="I390" s="104"/>
      <c r="J390" s="104"/>
      <c r="K390" s="104"/>
      <c r="L390" s="140"/>
      <c r="M390" s="101"/>
      <c r="N390" s="127"/>
      <c r="O390" s="95"/>
      <c r="P390" s="98"/>
      <c r="Q390" s="95"/>
      <c r="R390" s="100"/>
      <c r="S390" s="95"/>
      <c r="T390" s="95"/>
      <c r="U390" s="96"/>
      <c r="V390" s="96"/>
      <c r="W390" s="96"/>
      <c r="X390" s="96"/>
      <c r="Y390" s="96"/>
      <c r="Z390" s="97"/>
    </row>
    <row r="391" spans="6:26" x14ac:dyDescent="0.25">
      <c r="F391" s="438"/>
      <c r="G391" s="104"/>
      <c r="H391" s="104"/>
      <c r="I391" s="104"/>
      <c r="J391" s="104"/>
      <c r="K391" s="104"/>
      <c r="L391" s="140"/>
      <c r="M391" s="101"/>
      <c r="N391" s="127"/>
      <c r="O391" s="95"/>
      <c r="P391" s="98"/>
      <c r="Q391" s="95"/>
      <c r="R391" s="100"/>
      <c r="S391" s="95"/>
      <c r="T391" s="95"/>
      <c r="U391" s="96"/>
      <c r="V391" s="96"/>
      <c r="W391" s="96"/>
      <c r="X391" s="96"/>
      <c r="Y391" s="96"/>
      <c r="Z391" s="97"/>
    </row>
    <row r="392" spans="6:26" x14ac:dyDescent="0.25">
      <c r="F392" s="438"/>
      <c r="G392" s="104"/>
      <c r="H392" s="104"/>
      <c r="I392" s="104"/>
      <c r="J392" s="104"/>
      <c r="K392" s="104"/>
      <c r="L392" s="140"/>
      <c r="M392" s="101"/>
      <c r="N392" s="127"/>
      <c r="O392" s="95"/>
      <c r="P392" s="98"/>
      <c r="Q392" s="95"/>
      <c r="R392" s="100"/>
      <c r="S392" s="95"/>
      <c r="T392" s="95"/>
      <c r="U392" s="96"/>
      <c r="V392" s="96"/>
      <c r="W392" s="96"/>
      <c r="X392" s="96"/>
      <c r="Y392" s="96"/>
      <c r="Z392" s="97"/>
    </row>
    <row r="393" spans="6:26" x14ac:dyDescent="0.25">
      <c r="F393" s="438"/>
      <c r="G393" s="104"/>
      <c r="H393" s="104"/>
      <c r="I393" s="104"/>
      <c r="J393" s="104"/>
      <c r="K393" s="104"/>
      <c r="L393" s="140"/>
      <c r="M393" s="101"/>
      <c r="N393" s="127"/>
      <c r="O393" s="95"/>
      <c r="P393" s="98"/>
      <c r="Q393" s="95"/>
      <c r="R393" s="100"/>
      <c r="S393" s="95"/>
      <c r="T393" s="95"/>
      <c r="U393" s="96"/>
      <c r="V393" s="96"/>
      <c r="W393" s="96"/>
      <c r="X393" s="96"/>
      <c r="Y393" s="96"/>
      <c r="Z393" s="97"/>
    </row>
    <row r="394" spans="6:26" x14ac:dyDescent="0.25">
      <c r="F394" s="438"/>
      <c r="G394" s="104"/>
      <c r="H394" s="104"/>
      <c r="I394" s="104"/>
      <c r="J394" s="104"/>
      <c r="K394" s="104"/>
      <c r="L394" s="140"/>
      <c r="M394" s="101"/>
      <c r="N394" s="127"/>
      <c r="O394" s="95"/>
      <c r="P394" s="98"/>
      <c r="Q394" s="95"/>
      <c r="R394" s="100"/>
      <c r="S394" s="95"/>
      <c r="T394" s="95"/>
      <c r="U394" s="96"/>
      <c r="V394" s="96"/>
      <c r="W394" s="96"/>
      <c r="X394" s="96"/>
      <c r="Y394" s="96"/>
      <c r="Z394" s="97"/>
    </row>
    <row r="395" spans="6:26" x14ac:dyDescent="0.25">
      <c r="F395" s="438"/>
      <c r="G395" s="104"/>
      <c r="H395" s="104"/>
      <c r="I395" s="104"/>
      <c r="J395" s="104"/>
      <c r="K395" s="104"/>
      <c r="L395" s="140"/>
      <c r="M395" s="101"/>
      <c r="N395" s="127"/>
      <c r="O395" s="95"/>
      <c r="P395" s="98"/>
      <c r="Q395" s="95"/>
      <c r="R395" s="100"/>
      <c r="S395" s="95"/>
      <c r="T395" s="95"/>
      <c r="U395" s="96"/>
      <c r="V395" s="96"/>
      <c r="W395" s="96"/>
      <c r="X395" s="96"/>
      <c r="Y395" s="96"/>
      <c r="Z395" s="97"/>
    </row>
    <row r="396" spans="6:26" x14ac:dyDescent="0.25">
      <c r="F396" s="438"/>
      <c r="G396" s="104"/>
      <c r="H396" s="104"/>
      <c r="I396" s="104"/>
      <c r="J396" s="104"/>
      <c r="K396" s="104"/>
      <c r="L396" s="140"/>
      <c r="M396" s="101"/>
      <c r="N396" s="127"/>
      <c r="O396" s="95"/>
      <c r="P396" s="98"/>
      <c r="Q396" s="95"/>
      <c r="R396" s="100"/>
      <c r="S396" s="95"/>
      <c r="T396" s="95"/>
      <c r="U396" s="96"/>
      <c r="V396" s="96"/>
      <c r="W396" s="96"/>
      <c r="X396" s="96"/>
      <c r="Y396" s="96"/>
      <c r="Z396" s="97"/>
    </row>
    <row r="397" spans="6:26" x14ac:dyDescent="0.25">
      <c r="F397" s="438"/>
      <c r="G397" s="104"/>
      <c r="H397" s="104"/>
      <c r="I397" s="104"/>
      <c r="J397" s="104"/>
      <c r="K397" s="104"/>
      <c r="L397" s="140"/>
      <c r="M397" s="101"/>
      <c r="N397" s="127"/>
      <c r="O397" s="95"/>
      <c r="P397" s="98"/>
      <c r="Q397" s="95"/>
      <c r="R397" s="100"/>
      <c r="S397" s="95"/>
      <c r="T397" s="95"/>
      <c r="U397" s="96"/>
      <c r="V397" s="96"/>
      <c r="W397" s="96"/>
      <c r="X397" s="96"/>
      <c r="Y397" s="96"/>
      <c r="Z397" s="97"/>
    </row>
    <row r="398" spans="6:26" x14ac:dyDescent="0.25">
      <c r="F398" s="438"/>
      <c r="G398" s="104"/>
      <c r="H398" s="104"/>
      <c r="I398" s="104"/>
      <c r="J398" s="104"/>
      <c r="K398" s="104"/>
      <c r="L398" s="140"/>
      <c r="M398" s="101"/>
      <c r="N398" s="127"/>
      <c r="O398" s="95"/>
      <c r="P398" s="98"/>
      <c r="Q398" s="95"/>
      <c r="R398" s="100"/>
      <c r="S398" s="95"/>
      <c r="T398" s="95"/>
      <c r="U398" s="96"/>
      <c r="V398" s="96"/>
      <c r="W398" s="96"/>
      <c r="X398" s="96"/>
      <c r="Y398" s="96"/>
      <c r="Z398" s="97"/>
    </row>
    <row r="399" spans="6:26" x14ac:dyDescent="0.25">
      <c r="F399" s="438"/>
      <c r="G399" s="104"/>
      <c r="H399" s="104"/>
      <c r="I399" s="104"/>
      <c r="J399" s="104"/>
      <c r="K399" s="104"/>
      <c r="L399" s="140"/>
      <c r="M399" s="101"/>
      <c r="N399" s="127"/>
      <c r="O399" s="95"/>
      <c r="P399" s="98"/>
      <c r="Q399" s="95"/>
      <c r="R399" s="100"/>
      <c r="S399" s="95"/>
      <c r="T399" s="95"/>
      <c r="U399" s="96"/>
      <c r="V399" s="96"/>
      <c r="W399" s="96"/>
      <c r="X399" s="96"/>
      <c r="Y399" s="96"/>
      <c r="Z399" s="97"/>
    </row>
    <row r="400" spans="6:26" x14ac:dyDescent="0.25">
      <c r="F400" s="438"/>
      <c r="G400" s="104"/>
      <c r="H400" s="104"/>
      <c r="I400" s="104"/>
      <c r="J400" s="104"/>
      <c r="K400" s="104"/>
      <c r="L400" s="140"/>
      <c r="M400" s="101"/>
      <c r="N400" s="127"/>
      <c r="O400" s="95"/>
      <c r="P400" s="98"/>
      <c r="Q400" s="95"/>
      <c r="R400" s="100"/>
      <c r="S400" s="95"/>
      <c r="T400" s="95"/>
      <c r="U400" s="96"/>
      <c r="V400" s="96"/>
      <c r="W400" s="96"/>
      <c r="X400" s="96"/>
      <c r="Y400" s="96"/>
      <c r="Z400" s="97"/>
    </row>
    <row r="401" spans="6:26" x14ac:dyDescent="0.25">
      <c r="F401" s="438"/>
      <c r="G401" s="104"/>
      <c r="H401" s="104"/>
      <c r="I401" s="104"/>
      <c r="J401" s="104"/>
      <c r="K401" s="104"/>
      <c r="L401" s="140"/>
      <c r="M401" s="101"/>
      <c r="N401" s="127"/>
      <c r="O401" s="95"/>
      <c r="P401" s="98"/>
      <c r="Q401" s="95"/>
      <c r="R401" s="100"/>
      <c r="S401" s="95"/>
      <c r="T401" s="95"/>
      <c r="U401" s="96"/>
      <c r="V401" s="96"/>
      <c r="W401" s="96"/>
      <c r="X401" s="96"/>
      <c r="Y401" s="96"/>
      <c r="Z401" s="97"/>
    </row>
    <row r="402" spans="6:26" x14ac:dyDescent="0.25">
      <c r="F402" s="438"/>
      <c r="G402" s="104"/>
      <c r="H402" s="104"/>
      <c r="I402" s="104"/>
      <c r="J402" s="104"/>
      <c r="K402" s="104"/>
      <c r="L402" s="140"/>
      <c r="M402" s="101"/>
      <c r="N402" s="127"/>
      <c r="O402" s="95"/>
      <c r="P402" s="98"/>
      <c r="Q402" s="95"/>
      <c r="R402" s="100"/>
      <c r="S402" s="95"/>
      <c r="T402" s="95"/>
      <c r="U402" s="96"/>
      <c r="V402" s="96"/>
      <c r="W402" s="96"/>
      <c r="X402" s="96"/>
      <c r="Y402" s="96"/>
      <c r="Z402" s="97"/>
    </row>
    <row r="403" spans="6:26" x14ac:dyDescent="0.25">
      <c r="F403" s="438"/>
      <c r="G403" s="104"/>
      <c r="H403" s="104"/>
      <c r="I403" s="104"/>
      <c r="J403" s="104"/>
      <c r="K403" s="104"/>
      <c r="L403" s="140"/>
      <c r="M403" s="101"/>
      <c r="N403" s="127"/>
      <c r="O403" s="95"/>
      <c r="P403" s="98"/>
      <c r="Q403" s="95"/>
      <c r="R403" s="100"/>
      <c r="S403" s="95"/>
      <c r="T403" s="95"/>
      <c r="U403" s="96"/>
      <c r="V403" s="96"/>
      <c r="W403" s="96"/>
      <c r="X403" s="96"/>
      <c r="Y403" s="96"/>
      <c r="Z403" s="97"/>
    </row>
    <row r="404" spans="6:26" x14ac:dyDescent="0.25">
      <c r="F404" s="438"/>
      <c r="G404" s="104"/>
      <c r="H404" s="104"/>
      <c r="I404" s="104"/>
      <c r="J404" s="104"/>
      <c r="K404" s="104"/>
      <c r="L404" s="140"/>
      <c r="M404" s="101"/>
      <c r="N404" s="127"/>
      <c r="O404" s="95"/>
      <c r="P404" s="98"/>
      <c r="Q404" s="95"/>
      <c r="R404" s="100"/>
      <c r="S404" s="95"/>
      <c r="T404" s="95"/>
      <c r="U404" s="96"/>
      <c r="V404" s="96"/>
      <c r="W404" s="96"/>
      <c r="X404" s="96"/>
      <c r="Y404" s="96"/>
      <c r="Z404" s="97"/>
    </row>
    <row r="405" spans="6:26" x14ac:dyDescent="0.25">
      <c r="F405" s="438"/>
      <c r="G405" s="104"/>
      <c r="H405" s="104"/>
      <c r="I405" s="104"/>
      <c r="J405" s="104"/>
      <c r="K405" s="104"/>
      <c r="L405" s="140"/>
      <c r="M405" s="101"/>
      <c r="N405" s="127"/>
      <c r="O405" s="95"/>
      <c r="P405" s="98"/>
      <c r="Q405" s="95"/>
      <c r="R405" s="100"/>
      <c r="S405" s="95"/>
      <c r="T405" s="95"/>
      <c r="U405" s="96"/>
      <c r="V405" s="96"/>
      <c r="W405" s="96"/>
      <c r="X405" s="96"/>
      <c r="Y405" s="96"/>
      <c r="Z405" s="97"/>
    </row>
    <row r="406" spans="6:26" x14ac:dyDescent="0.25">
      <c r="F406" s="438"/>
      <c r="G406" s="104"/>
      <c r="H406" s="104"/>
      <c r="I406" s="104"/>
      <c r="J406" s="104"/>
      <c r="K406" s="104"/>
      <c r="L406" s="140"/>
      <c r="M406" s="101"/>
      <c r="N406" s="127"/>
      <c r="O406" s="95"/>
      <c r="P406" s="98"/>
      <c r="Q406" s="95"/>
      <c r="R406" s="100"/>
      <c r="S406" s="95"/>
      <c r="T406" s="95"/>
      <c r="U406" s="96"/>
      <c r="V406" s="96"/>
      <c r="W406" s="96"/>
      <c r="X406" s="96"/>
      <c r="Y406" s="96"/>
      <c r="Z406" s="97"/>
    </row>
    <row r="407" spans="6:26" x14ac:dyDescent="0.25">
      <c r="F407" s="438"/>
      <c r="G407" s="104"/>
      <c r="H407" s="104"/>
      <c r="I407" s="104"/>
      <c r="J407" s="104"/>
      <c r="K407" s="104"/>
      <c r="L407" s="140"/>
      <c r="M407" s="101"/>
      <c r="N407" s="127"/>
      <c r="O407" s="95"/>
      <c r="P407" s="98"/>
      <c r="Q407" s="95"/>
      <c r="R407" s="100"/>
      <c r="S407" s="95"/>
      <c r="T407" s="95"/>
      <c r="U407" s="96"/>
      <c r="V407" s="96"/>
      <c r="W407" s="96"/>
      <c r="X407" s="96"/>
      <c r="Y407" s="96"/>
      <c r="Z407" s="97"/>
    </row>
    <row r="408" spans="6:26" x14ac:dyDescent="0.25">
      <c r="F408" s="438"/>
      <c r="G408" s="104"/>
      <c r="H408" s="104"/>
      <c r="I408" s="104"/>
      <c r="J408" s="104"/>
      <c r="K408" s="104"/>
      <c r="L408" s="140"/>
      <c r="M408" s="101"/>
      <c r="N408" s="127"/>
      <c r="O408" s="95"/>
      <c r="P408" s="98"/>
      <c r="Q408" s="95"/>
      <c r="R408" s="100"/>
      <c r="S408" s="95"/>
      <c r="T408" s="95"/>
      <c r="U408" s="96"/>
      <c r="V408" s="96"/>
      <c r="W408" s="96"/>
      <c r="X408" s="96"/>
      <c r="Y408" s="96"/>
      <c r="Z408" s="97"/>
    </row>
    <row r="409" spans="6:26" x14ac:dyDescent="0.25">
      <c r="F409" s="438"/>
      <c r="G409" s="104"/>
      <c r="H409" s="104"/>
      <c r="I409" s="104"/>
      <c r="J409" s="104"/>
      <c r="K409" s="104"/>
      <c r="L409" s="140"/>
      <c r="M409" s="101"/>
      <c r="N409" s="127"/>
      <c r="O409" s="95"/>
      <c r="P409" s="98"/>
      <c r="Q409" s="95"/>
      <c r="R409" s="100"/>
      <c r="S409" s="95"/>
      <c r="T409" s="95"/>
      <c r="U409" s="96"/>
      <c r="V409" s="96"/>
      <c r="W409" s="96"/>
      <c r="X409" s="96"/>
      <c r="Y409" s="96"/>
      <c r="Z409" s="97"/>
    </row>
    <row r="410" spans="6:26" x14ac:dyDescent="0.25">
      <c r="F410" s="438"/>
      <c r="G410" s="104"/>
      <c r="H410" s="104"/>
      <c r="I410" s="104"/>
      <c r="J410" s="104"/>
      <c r="K410" s="104"/>
      <c r="L410" s="140"/>
      <c r="M410" s="101"/>
      <c r="N410" s="127"/>
      <c r="O410" s="95"/>
      <c r="P410" s="98"/>
      <c r="Q410" s="95"/>
      <c r="R410" s="100"/>
      <c r="S410" s="95"/>
      <c r="T410" s="95"/>
      <c r="U410" s="96"/>
      <c r="V410" s="96"/>
      <c r="W410" s="96"/>
      <c r="X410" s="96"/>
      <c r="Y410" s="96"/>
      <c r="Z410" s="97"/>
    </row>
    <row r="411" spans="6:26" x14ac:dyDescent="0.25">
      <c r="F411" s="438"/>
      <c r="G411" s="104"/>
      <c r="H411" s="104"/>
      <c r="I411" s="104"/>
      <c r="J411" s="104"/>
      <c r="K411" s="104"/>
      <c r="L411" s="140"/>
      <c r="M411" s="101"/>
      <c r="N411" s="127"/>
      <c r="O411" s="95"/>
      <c r="P411" s="98"/>
      <c r="Q411" s="95"/>
      <c r="R411" s="100"/>
      <c r="S411" s="95"/>
      <c r="T411" s="95"/>
      <c r="U411" s="96"/>
      <c r="V411" s="96"/>
      <c r="W411" s="96"/>
      <c r="X411" s="96"/>
      <c r="Y411" s="96"/>
      <c r="Z411" s="97"/>
    </row>
    <row r="412" spans="6:26" x14ac:dyDescent="0.25">
      <c r="F412" s="438"/>
      <c r="G412" s="104"/>
      <c r="H412" s="104"/>
      <c r="I412" s="104"/>
      <c r="J412" s="104"/>
      <c r="K412" s="104"/>
      <c r="L412" s="140"/>
      <c r="M412" s="101"/>
      <c r="N412" s="127"/>
      <c r="O412" s="95"/>
      <c r="P412" s="98"/>
      <c r="Q412" s="95"/>
      <c r="R412" s="100"/>
      <c r="S412" s="95"/>
      <c r="T412" s="95"/>
      <c r="U412" s="96"/>
      <c r="V412" s="96"/>
      <c r="W412" s="96"/>
      <c r="X412" s="96"/>
      <c r="Y412" s="96"/>
      <c r="Z412" s="97"/>
    </row>
    <row r="413" spans="6:26" x14ac:dyDescent="0.25">
      <c r="F413" s="438"/>
      <c r="G413" s="104"/>
      <c r="H413" s="104"/>
      <c r="I413" s="104"/>
      <c r="J413" s="104"/>
      <c r="K413" s="104"/>
      <c r="L413" s="140"/>
      <c r="M413" s="101"/>
      <c r="N413" s="127"/>
      <c r="O413" s="95"/>
      <c r="P413" s="98"/>
      <c r="Q413" s="95"/>
      <c r="R413" s="100"/>
      <c r="S413" s="95"/>
      <c r="T413" s="95"/>
      <c r="U413" s="96"/>
      <c r="V413" s="96"/>
      <c r="W413" s="96"/>
      <c r="X413" s="96"/>
      <c r="Y413" s="96"/>
      <c r="Z413" s="97"/>
    </row>
    <row r="414" spans="6:26" x14ac:dyDescent="0.25">
      <c r="F414" s="438"/>
      <c r="G414" s="104"/>
      <c r="H414" s="104"/>
      <c r="I414" s="104"/>
      <c r="J414" s="104"/>
      <c r="K414" s="104"/>
      <c r="L414" s="140"/>
      <c r="M414" s="101"/>
      <c r="N414" s="127"/>
      <c r="O414" s="95"/>
      <c r="P414" s="98"/>
      <c r="Q414" s="95"/>
      <c r="R414" s="100"/>
      <c r="S414" s="95"/>
      <c r="T414" s="95"/>
      <c r="U414" s="96"/>
      <c r="V414" s="96"/>
      <c r="W414" s="96"/>
      <c r="X414" s="96"/>
      <c r="Y414" s="96"/>
      <c r="Z414" s="97"/>
    </row>
    <row r="415" spans="6:26" x14ac:dyDescent="0.25">
      <c r="F415" s="438"/>
      <c r="G415" s="104"/>
      <c r="H415" s="104"/>
      <c r="I415" s="104"/>
      <c r="J415" s="104"/>
      <c r="K415" s="104"/>
      <c r="L415" s="140"/>
      <c r="M415" s="101"/>
      <c r="N415" s="127"/>
      <c r="O415" s="95"/>
      <c r="P415" s="98"/>
      <c r="Q415" s="95"/>
      <c r="R415" s="100"/>
      <c r="S415" s="95"/>
      <c r="T415" s="95"/>
      <c r="U415" s="96"/>
      <c r="V415" s="96"/>
      <c r="W415" s="96"/>
      <c r="X415" s="96"/>
      <c r="Y415" s="96"/>
      <c r="Z415" s="97"/>
    </row>
    <row r="416" spans="6:26" x14ac:dyDescent="0.25">
      <c r="F416" s="438"/>
      <c r="G416" s="104"/>
      <c r="H416" s="104"/>
      <c r="I416" s="104"/>
      <c r="J416" s="104"/>
      <c r="K416" s="104"/>
      <c r="L416" s="140"/>
      <c r="M416" s="101"/>
      <c r="N416" s="127"/>
      <c r="O416" s="95"/>
      <c r="P416" s="98"/>
      <c r="Q416" s="95"/>
      <c r="R416" s="100"/>
      <c r="S416" s="95"/>
      <c r="T416" s="95"/>
      <c r="U416" s="96"/>
      <c r="V416" s="96"/>
      <c r="W416" s="96"/>
      <c r="X416" s="96"/>
      <c r="Y416" s="96"/>
      <c r="Z416" s="97"/>
    </row>
    <row r="417" spans="6:26" x14ac:dyDescent="0.25">
      <c r="F417" s="438"/>
      <c r="G417" s="104"/>
      <c r="H417" s="104"/>
      <c r="I417" s="104"/>
      <c r="J417" s="104"/>
      <c r="K417" s="104"/>
      <c r="L417" s="140"/>
      <c r="M417" s="101"/>
      <c r="N417" s="127"/>
      <c r="O417" s="95"/>
      <c r="P417" s="98"/>
      <c r="Q417" s="95"/>
      <c r="R417" s="100"/>
      <c r="S417" s="95"/>
      <c r="T417" s="95"/>
      <c r="U417" s="96"/>
      <c r="V417" s="96"/>
      <c r="W417" s="96"/>
      <c r="X417" s="96"/>
      <c r="Y417" s="96"/>
      <c r="Z417" s="97"/>
    </row>
    <row r="418" spans="6:26" x14ac:dyDescent="0.25">
      <c r="F418" s="438"/>
      <c r="G418" s="104"/>
      <c r="H418" s="104"/>
      <c r="I418" s="104"/>
      <c r="J418" s="104"/>
      <c r="K418" s="104"/>
      <c r="L418" s="140"/>
      <c r="M418" s="101"/>
      <c r="N418" s="127"/>
      <c r="O418" s="95"/>
      <c r="P418" s="98"/>
      <c r="Q418" s="95"/>
      <c r="R418" s="100"/>
      <c r="S418" s="95"/>
      <c r="T418" s="95"/>
      <c r="U418" s="96"/>
      <c r="V418" s="96"/>
      <c r="W418" s="96"/>
      <c r="X418" s="96"/>
      <c r="Y418" s="96"/>
      <c r="Z418" s="97"/>
    </row>
    <row r="419" spans="6:26" x14ac:dyDescent="0.25">
      <c r="F419" s="438"/>
      <c r="G419" s="104"/>
      <c r="H419" s="104"/>
      <c r="I419" s="104"/>
      <c r="J419" s="104"/>
      <c r="K419" s="104"/>
      <c r="L419" s="140"/>
      <c r="M419" s="101"/>
      <c r="N419" s="127"/>
      <c r="O419" s="95"/>
      <c r="P419" s="98"/>
      <c r="Q419" s="95"/>
      <c r="R419" s="100"/>
      <c r="S419" s="95"/>
      <c r="T419" s="95"/>
      <c r="U419" s="96"/>
      <c r="V419" s="96"/>
      <c r="W419" s="96"/>
      <c r="X419" s="96"/>
      <c r="Y419" s="96"/>
      <c r="Z419" s="97"/>
    </row>
    <row r="420" spans="6:26" x14ac:dyDescent="0.25">
      <c r="F420" s="438"/>
      <c r="G420" s="104"/>
      <c r="H420" s="104"/>
      <c r="I420" s="104"/>
      <c r="J420" s="104"/>
      <c r="K420" s="104"/>
      <c r="L420" s="140"/>
      <c r="M420" s="101"/>
      <c r="N420" s="127"/>
      <c r="O420" s="95"/>
      <c r="P420" s="98"/>
      <c r="Q420" s="95"/>
      <c r="R420" s="100"/>
      <c r="S420" s="95"/>
      <c r="T420" s="95"/>
      <c r="U420" s="96"/>
      <c r="V420" s="96"/>
      <c r="W420" s="96"/>
      <c r="X420" s="96"/>
      <c r="Y420" s="96"/>
      <c r="Z420" s="97"/>
    </row>
    <row r="421" spans="6:26" x14ac:dyDescent="0.25">
      <c r="F421" s="438"/>
      <c r="G421" s="104"/>
      <c r="H421" s="104"/>
      <c r="I421" s="104"/>
      <c r="J421" s="104"/>
      <c r="K421" s="104"/>
      <c r="L421" s="140"/>
      <c r="M421" s="101"/>
      <c r="N421" s="127"/>
      <c r="O421" s="95"/>
      <c r="P421" s="98"/>
      <c r="Q421" s="95"/>
      <c r="R421" s="100"/>
      <c r="S421" s="95"/>
      <c r="T421" s="95"/>
      <c r="U421" s="96"/>
      <c r="V421" s="96"/>
      <c r="W421" s="96"/>
      <c r="X421" s="96"/>
      <c r="Y421" s="96"/>
      <c r="Z421" s="97"/>
    </row>
    <row r="422" spans="6:26" x14ac:dyDescent="0.25">
      <c r="F422" s="438"/>
      <c r="G422" s="104"/>
      <c r="H422" s="104"/>
      <c r="I422" s="104"/>
      <c r="J422" s="104"/>
      <c r="K422" s="104"/>
      <c r="L422" s="140"/>
      <c r="M422" s="101"/>
      <c r="N422" s="127"/>
      <c r="O422" s="95"/>
      <c r="P422" s="98"/>
      <c r="Q422" s="95"/>
      <c r="R422" s="100"/>
      <c r="S422" s="95"/>
      <c r="T422" s="95"/>
      <c r="U422" s="96"/>
      <c r="V422" s="96"/>
      <c r="W422" s="96"/>
      <c r="X422" s="96"/>
      <c r="Y422" s="96"/>
      <c r="Z422" s="97"/>
    </row>
    <row r="423" spans="6:26" x14ac:dyDescent="0.25">
      <c r="F423" s="438"/>
      <c r="G423" s="104"/>
      <c r="H423" s="104"/>
      <c r="I423" s="104"/>
      <c r="J423" s="104"/>
      <c r="K423" s="104"/>
      <c r="L423" s="140"/>
      <c r="M423" s="101"/>
      <c r="N423" s="127"/>
      <c r="O423" s="95"/>
      <c r="P423" s="98"/>
      <c r="Q423" s="95"/>
      <c r="R423" s="100"/>
      <c r="S423" s="95"/>
      <c r="T423" s="95"/>
      <c r="U423" s="96"/>
      <c r="V423" s="96"/>
      <c r="W423" s="96"/>
      <c r="X423" s="96"/>
      <c r="Y423" s="96"/>
      <c r="Z423" s="97"/>
    </row>
    <row r="424" spans="6:26" x14ac:dyDescent="0.25">
      <c r="F424" s="438"/>
      <c r="G424" s="104"/>
      <c r="H424" s="104"/>
      <c r="I424" s="104"/>
      <c r="J424" s="104"/>
      <c r="K424" s="104"/>
      <c r="L424" s="140"/>
      <c r="M424" s="101"/>
      <c r="N424" s="127"/>
      <c r="O424" s="95"/>
      <c r="P424" s="98"/>
      <c r="Q424" s="95"/>
      <c r="R424" s="100"/>
      <c r="S424" s="95"/>
      <c r="T424" s="95"/>
      <c r="U424" s="96"/>
      <c r="V424" s="96"/>
      <c r="W424" s="96"/>
      <c r="X424" s="96"/>
      <c r="Y424" s="96"/>
      <c r="Z424" s="97"/>
    </row>
    <row r="425" spans="6:26" x14ac:dyDescent="0.25">
      <c r="F425" s="438"/>
      <c r="G425" s="104"/>
      <c r="H425" s="104"/>
      <c r="I425" s="104"/>
      <c r="J425" s="104"/>
      <c r="K425" s="104"/>
      <c r="L425" s="140"/>
      <c r="M425" s="101"/>
      <c r="N425" s="127"/>
      <c r="O425" s="95"/>
      <c r="P425" s="98"/>
      <c r="Q425" s="95"/>
      <c r="R425" s="100"/>
      <c r="S425" s="95"/>
      <c r="T425" s="95"/>
      <c r="U425" s="96"/>
      <c r="V425" s="96"/>
      <c r="W425" s="96"/>
      <c r="X425" s="96"/>
      <c r="Y425" s="96"/>
      <c r="Z425" s="97"/>
    </row>
    <row r="426" spans="6:26" x14ac:dyDescent="0.25">
      <c r="F426" s="438"/>
      <c r="G426" s="104"/>
      <c r="H426" s="104"/>
      <c r="I426" s="104"/>
      <c r="J426" s="104"/>
      <c r="K426" s="104"/>
      <c r="L426" s="140"/>
      <c r="M426" s="101"/>
      <c r="N426" s="127"/>
      <c r="O426" s="95"/>
      <c r="P426" s="98"/>
      <c r="Q426" s="95"/>
      <c r="R426" s="100"/>
      <c r="S426" s="95"/>
      <c r="T426" s="95"/>
      <c r="U426" s="96"/>
      <c r="V426" s="96"/>
      <c r="W426" s="96"/>
      <c r="X426" s="96"/>
      <c r="Y426" s="96"/>
      <c r="Z426" s="97"/>
    </row>
    <row r="427" spans="6:26" x14ac:dyDescent="0.25">
      <c r="F427" s="438"/>
      <c r="G427" s="104"/>
      <c r="H427" s="104"/>
      <c r="I427" s="104"/>
      <c r="J427" s="104"/>
      <c r="K427" s="104"/>
      <c r="L427" s="140"/>
      <c r="M427" s="101"/>
      <c r="N427" s="127"/>
      <c r="O427" s="95"/>
      <c r="P427" s="98"/>
      <c r="Q427" s="95"/>
      <c r="R427" s="100"/>
      <c r="S427" s="95"/>
      <c r="T427" s="95"/>
      <c r="U427" s="96"/>
      <c r="V427" s="96"/>
      <c r="W427" s="96"/>
      <c r="X427" s="96"/>
      <c r="Y427" s="96"/>
      <c r="Z427" s="97"/>
    </row>
    <row r="428" spans="6:26" x14ac:dyDescent="0.25">
      <c r="F428" s="438"/>
      <c r="G428" s="104"/>
      <c r="H428" s="104"/>
      <c r="I428" s="104"/>
      <c r="J428" s="104"/>
      <c r="K428" s="104"/>
      <c r="L428" s="140"/>
      <c r="M428" s="101"/>
      <c r="N428" s="127"/>
      <c r="O428" s="95"/>
      <c r="P428" s="98"/>
      <c r="Q428" s="95"/>
      <c r="R428" s="100"/>
      <c r="S428" s="95"/>
      <c r="T428" s="95"/>
      <c r="U428" s="96"/>
      <c r="V428" s="96"/>
      <c r="W428" s="96"/>
      <c r="X428" s="96"/>
      <c r="Y428" s="96"/>
      <c r="Z428" s="97"/>
    </row>
    <row r="429" spans="6:26" x14ac:dyDescent="0.25">
      <c r="F429" s="438"/>
      <c r="G429" s="104"/>
      <c r="H429" s="104"/>
      <c r="I429" s="104"/>
      <c r="J429" s="104"/>
      <c r="K429" s="104"/>
      <c r="L429" s="140"/>
      <c r="M429" s="101"/>
      <c r="N429" s="127"/>
      <c r="O429" s="95"/>
      <c r="P429" s="98"/>
      <c r="Q429" s="95"/>
      <c r="R429" s="100"/>
      <c r="S429" s="95"/>
      <c r="T429" s="95"/>
      <c r="U429" s="96"/>
      <c r="V429" s="96"/>
      <c r="W429" s="96"/>
      <c r="X429" s="96"/>
      <c r="Y429" s="96"/>
      <c r="Z429" s="97"/>
    </row>
    <row r="430" spans="6:26" x14ac:dyDescent="0.25">
      <c r="F430" s="438"/>
      <c r="G430" s="104"/>
      <c r="H430" s="104"/>
      <c r="I430" s="104"/>
      <c r="J430" s="104"/>
      <c r="K430" s="104"/>
      <c r="L430" s="140"/>
      <c r="M430" s="101"/>
      <c r="N430" s="127"/>
      <c r="O430" s="95"/>
      <c r="P430" s="98"/>
      <c r="Q430" s="95"/>
      <c r="R430" s="100"/>
      <c r="S430" s="95"/>
      <c r="T430" s="95"/>
      <c r="U430" s="96"/>
      <c r="V430" s="96"/>
      <c r="W430" s="96"/>
      <c r="X430" s="96"/>
      <c r="Y430" s="96"/>
      <c r="Z430" s="97"/>
    </row>
    <row r="431" spans="6:26" x14ac:dyDescent="0.25">
      <c r="F431" s="438"/>
      <c r="G431" s="104"/>
      <c r="H431" s="104"/>
      <c r="I431" s="104"/>
      <c r="J431" s="104"/>
      <c r="K431" s="104"/>
      <c r="L431" s="140"/>
      <c r="M431" s="101"/>
      <c r="N431" s="127"/>
      <c r="O431" s="95"/>
      <c r="P431" s="98"/>
      <c r="Q431" s="95"/>
      <c r="R431" s="100"/>
      <c r="S431" s="95"/>
      <c r="T431" s="95"/>
      <c r="U431" s="96"/>
      <c r="V431" s="96"/>
      <c r="W431" s="96"/>
      <c r="X431" s="96"/>
      <c r="Y431" s="96"/>
      <c r="Z431" s="97"/>
    </row>
    <row r="432" spans="6:26" x14ac:dyDescent="0.25">
      <c r="F432" s="438"/>
      <c r="G432" s="104"/>
      <c r="H432" s="104"/>
      <c r="I432" s="104"/>
      <c r="J432" s="104"/>
      <c r="K432" s="104"/>
      <c r="L432" s="140"/>
      <c r="M432" s="101"/>
      <c r="N432" s="127"/>
      <c r="O432" s="95"/>
      <c r="P432" s="98"/>
      <c r="Q432" s="95"/>
      <c r="R432" s="100"/>
      <c r="S432" s="95"/>
      <c r="T432" s="95"/>
      <c r="U432" s="96"/>
      <c r="V432" s="96"/>
      <c r="W432" s="96"/>
      <c r="X432" s="96"/>
      <c r="Y432" s="96"/>
      <c r="Z432" s="97"/>
    </row>
    <row r="433" spans="6:26" x14ac:dyDescent="0.25">
      <c r="F433" s="438"/>
      <c r="G433" s="104"/>
      <c r="H433" s="104"/>
      <c r="I433" s="104"/>
      <c r="J433" s="104"/>
      <c r="K433" s="104"/>
      <c r="L433" s="140"/>
      <c r="M433" s="101"/>
      <c r="N433" s="127"/>
      <c r="O433" s="95"/>
      <c r="P433" s="98"/>
      <c r="Q433" s="95"/>
      <c r="R433" s="100"/>
      <c r="S433" s="95"/>
      <c r="T433" s="95"/>
      <c r="U433" s="96"/>
      <c r="V433" s="96"/>
      <c r="W433" s="96"/>
      <c r="X433" s="96"/>
      <c r="Y433" s="96"/>
      <c r="Z433" s="97"/>
    </row>
    <row r="434" spans="6:26" x14ac:dyDescent="0.25">
      <c r="F434" s="438"/>
      <c r="G434" s="104"/>
      <c r="H434" s="104"/>
      <c r="I434" s="104"/>
      <c r="J434" s="104"/>
      <c r="K434" s="104"/>
      <c r="L434" s="140"/>
      <c r="M434" s="101"/>
      <c r="N434" s="127"/>
      <c r="O434" s="95"/>
      <c r="P434" s="98"/>
      <c r="Q434" s="95"/>
      <c r="R434" s="100"/>
      <c r="S434" s="95"/>
      <c r="T434" s="95"/>
      <c r="U434" s="96"/>
      <c r="V434" s="96"/>
      <c r="W434" s="96"/>
      <c r="X434" s="96"/>
      <c r="Y434" s="96"/>
      <c r="Z434" s="97"/>
    </row>
    <row r="435" spans="6:26" x14ac:dyDescent="0.25">
      <c r="F435" s="438"/>
      <c r="G435" s="104"/>
      <c r="H435" s="104"/>
      <c r="I435" s="104"/>
      <c r="J435" s="104"/>
      <c r="K435" s="104"/>
      <c r="L435" s="140"/>
      <c r="M435" s="101"/>
      <c r="N435" s="127"/>
      <c r="O435" s="95"/>
      <c r="P435" s="98"/>
      <c r="Q435" s="95"/>
      <c r="R435" s="100"/>
      <c r="S435" s="95"/>
      <c r="T435" s="95"/>
      <c r="U435" s="96"/>
      <c r="V435" s="96"/>
      <c r="W435" s="96"/>
      <c r="X435" s="96"/>
      <c r="Y435" s="96"/>
      <c r="Z435" s="97"/>
    </row>
    <row r="436" spans="6:26" x14ac:dyDescent="0.25">
      <c r="F436" s="438"/>
      <c r="G436" s="104"/>
      <c r="H436" s="104"/>
      <c r="I436" s="104"/>
      <c r="J436" s="104"/>
      <c r="K436" s="104"/>
      <c r="L436" s="140"/>
      <c r="M436" s="101"/>
      <c r="N436" s="127"/>
      <c r="O436" s="95"/>
      <c r="P436" s="98"/>
      <c r="Q436" s="95"/>
      <c r="R436" s="100"/>
      <c r="S436" s="95"/>
      <c r="T436" s="95"/>
      <c r="U436" s="96"/>
      <c r="V436" s="96"/>
      <c r="W436" s="96"/>
      <c r="X436" s="96"/>
      <c r="Y436" s="96"/>
      <c r="Z436" s="97"/>
    </row>
    <row r="437" spans="6:26" x14ac:dyDescent="0.25">
      <c r="F437" s="438"/>
      <c r="G437" s="104"/>
      <c r="H437" s="104"/>
      <c r="I437" s="104"/>
      <c r="J437" s="104"/>
      <c r="K437" s="104"/>
      <c r="L437" s="140"/>
      <c r="M437" s="101"/>
      <c r="N437" s="127"/>
      <c r="O437" s="95"/>
      <c r="P437" s="98"/>
      <c r="Q437" s="95"/>
      <c r="R437" s="100"/>
      <c r="S437" s="95"/>
      <c r="T437" s="95"/>
      <c r="U437" s="96"/>
      <c r="V437" s="96"/>
      <c r="W437" s="96"/>
      <c r="X437" s="96"/>
      <c r="Y437" s="96"/>
      <c r="Z437" s="97"/>
    </row>
    <row r="438" spans="6:26" x14ac:dyDescent="0.25">
      <c r="F438" s="438"/>
      <c r="G438" s="104"/>
      <c r="H438" s="104"/>
      <c r="I438" s="104"/>
      <c r="J438" s="104"/>
      <c r="K438" s="104"/>
      <c r="L438" s="140"/>
      <c r="M438" s="101"/>
      <c r="N438" s="127"/>
      <c r="O438" s="95"/>
      <c r="P438" s="98"/>
      <c r="Q438" s="95"/>
      <c r="R438" s="100"/>
      <c r="S438" s="95"/>
      <c r="T438" s="95"/>
      <c r="U438" s="96"/>
      <c r="V438" s="96"/>
      <c r="W438" s="96"/>
      <c r="X438" s="96"/>
      <c r="Y438" s="96"/>
      <c r="Z438" s="97"/>
    </row>
    <row r="439" spans="6:26" x14ac:dyDescent="0.25">
      <c r="F439" s="438"/>
      <c r="G439" s="104"/>
      <c r="H439" s="104"/>
      <c r="I439" s="104"/>
      <c r="J439" s="104"/>
      <c r="K439" s="104"/>
      <c r="L439" s="140"/>
      <c r="M439" s="101"/>
      <c r="N439" s="127"/>
      <c r="O439" s="95"/>
      <c r="P439" s="98"/>
      <c r="Q439" s="95"/>
      <c r="R439" s="100"/>
      <c r="S439" s="95"/>
      <c r="T439" s="95"/>
      <c r="U439" s="96"/>
      <c r="V439" s="96"/>
      <c r="W439" s="96"/>
      <c r="X439" s="96"/>
      <c r="Y439" s="96"/>
      <c r="Z439" s="97"/>
    </row>
    <row r="440" spans="6:26" x14ac:dyDescent="0.25">
      <c r="F440" s="438"/>
      <c r="G440" s="104"/>
      <c r="H440" s="104"/>
      <c r="I440" s="104"/>
      <c r="J440" s="104"/>
      <c r="K440" s="104"/>
      <c r="L440" s="140"/>
      <c r="M440" s="101"/>
      <c r="N440" s="127"/>
      <c r="O440" s="95"/>
      <c r="P440" s="98"/>
      <c r="Q440" s="95"/>
      <c r="R440" s="100"/>
      <c r="S440" s="95"/>
      <c r="T440" s="95"/>
      <c r="U440" s="96"/>
      <c r="V440" s="96"/>
      <c r="W440" s="96"/>
      <c r="X440" s="96"/>
      <c r="Y440" s="96"/>
      <c r="Z440" s="97"/>
    </row>
    <row r="441" spans="6:26" x14ac:dyDescent="0.25">
      <c r="F441" s="438"/>
      <c r="G441" s="104"/>
      <c r="H441" s="104"/>
      <c r="I441" s="104"/>
      <c r="J441" s="104"/>
      <c r="K441" s="104"/>
      <c r="L441" s="140"/>
      <c r="M441" s="101"/>
      <c r="N441" s="127"/>
      <c r="O441" s="95"/>
      <c r="P441" s="98"/>
      <c r="Q441" s="95"/>
      <c r="R441" s="100"/>
      <c r="S441" s="95"/>
      <c r="T441" s="95"/>
      <c r="U441" s="96"/>
      <c r="V441" s="96"/>
      <c r="W441" s="96"/>
      <c r="X441" s="96"/>
      <c r="Y441" s="96"/>
      <c r="Z441" s="97"/>
    </row>
    <row r="442" spans="6:26" x14ac:dyDescent="0.25">
      <c r="F442" s="438"/>
      <c r="G442" s="104"/>
      <c r="H442" s="104"/>
      <c r="I442" s="104"/>
      <c r="J442" s="104"/>
      <c r="K442" s="104"/>
      <c r="L442" s="140"/>
      <c r="M442" s="101"/>
      <c r="N442" s="127"/>
      <c r="O442" s="95"/>
      <c r="P442" s="98"/>
      <c r="Q442" s="95"/>
      <c r="R442" s="100"/>
      <c r="S442" s="95"/>
      <c r="T442" s="95"/>
      <c r="U442" s="96"/>
      <c r="V442" s="96"/>
      <c r="W442" s="96"/>
      <c r="X442" s="96"/>
      <c r="Y442" s="96"/>
      <c r="Z442" s="97"/>
    </row>
    <row r="443" spans="6:26" x14ac:dyDescent="0.25">
      <c r="F443" s="438"/>
      <c r="G443" s="104"/>
      <c r="H443" s="104"/>
      <c r="I443" s="104"/>
      <c r="J443" s="104"/>
      <c r="K443" s="104"/>
      <c r="L443" s="140"/>
      <c r="M443" s="101"/>
      <c r="N443" s="127"/>
      <c r="O443" s="95"/>
      <c r="P443" s="98"/>
      <c r="Q443" s="95"/>
      <c r="R443" s="100"/>
      <c r="S443" s="95"/>
      <c r="T443" s="95"/>
      <c r="U443" s="96"/>
      <c r="V443" s="96"/>
      <c r="W443" s="96"/>
      <c r="X443" s="96"/>
      <c r="Y443" s="96"/>
      <c r="Z443" s="97"/>
    </row>
    <row r="444" spans="6:26" x14ac:dyDescent="0.25">
      <c r="F444" s="438"/>
      <c r="G444" s="104"/>
      <c r="H444" s="104"/>
      <c r="I444" s="104"/>
      <c r="J444" s="104"/>
      <c r="K444" s="104"/>
      <c r="L444" s="140"/>
      <c r="M444" s="101"/>
      <c r="N444" s="127"/>
      <c r="O444" s="95"/>
      <c r="P444" s="98"/>
      <c r="Q444" s="95"/>
      <c r="R444" s="100"/>
      <c r="S444" s="95"/>
      <c r="T444" s="95"/>
      <c r="U444" s="96"/>
      <c r="V444" s="96"/>
      <c r="W444" s="96"/>
      <c r="X444" s="96"/>
      <c r="Y444" s="96"/>
      <c r="Z444" s="97"/>
    </row>
    <row r="445" spans="6:26" x14ac:dyDescent="0.25">
      <c r="F445" s="438"/>
      <c r="G445" s="104"/>
      <c r="H445" s="104"/>
      <c r="I445" s="104"/>
      <c r="J445" s="104"/>
      <c r="K445" s="104"/>
      <c r="L445" s="140"/>
      <c r="M445" s="101"/>
      <c r="N445" s="127"/>
      <c r="O445" s="95"/>
      <c r="P445" s="98"/>
      <c r="Q445" s="95"/>
      <c r="R445" s="100"/>
      <c r="S445" s="95"/>
      <c r="T445" s="95"/>
      <c r="U445" s="96"/>
      <c r="V445" s="96"/>
      <c r="W445" s="96"/>
      <c r="X445" s="96"/>
      <c r="Y445" s="96"/>
      <c r="Z445" s="97"/>
    </row>
    <row r="446" spans="6:26" x14ac:dyDescent="0.25">
      <c r="F446" s="438"/>
      <c r="G446" s="104"/>
      <c r="H446" s="104"/>
      <c r="I446" s="104"/>
      <c r="J446" s="104"/>
      <c r="K446" s="104"/>
      <c r="L446" s="140"/>
      <c r="M446" s="101"/>
      <c r="N446" s="127"/>
      <c r="O446" s="95"/>
      <c r="P446" s="98"/>
      <c r="Q446" s="95"/>
      <c r="R446" s="100"/>
      <c r="S446" s="95"/>
      <c r="T446" s="95"/>
      <c r="U446" s="96"/>
      <c r="V446" s="96"/>
      <c r="W446" s="96"/>
      <c r="X446" s="96"/>
      <c r="Y446" s="96"/>
      <c r="Z446" s="97"/>
    </row>
    <row r="447" spans="6:26" x14ac:dyDescent="0.25">
      <c r="F447" s="438"/>
      <c r="G447" s="104"/>
      <c r="H447" s="104"/>
      <c r="I447" s="104"/>
      <c r="J447" s="104"/>
      <c r="K447" s="104"/>
      <c r="L447" s="140"/>
      <c r="M447" s="101"/>
      <c r="N447" s="127"/>
      <c r="O447" s="95"/>
      <c r="P447" s="98"/>
      <c r="Q447" s="95"/>
      <c r="R447" s="100"/>
      <c r="S447" s="95"/>
      <c r="T447" s="95"/>
      <c r="U447" s="96"/>
      <c r="V447" s="96"/>
      <c r="W447" s="96"/>
      <c r="X447" s="96"/>
      <c r="Y447" s="96"/>
      <c r="Z447" s="97"/>
    </row>
    <row r="448" spans="6:26" x14ac:dyDescent="0.25">
      <c r="F448" s="438"/>
      <c r="G448" s="104"/>
      <c r="H448" s="104"/>
      <c r="I448" s="104"/>
      <c r="J448" s="104"/>
      <c r="K448" s="104"/>
      <c r="L448" s="140"/>
      <c r="M448" s="101"/>
      <c r="N448" s="127"/>
      <c r="O448" s="95"/>
      <c r="P448" s="98"/>
      <c r="Q448" s="95"/>
      <c r="R448" s="100"/>
      <c r="S448" s="95"/>
      <c r="T448" s="95"/>
      <c r="U448" s="96"/>
      <c r="V448" s="96"/>
      <c r="W448" s="96"/>
      <c r="X448" s="96"/>
      <c r="Y448" s="96"/>
      <c r="Z448" s="97"/>
    </row>
    <row r="449" spans="6:26" x14ac:dyDescent="0.25">
      <c r="F449" s="438"/>
      <c r="G449" s="104"/>
      <c r="H449" s="104"/>
      <c r="I449" s="104"/>
      <c r="J449" s="104"/>
      <c r="K449" s="104"/>
      <c r="L449" s="140"/>
      <c r="M449" s="101"/>
      <c r="N449" s="127"/>
      <c r="O449" s="95"/>
      <c r="P449" s="98"/>
      <c r="Q449" s="95"/>
      <c r="R449" s="100"/>
      <c r="S449" s="95"/>
      <c r="T449" s="95"/>
      <c r="U449" s="96"/>
      <c r="V449" s="96"/>
      <c r="W449" s="96"/>
      <c r="X449" s="96"/>
      <c r="Y449" s="96"/>
      <c r="Z449" s="97"/>
    </row>
    <row r="450" spans="6:26" x14ac:dyDescent="0.25">
      <c r="F450" s="438"/>
      <c r="G450" s="104"/>
      <c r="H450" s="104"/>
      <c r="I450" s="104"/>
      <c r="J450" s="104"/>
      <c r="K450" s="104"/>
      <c r="L450" s="140"/>
      <c r="M450" s="101"/>
      <c r="N450" s="127"/>
      <c r="O450" s="95"/>
      <c r="P450" s="98"/>
      <c r="Q450" s="95"/>
      <c r="R450" s="100"/>
      <c r="S450" s="95"/>
      <c r="T450" s="95"/>
      <c r="U450" s="96"/>
      <c r="V450" s="96"/>
      <c r="W450" s="96"/>
      <c r="X450" s="96"/>
      <c r="Y450" s="96"/>
      <c r="Z450" s="97"/>
    </row>
    <row r="451" spans="6:26" x14ac:dyDescent="0.25">
      <c r="F451" s="438"/>
      <c r="G451" s="104"/>
      <c r="H451" s="104"/>
      <c r="I451" s="104"/>
      <c r="J451" s="104"/>
      <c r="K451" s="104"/>
      <c r="L451" s="140"/>
      <c r="M451" s="101"/>
      <c r="N451" s="127"/>
      <c r="O451" s="95"/>
      <c r="P451" s="98"/>
      <c r="Q451" s="95"/>
      <c r="R451" s="100"/>
      <c r="S451" s="95"/>
      <c r="T451" s="95"/>
      <c r="U451" s="96"/>
      <c r="V451" s="96"/>
      <c r="W451" s="96"/>
      <c r="X451" s="96"/>
      <c r="Y451" s="96"/>
      <c r="Z451" s="97"/>
    </row>
    <row r="452" spans="6:26" x14ac:dyDescent="0.25">
      <c r="F452" s="438"/>
      <c r="G452" s="104"/>
      <c r="H452" s="104"/>
      <c r="I452" s="104"/>
      <c r="J452" s="104"/>
      <c r="K452" s="104"/>
      <c r="L452" s="140"/>
      <c r="M452" s="101"/>
      <c r="N452" s="127"/>
      <c r="O452" s="95"/>
      <c r="P452" s="98"/>
      <c r="Q452" s="95"/>
      <c r="R452" s="100"/>
      <c r="S452" s="95"/>
      <c r="T452" s="95"/>
      <c r="U452" s="96"/>
      <c r="V452" s="96"/>
      <c r="W452" s="96"/>
      <c r="X452" s="96"/>
      <c r="Y452" s="96"/>
      <c r="Z452" s="97"/>
    </row>
    <row r="453" spans="6:26" x14ac:dyDescent="0.25">
      <c r="F453" s="438"/>
      <c r="G453" s="104"/>
      <c r="H453" s="104"/>
      <c r="I453" s="104"/>
      <c r="J453" s="104"/>
      <c r="K453" s="104"/>
      <c r="L453" s="140"/>
      <c r="M453" s="101"/>
      <c r="N453" s="127"/>
      <c r="O453" s="95"/>
      <c r="P453" s="98"/>
      <c r="Q453" s="95"/>
      <c r="R453" s="100"/>
      <c r="S453" s="95"/>
      <c r="T453" s="95"/>
      <c r="U453" s="96"/>
      <c r="V453" s="96"/>
      <c r="W453" s="96"/>
      <c r="X453" s="96"/>
      <c r="Y453" s="96"/>
      <c r="Z453" s="97"/>
    </row>
    <row r="454" spans="6:26" x14ac:dyDescent="0.25">
      <c r="F454" s="438"/>
      <c r="G454" s="104"/>
      <c r="H454" s="104"/>
      <c r="I454" s="104"/>
      <c r="J454" s="104"/>
      <c r="K454" s="104"/>
      <c r="L454" s="140"/>
      <c r="M454" s="101"/>
      <c r="N454" s="127"/>
      <c r="O454" s="95"/>
      <c r="P454" s="98"/>
      <c r="Q454" s="95"/>
      <c r="R454" s="100"/>
      <c r="S454" s="95"/>
      <c r="T454" s="95"/>
      <c r="U454" s="96"/>
      <c r="V454" s="96"/>
      <c r="W454" s="96"/>
      <c r="X454" s="96"/>
      <c r="Y454" s="96"/>
      <c r="Z454" s="97"/>
    </row>
    <row r="455" spans="6:26" x14ac:dyDescent="0.25">
      <c r="F455" s="438"/>
      <c r="G455" s="104"/>
      <c r="H455" s="104"/>
      <c r="I455" s="104"/>
      <c r="J455" s="104"/>
      <c r="K455" s="104"/>
      <c r="L455" s="140"/>
      <c r="M455" s="101"/>
      <c r="N455" s="127"/>
      <c r="O455" s="95"/>
      <c r="P455" s="98"/>
      <c r="Q455" s="95"/>
      <c r="R455" s="100"/>
      <c r="S455" s="95"/>
      <c r="T455" s="95"/>
      <c r="U455" s="96"/>
      <c r="V455" s="96"/>
      <c r="W455" s="96"/>
      <c r="X455" s="96"/>
      <c r="Y455" s="96"/>
      <c r="Z455" s="97"/>
    </row>
    <row r="456" spans="6:26" x14ac:dyDescent="0.25">
      <c r="F456" s="438"/>
      <c r="G456" s="104"/>
      <c r="H456" s="104"/>
      <c r="I456" s="104"/>
      <c r="J456" s="104"/>
      <c r="K456" s="104"/>
      <c r="L456" s="140"/>
      <c r="M456" s="101"/>
      <c r="N456" s="127"/>
      <c r="O456" s="95"/>
      <c r="P456" s="98"/>
      <c r="Q456" s="95"/>
      <c r="R456" s="100"/>
      <c r="S456" s="95"/>
      <c r="T456" s="95"/>
      <c r="U456" s="96"/>
      <c r="V456" s="96"/>
      <c r="W456" s="96"/>
      <c r="X456" s="96"/>
      <c r="Y456" s="96"/>
      <c r="Z456" s="97"/>
    </row>
    <row r="457" spans="6:26" x14ac:dyDescent="0.25">
      <c r="F457" s="438"/>
      <c r="G457" s="104"/>
      <c r="H457" s="104"/>
      <c r="I457" s="104"/>
      <c r="J457" s="104"/>
      <c r="K457" s="104"/>
      <c r="L457" s="140"/>
      <c r="M457" s="101"/>
      <c r="N457" s="127"/>
      <c r="O457" s="95"/>
      <c r="P457" s="98"/>
      <c r="Q457" s="95"/>
      <c r="R457" s="100"/>
      <c r="S457" s="95"/>
      <c r="T457" s="95"/>
      <c r="U457" s="96"/>
      <c r="V457" s="96"/>
      <c r="W457" s="96"/>
      <c r="X457" s="96"/>
      <c r="Y457" s="96"/>
      <c r="Z457" s="97"/>
    </row>
    <row r="458" spans="6:26" x14ac:dyDescent="0.25">
      <c r="F458" s="438"/>
      <c r="G458" s="104"/>
      <c r="H458" s="104"/>
      <c r="I458" s="104"/>
      <c r="J458" s="104"/>
      <c r="K458" s="104"/>
      <c r="L458" s="140"/>
      <c r="M458" s="101"/>
      <c r="N458" s="127"/>
      <c r="O458" s="95"/>
      <c r="P458" s="98"/>
      <c r="Q458" s="95"/>
      <c r="R458" s="100"/>
      <c r="S458" s="95"/>
      <c r="T458" s="95"/>
      <c r="U458" s="96"/>
      <c r="V458" s="96"/>
      <c r="W458" s="96"/>
      <c r="X458" s="96"/>
      <c r="Y458" s="96"/>
      <c r="Z458" s="97"/>
    </row>
    <row r="459" spans="6:26" x14ac:dyDescent="0.25">
      <c r="F459" s="438"/>
      <c r="G459" s="104"/>
      <c r="H459" s="104"/>
      <c r="I459" s="104"/>
      <c r="J459" s="104"/>
      <c r="K459" s="104"/>
      <c r="L459" s="140"/>
      <c r="M459" s="101"/>
      <c r="N459" s="127"/>
      <c r="O459" s="95"/>
      <c r="P459" s="98"/>
      <c r="Q459" s="95"/>
      <c r="R459" s="100"/>
      <c r="S459" s="95"/>
      <c r="T459" s="95"/>
      <c r="U459" s="96"/>
      <c r="V459" s="96"/>
      <c r="W459" s="96"/>
      <c r="X459" s="96"/>
      <c r="Y459" s="96"/>
      <c r="Z459" s="97"/>
    </row>
    <row r="460" spans="6:26" x14ac:dyDescent="0.25">
      <c r="F460" s="438"/>
      <c r="G460" s="104"/>
      <c r="H460" s="104"/>
      <c r="I460" s="104"/>
      <c r="J460" s="104"/>
      <c r="K460" s="104"/>
      <c r="L460" s="140"/>
      <c r="M460" s="101"/>
      <c r="N460" s="127"/>
      <c r="O460" s="95"/>
      <c r="P460" s="98"/>
      <c r="Q460" s="95"/>
      <c r="R460" s="100"/>
      <c r="S460" s="95"/>
      <c r="T460" s="95"/>
      <c r="U460" s="96"/>
      <c r="V460" s="96"/>
      <c r="W460" s="96"/>
      <c r="X460" s="96"/>
      <c r="Y460" s="96"/>
      <c r="Z460" s="97"/>
    </row>
    <row r="461" spans="6:26" x14ac:dyDescent="0.25">
      <c r="F461" s="438"/>
      <c r="G461" s="104"/>
      <c r="H461" s="104"/>
      <c r="I461" s="104"/>
      <c r="J461" s="104"/>
      <c r="K461" s="104"/>
      <c r="L461" s="140"/>
      <c r="M461" s="101"/>
      <c r="N461" s="127"/>
      <c r="O461" s="95"/>
      <c r="P461" s="98"/>
      <c r="Q461" s="95"/>
      <c r="R461" s="100"/>
      <c r="S461" s="95"/>
      <c r="T461" s="95"/>
      <c r="U461" s="96"/>
      <c r="V461" s="96"/>
      <c r="W461" s="96"/>
      <c r="X461" s="96"/>
      <c r="Y461" s="96"/>
      <c r="Z461" s="97"/>
    </row>
    <row r="462" spans="6:26" x14ac:dyDescent="0.25">
      <c r="F462" s="438"/>
      <c r="G462" s="104"/>
      <c r="H462" s="104"/>
      <c r="I462" s="104"/>
      <c r="J462" s="104"/>
      <c r="K462" s="104"/>
      <c r="L462" s="140"/>
      <c r="M462" s="101"/>
      <c r="N462" s="127"/>
      <c r="O462" s="95"/>
      <c r="P462" s="98"/>
      <c r="Q462" s="95"/>
      <c r="R462" s="100"/>
      <c r="S462" s="95"/>
      <c r="T462" s="95"/>
      <c r="U462" s="96"/>
      <c r="V462" s="96"/>
      <c r="W462" s="96"/>
      <c r="X462" s="96"/>
      <c r="Y462" s="96"/>
      <c r="Z462" s="97"/>
    </row>
    <row r="463" spans="6:26" x14ac:dyDescent="0.25">
      <c r="F463" s="438"/>
      <c r="G463" s="104"/>
      <c r="H463" s="104"/>
      <c r="I463" s="104"/>
      <c r="J463" s="104"/>
      <c r="K463" s="104"/>
      <c r="L463" s="140"/>
      <c r="M463" s="101"/>
      <c r="N463" s="127"/>
      <c r="O463" s="95"/>
      <c r="P463" s="98"/>
      <c r="Q463" s="95"/>
      <c r="R463" s="100"/>
      <c r="S463" s="95"/>
      <c r="T463" s="95"/>
      <c r="U463" s="96"/>
      <c r="V463" s="96"/>
      <c r="W463" s="96"/>
      <c r="X463" s="96"/>
      <c r="Y463" s="96"/>
      <c r="Z463" s="97"/>
    </row>
    <row r="464" spans="6:26" x14ac:dyDescent="0.25">
      <c r="F464" s="438"/>
      <c r="G464" s="104"/>
      <c r="H464" s="104"/>
      <c r="I464" s="104"/>
      <c r="J464" s="104"/>
      <c r="K464" s="104"/>
      <c r="L464" s="140"/>
      <c r="M464" s="101"/>
      <c r="N464" s="127"/>
      <c r="O464" s="95"/>
      <c r="P464" s="98"/>
      <c r="Q464" s="95"/>
      <c r="R464" s="100"/>
      <c r="S464" s="95"/>
      <c r="T464" s="95"/>
      <c r="U464" s="96"/>
      <c r="V464" s="96"/>
      <c r="W464" s="96"/>
      <c r="X464" s="96"/>
      <c r="Y464" s="96"/>
      <c r="Z464" s="97"/>
    </row>
    <row r="465" spans="6:26" x14ac:dyDescent="0.25">
      <c r="F465" s="438"/>
      <c r="G465" s="104"/>
      <c r="H465" s="104"/>
      <c r="I465" s="104"/>
      <c r="J465" s="104"/>
      <c r="K465" s="104"/>
      <c r="L465" s="140"/>
      <c r="M465" s="101"/>
      <c r="N465" s="127"/>
      <c r="O465" s="95"/>
      <c r="P465" s="98"/>
      <c r="Q465" s="95"/>
      <c r="R465" s="100"/>
      <c r="S465" s="95"/>
      <c r="T465" s="95"/>
      <c r="U465" s="96"/>
      <c r="V465" s="96"/>
      <c r="W465" s="96"/>
      <c r="X465" s="96"/>
      <c r="Y465" s="96"/>
      <c r="Z465" s="97"/>
    </row>
    <row r="466" spans="6:26" x14ac:dyDescent="0.25">
      <c r="F466" s="438"/>
      <c r="G466" s="104"/>
      <c r="H466" s="104"/>
      <c r="I466" s="104"/>
      <c r="J466" s="104"/>
      <c r="K466" s="104"/>
      <c r="L466" s="140"/>
      <c r="M466" s="101"/>
      <c r="N466" s="127"/>
      <c r="O466" s="95"/>
      <c r="P466" s="98"/>
      <c r="Q466" s="95"/>
      <c r="R466" s="100"/>
      <c r="S466" s="95"/>
      <c r="T466" s="95"/>
      <c r="U466" s="96"/>
      <c r="V466" s="96"/>
      <c r="W466" s="96"/>
      <c r="X466" s="96"/>
      <c r="Y466" s="96"/>
      <c r="Z466" s="97"/>
    </row>
    <row r="467" spans="6:26" x14ac:dyDescent="0.25">
      <c r="F467" s="438"/>
      <c r="G467" s="104"/>
      <c r="H467" s="104"/>
      <c r="I467" s="104"/>
      <c r="J467" s="104"/>
      <c r="K467" s="104"/>
      <c r="L467" s="140"/>
      <c r="M467" s="101"/>
      <c r="N467" s="127"/>
      <c r="O467" s="95"/>
      <c r="P467" s="98"/>
      <c r="Q467" s="95"/>
      <c r="R467" s="100"/>
      <c r="S467" s="95"/>
      <c r="T467" s="95"/>
      <c r="U467" s="96"/>
      <c r="V467" s="96"/>
      <c r="W467" s="96"/>
      <c r="X467" s="96"/>
      <c r="Y467" s="96"/>
      <c r="Z467" s="97"/>
    </row>
    <row r="468" spans="6:26" x14ac:dyDescent="0.25">
      <c r="F468" s="438"/>
      <c r="G468" s="104"/>
      <c r="H468" s="104"/>
      <c r="I468" s="104"/>
      <c r="J468" s="104"/>
      <c r="K468" s="104"/>
      <c r="L468" s="140"/>
      <c r="M468" s="101"/>
      <c r="N468" s="127"/>
      <c r="O468" s="95"/>
      <c r="P468" s="98"/>
      <c r="Q468" s="95"/>
      <c r="R468" s="100"/>
      <c r="S468" s="95"/>
      <c r="T468" s="95"/>
      <c r="U468" s="96"/>
      <c r="V468" s="96"/>
      <c r="W468" s="96"/>
      <c r="X468" s="96"/>
      <c r="Y468" s="96"/>
      <c r="Z468" s="97"/>
    </row>
    <row r="469" spans="6:26" x14ac:dyDescent="0.25">
      <c r="F469" s="438"/>
      <c r="G469" s="104"/>
      <c r="H469" s="104"/>
      <c r="I469" s="104"/>
      <c r="J469" s="104"/>
      <c r="K469" s="104"/>
      <c r="L469" s="140"/>
      <c r="M469" s="101"/>
      <c r="N469" s="127"/>
      <c r="O469" s="95"/>
      <c r="P469" s="98"/>
      <c r="Q469" s="95"/>
      <c r="R469" s="100"/>
      <c r="S469" s="95"/>
      <c r="T469" s="95"/>
      <c r="U469" s="96"/>
      <c r="V469" s="96"/>
      <c r="W469" s="96"/>
      <c r="X469" s="96"/>
      <c r="Y469" s="96"/>
      <c r="Z469" s="97"/>
    </row>
    <row r="470" spans="6:26" x14ac:dyDescent="0.25">
      <c r="F470" s="438"/>
      <c r="G470" s="104"/>
      <c r="H470" s="104"/>
      <c r="I470" s="104"/>
      <c r="J470" s="104"/>
      <c r="K470" s="104"/>
      <c r="L470" s="140"/>
      <c r="M470" s="101"/>
      <c r="N470" s="127"/>
      <c r="O470" s="95"/>
      <c r="P470" s="98"/>
      <c r="Q470" s="95"/>
      <c r="R470" s="100"/>
      <c r="S470" s="95"/>
      <c r="T470" s="95"/>
      <c r="U470" s="96"/>
      <c r="V470" s="96"/>
      <c r="W470" s="96"/>
      <c r="X470" s="96"/>
      <c r="Y470" s="96"/>
      <c r="Z470" s="97"/>
    </row>
    <row r="471" spans="6:26" x14ac:dyDescent="0.25">
      <c r="F471" s="438"/>
      <c r="G471" s="104"/>
      <c r="H471" s="104"/>
      <c r="I471" s="104"/>
      <c r="J471" s="104"/>
      <c r="K471" s="104"/>
      <c r="L471" s="140"/>
      <c r="M471" s="101"/>
      <c r="N471" s="127"/>
      <c r="O471" s="95"/>
      <c r="P471" s="98"/>
      <c r="Q471" s="95"/>
      <c r="R471" s="100"/>
      <c r="S471" s="95"/>
      <c r="T471" s="95"/>
      <c r="U471" s="96"/>
      <c r="V471" s="96"/>
      <c r="W471" s="96"/>
      <c r="X471" s="96"/>
      <c r="Y471" s="96"/>
      <c r="Z471" s="97"/>
    </row>
    <row r="472" spans="6:26" x14ac:dyDescent="0.25">
      <c r="F472" s="438"/>
      <c r="G472" s="104"/>
      <c r="H472" s="104"/>
      <c r="I472" s="104"/>
      <c r="J472" s="104"/>
      <c r="K472" s="104"/>
      <c r="L472" s="140"/>
      <c r="M472" s="101"/>
      <c r="N472" s="127"/>
      <c r="O472" s="95"/>
      <c r="P472" s="98"/>
      <c r="Q472" s="95"/>
      <c r="R472" s="100"/>
      <c r="S472" s="95"/>
      <c r="T472" s="95"/>
      <c r="U472" s="96"/>
      <c r="V472" s="96"/>
      <c r="W472" s="96"/>
      <c r="X472" s="96"/>
      <c r="Y472" s="96"/>
      <c r="Z472" s="97"/>
    </row>
    <row r="473" spans="6:26" x14ac:dyDescent="0.25">
      <c r="F473" s="438"/>
      <c r="G473" s="104"/>
      <c r="H473" s="104"/>
      <c r="I473" s="104"/>
      <c r="J473" s="104"/>
      <c r="K473" s="104"/>
      <c r="L473" s="140"/>
      <c r="M473" s="101"/>
      <c r="N473" s="127"/>
      <c r="O473" s="95"/>
      <c r="P473" s="98"/>
      <c r="Q473" s="95"/>
      <c r="R473" s="100"/>
      <c r="S473" s="95"/>
      <c r="T473" s="95"/>
      <c r="U473" s="96"/>
      <c r="V473" s="96"/>
      <c r="W473" s="96"/>
      <c r="X473" s="96"/>
      <c r="Y473" s="96"/>
      <c r="Z473" s="97"/>
    </row>
    <row r="474" spans="6:26" x14ac:dyDescent="0.25">
      <c r="F474" s="438"/>
      <c r="G474" s="104"/>
      <c r="H474" s="104"/>
      <c r="I474" s="104"/>
      <c r="J474" s="104"/>
      <c r="K474" s="104"/>
      <c r="L474" s="140"/>
      <c r="M474" s="101"/>
      <c r="N474" s="127"/>
      <c r="O474" s="95"/>
      <c r="P474" s="98"/>
      <c r="Q474" s="95"/>
      <c r="R474" s="100"/>
      <c r="S474" s="95"/>
      <c r="T474" s="95"/>
      <c r="U474" s="96"/>
      <c r="V474" s="96"/>
      <c r="W474" s="96"/>
      <c r="X474" s="96"/>
      <c r="Y474" s="96"/>
      <c r="Z474" s="97"/>
    </row>
    <row r="475" spans="6:26" x14ac:dyDescent="0.25">
      <c r="F475" s="438"/>
      <c r="G475" s="104"/>
      <c r="H475" s="104"/>
      <c r="I475" s="104"/>
      <c r="J475" s="104"/>
      <c r="K475" s="104"/>
      <c r="L475" s="140"/>
      <c r="M475" s="101"/>
      <c r="N475" s="127"/>
      <c r="O475" s="95"/>
      <c r="P475" s="98"/>
      <c r="Q475" s="95"/>
      <c r="R475" s="100"/>
      <c r="S475" s="95"/>
      <c r="T475" s="95"/>
      <c r="U475" s="96"/>
      <c r="V475" s="96"/>
      <c r="W475" s="96"/>
      <c r="X475" s="96"/>
      <c r="Y475" s="96"/>
      <c r="Z475" s="97"/>
    </row>
    <row r="476" spans="6:26" x14ac:dyDescent="0.25">
      <c r="F476" s="438"/>
      <c r="G476" s="104"/>
      <c r="H476" s="104"/>
      <c r="I476" s="104"/>
      <c r="J476" s="104"/>
      <c r="K476" s="104"/>
      <c r="L476" s="140"/>
      <c r="M476" s="101"/>
      <c r="N476" s="127"/>
      <c r="O476" s="95"/>
      <c r="P476" s="98"/>
      <c r="Q476" s="95"/>
      <c r="R476" s="100"/>
      <c r="S476" s="95"/>
      <c r="T476" s="95"/>
      <c r="U476" s="96"/>
      <c r="V476" s="96"/>
      <c r="W476" s="96"/>
      <c r="X476" s="96"/>
      <c r="Y476" s="96"/>
      <c r="Z476" s="97"/>
    </row>
    <row r="477" spans="6:26" x14ac:dyDescent="0.25">
      <c r="F477" s="438"/>
      <c r="G477" s="104"/>
      <c r="H477" s="104"/>
      <c r="I477" s="104"/>
      <c r="J477" s="104"/>
      <c r="K477" s="104"/>
      <c r="L477" s="140"/>
      <c r="M477" s="101"/>
      <c r="N477" s="127"/>
      <c r="O477" s="95"/>
      <c r="P477" s="98"/>
      <c r="Q477" s="95"/>
      <c r="R477" s="100"/>
      <c r="S477" s="95"/>
      <c r="T477" s="95"/>
      <c r="U477" s="96"/>
      <c r="V477" s="96"/>
      <c r="W477" s="96"/>
      <c r="X477" s="96"/>
      <c r="Y477" s="96"/>
      <c r="Z477" s="97"/>
    </row>
    <row r="478" spans="6:26" x14ac:dyDescent="0.25">
      <c r="F478" s="438"/>
      <c r="G478" s="104"/>
      <c r="H478" s="104"/>
      <c r="I478" s="104"/>
      <c r="J478" s="104"/>
      <c r="K478" s="104"/>
      <c r="L478" s="140"/>
      <c r="M478" s="101"/>
      <c r="N478" s="127"/>
      <c r="O478" s="95"/>
      <c r="P478" s="98"/>
      <c r="Q478" s="95"/>
      <c r="R478" s="100"/>
      <c r="S478" s="95"/>
      <c r="T478" s="95"/>
      <c r="U478" s="96"/>
      <c r="V478" s="96"/>
      <c r="W478" s="96"/>
      <c r="X478" s="96"/>
      <c r="Y478" s="96"/>
      <c r="Z478" s="97"/>
    </row>
    <row r="479" spans="6:26" x14ac:dyDescent="0.25">
      <c r="F479" s="438"/>
      <c r="G479" s="104"/>
      <c r="H479" s="104"/>
      <c r="I479" s="104"/>
      <c r="J479" s="104"/>
      <c r="K479" s="104"/>
      <c r="L479" s="140"/>
      <c r="M479" s="101"/>
      <c r="N479" s="127"/>
      <c r="O479" s="95"/>
      <c r="P479" s="98"/>
      <c r="Q479" s="95"/>
      <c r="R479" s="100"/>
      <c r="S479" s="95"/>
      <c r="T479" s="95"/>
      <c r="U479" s="96"/>
      <c r="V479" s="96"/>
      <c r="W479" s="96"/>
      <c r="X479" s="96"/>
      <c r="Y479" s="96"/>
      <c r="Z479" s="97"/>
    </row>
    <row r="480" spans="6:26" x14ac:dyDescent="0.25">
      <c r="F480" s="438"/>
      <c r="G480" s="104"/>
      <c r="H480" s="104"/>
      <c r="I480" s="104"/>
      <c r="J480" s="104"/>
      <c r="K480" s="104"/>
      <c r="L480" s="140"/>
      <c r="M480" s="101"/>
      <c r="N480" s="127"/>
      <c r="O480" s="95"/>
      <c r="P480" s="98"/>
      <c r="Q480" s="95"/>
      <c r="R480" s="100"/>
      <c r="S480" s="95"/>
      <c r="T480" s="95"/>
      <c r="U480" s="96"/>
      <c r="V480" s="96"/>
      <c r="W480" s="96"/>
      <c r="X480" s="96"/>
      <c r="Y480" s="96"/>
      <c r="Z480" s="97"/>
    </row>
    <row r="481" spans="6:26" x14ac:dyDescent="0.25">
      <c r="F481" s="438"/>
      <c r="G481" s="104"/>
      <c r="H481" s="104"/>
      <c r="I481" s="104"/>
      <c r="J481" s="104"/>
      <c r="K481" s="104"/>
      <c r="L481" s="140"/>
      <c r="M481" s="101"/>
      <c r="N481" s="127"/>
      <c r="O481" s="95"/>
      <c r="P481" s="98"/>
      <c r="Q481" s="95"/>
      <c r="R481" s="100"/>
      <c r="S481" s="95"/>
      <c r="T481" s="95"/>
      <c r="U481" s="96"/>
      <c r="V481" s="96"/>
      <c r="W481" s="96"/>
      <c r="X481" s="96"/>
      <c r="Y481" s="96"/>
      <c r="Z481" s="97"/>
    </row>
    <row r="482" spans="6:26" x14ac:dyDescent="0.25">
      <c r="F482" s="438"/>
      <c r="G482" s="104"/>
      <c r="H482" s="104"/>
      <c r="I482" s="104"/>
      <c r="J482" s="104"/>
      <c r="K482" s="104"/>
      <c r="L482" s="140"/>
      <c r="M482" s="101"/>
      <c r="N482" s="127"/>
      <c r="O482" s="95"/>
      <c r="P482" s="98"/>
      <c r="Q482" s="95"/>
      <c r="R482" s="100"/>
      <c r="S482" s="95"/>
      <c r="T482" s="95"/>
      <c r="U482" s="96"/>
      <c r="V482" s="96"/>
      <c r="W482" s="96"/>
      <c r="X482" s="96"/>
      <c r="Y482" s="96"/>
      <c r="Z482" s="97"/>
    </row>
    <row r="483" spans="6:26" x14ac:dyDescent="0.25">
      <c r="F483" s="438"/>
      <c r="G483" s="104"/>
      <c r="H483" s="104"/>
      <c r="I483" s="104"/>
      <c r="J483" s="104"/>
      <c r="K483" s="104"/>
      <c r="L483" s="140"/>
      <c r="M483" s="101"/>
      <c r="N483" s="127"/>
      <c r="O483" s="95"/>
      <c r="P483" s="98"/>
      <c r="Q483" s="95"/>
      <c r="R483" s="100"/>
      <c r="S483" s="95"/>
      <c r="T483" s="95"/>
      <c r="U483" s="96"/>
      <c r="V483" s="96"/>
      <c r="W483" s="96"/>
      <c r="X483" s="96"/>
      <c r="Y483" s="96"/>
      <c r="Z483" s="97"/>
    </row>
    <row r="484" spans="6:26" x14ac:dyDescent="0.25">
      <c r="F484" s="438"/>
      <c r="G484" s="104"/>
      <c r="H484" s="104"/>
      <c r="I484" s="104"/>
      <c r="J484" s="104"/>
      <c r="K484" s="104"/>
      <c r="L484" s="140"/>
      <c r="M484" s="101"/>
      <c r="N484" s="127"/>
      <c r="O484" s="95"/>
      <c r="P484" s="98"/>
      <c r="Q484" s="95"/>
      <c r="R484" s="100"/>
      <c r="S484" s="95"/>
      <c r="T484" s="95"/>
      <c r="U484" s="96"/>
      <c r="V484" s="96"/>
      <c r="W484" s="96"/>
      <c r="X484" s="96"/>
      <c r="Y484" s="96"/>
      <c r="Z484" s="97"/>
    </row>
    <row r="485" spans="6:26" x14ac:dyDescent="0.25">
      <c r="F485" s="438"/>
      <c r="G485" s="104"/>
      <c r="H485" s="104"/>
      <c r="I485" s="104"/>
      <c r="J485" s="104"/>
      <c r="K485" s="104"/>
      <c r="L485" s="140"/>
      <c r="M485" s="101"/>
      <c r="N485" s="127"/>
      <c r="O485" s="95"/>
      <c r="P485" s="98"/>
      <c r="Q485" s="95"/>
      <c r="R485" s="100"/>
      <c r="S485" s="95"/>
      <c r="T485" s="95"/>
      <c r="U485" s="96"/>
      <c r="V485" s="96"/>
      <c r="W485" s="96"/>
      <c r="X485" s="96"/>
      <c r="Y485" s="96"/>
      <c r="Z485" s="97"/>
    </row>
    <row r="486" spans="6:26" x14ac:dyDescent="0.25">
      <c r="F486" s="438"/>
      <c r="G486" s="104"/>
      <c r="H486" s="104"/>
      <c r="I486" s="104"/>
      <c r="J486" s="104"/>
      <c r="K486" s="104"/>
      <c r="L486" s="140"/>
      <c r="M486" s="101"/>
      <c r="N486" s="127"/>
      <c r="O486" s="95"/>
      <c r="P486" s="98"/>
      <c r="Q486" s="95"/>
      <c r="R486" s="100"/>
      <c r="S486" s="95"/>
      <c r="T486" s="95"/>
      <c r="U486" s="96"/>
      <c r="V486" s="96"/>
      <c r="W486" s="96"/>
      <c r="X486" s="96"/>
      <c r="Y486" s="96"/>
      <c r="Z486" s="97"/>
    </row>
    <row r="487" spans="6:26" x14ac:dyDescent="0.25">
      <c r="F487" s="438"/>
      <c r="G487" s="104"/>
      <c r="H487" s="104"/>
      <c r="I487" s="104"/>
      <c r="J487" s="104"/>
      <c r="K487" s="104"/>
      <c r="L487" s="140"/>
      <c r="M487" s="101"/>
      <c r="N487" s="127"/>
      <c r="O487" s="95"/>
      <c r="P487" s="98"/>
      <c r="Q487" s="95"/>
      <c r="R487" s="100"/>
      <c r="S487" s="95"/>
      <c r="T487" s="95"/>
      <c r="U487" s="96"/>
      <c r="V487" s="96"/>
      <c r="W487" s="96"/>
      <c r="X487" s="96"/>
      <c r="Y487" s="96"/>
      <c r="Z487" s="97"/>
    </row>
    <row r="488" spans="6:26" x14ac:dyDescent="0.25">
      <c r="F488" s="438"/>
      <c r="G488" s="104"/>
      <c r="H488" s="104"/>
      <c r="I488" s="104"/>
      <c r="J488" s="104"/>
      <c r="K488" s="104"/>
      <c r="L488" s="140"/>
      <c r="M488" s="101"/>
      <c r="N488" s="127"/>
      <c r="O488" s="95"/>
      <c r="P488" s="98"/>
      <c r="Q488" s="95"/>
      <c r="R488" s="100"/>
      <c r="S488" s="95"/>
      <c r="T488" s="95"/>
      <c r="U488" s="96"/>
      <c r="V488" s="96"/>
      <c r="W488" s="96"/>
      <c r="X488" s="96"/>
      <c r="Y488" s="96"/>
      <c r="Z488" s="97"/>
    </row>
    <row r="489" spans="6:26" x14ac:dyDescent="0.25">
      <c r="F489" s="438"/>
      <c r="G489" s="104"/>
      <c r="H489" s="104"/>
      <c r="I489" s="104"/>
      <c r="J489" s="104"/>
      <c r="K489" s="104"/>
      <c r="L489" s="140"/>
      <c r="M489" s="101"/>
      <c r="N489" s="127"/>
      <c r="O489" s="95"/>
      <c r="P489" s="98"/>
      <c r="Q489" s="95"/>
      <c r="R489" s="100"/>
      <c r="S489" s="95"/>
      <c r="T489" s="95"/>
      <c r="U489" s="96"/>
      <c r="V489" s="96"/>
      <c r="W489" s="96"/>
      <c r="X489" s="96"/>
      <c r="Y489" s="96"/>
      <c r="Z489" s="97"/>
    </row>
    <row r="490" spans="6:26" x14ac:dyDescent="0.25">
      <c r="F490" s="438"/>
      <c r="G490" s="104"/>
      <c r="H490" s="104"/>
      <c r="I490" s="104"/>
      <c r="J490" s="104"/>
      <c r="K490" s="104"/>
      <c r="L490" s="140"/>
      <c r="M490" s="101"/>
      <c r="N490" s="127"/>
      <c r="O490" s="95"/>
      <c r="P490" s="98"/>
      <c r="Q490" s="95"/>
      <c r="R490" s="100"/>
      <c r="S490" s="95"/>
      <c r="T490" s="95"/>
      <c r="U490" s="96"/>
      <c r="V490" s="96"/>
      <c r="W490" s="96"/>
      <c r="X490" s="96"/>
      <c r="Y490" s="96"/>
      <c r="Z490" s="97"/>
    </row>
    <row r="491" spans="6:26" x14ac:dyDescent="0.25">
      <c r="F491" s="438"/>
      <c r="G491" s="104"/>
      <c r="H491" s="104"/>
      <c r="I491" s="104"/>
      <c r="J491" s="104"/>
      <c r="K491" s="104"/>
      <c r="L491" s="140"/>
      <c r="M491" s="101"/>
      <c r="N491" s="127"/>
      <c r="O491" s="95"/>
      <c r="P491" s="98"/>
      <c r="Q491" s="95"/>
      <c r="R491" s="100"/>
      <c r="S491" s="95"/>
      <c r="T491" s="95"/>
      <c r="U491" s="96"/>
      <c r="V491" s="96"/>
      <c r="W491" s="96"/>
      <c r="X491" s="96"/>
      <c r="Y491" s="96"/>
      <c r="Z491" s="97"/>
    </row>
    <row r="492" spans="6:26" x14ac:dyDescent="0.25">
      <c r="F492" s="438"/>
      <c r="G492" s="104"/>
      <c r="H492" s="104"/>
      <c r="I492" s="104"/>
      <c r="J492" s="104"/>
      <c r="K492" s="104"/>
      <c r="L492" s="140"/>
      <c r="M492" s="101"/>
      <c r="N492" s="127"/>
      <c r="O492" s="95"/>
      <c r="P492" s="98"/>
      <c r="Q492" s="95"/>
      <c r="R492" s="100"/>
      <c r="S492" s="95"/>
      <c r="T492" s="95"/>
      <c r="U492" s="96"/>
      <c r="V492" s="96"/>
      <c r="W492" s="96"/>
      <c r="X492" s="96"/>
      <c r="Y492" s="96"/>
      <c r="Z492" s="97"/>
    </row>
    <row r="493" spans="6:26" x14ac:dyDescent="0.25">
      <c r="F493" s="438"/>
      <c r="G493" s="104"/>
      <c r="H493" s="104"/>
      <c r="I493" s="104"/>
      <c r="J493" s="104"/>
      <c r="K493" s="104"/>
      <c r="L493" s="140"/>
      <c r="M493" s="101"/>
      <c r="N493" s="127"/>
      <c r="O493" s="95"/>
      <c r="P493" s="98"/>
      <c r="Q493" s="95"/>
      <c r="R493" s="100"/>
      <c r="S493" s="95"/>
      <c r="T493" s="95"/>
      <c r="U493" s="96"/>
      <c r="V493" s="96"/>
      <c r="W493" s="96"/>
      <c r="X493" s="96"/>
      <c r="Y493" s="96"/>
      <c r="Z493" s="97"/>
    </row>
    <row r="494" spans="6:26" x14ac:dyDescent="0.25">
      <c r="F494" s="438"/>
      <c r="G494" s="104"/>
      <c r="H494" s="104"/>
      <c r="I494" s="104"/>
      <c r="J494" s="104"/>
      <c r="K494" s="104"/>
      <c r="L494" s="140"/>
      <c r="M494" s="101"/>
      <c r="N494" s="127"/>
      <c r="O494" s="95"/>
      <c r="P494" s="98"/>
      <c r="Q494" s="95"/>
      <c r="R494" s="100"/>
      <c r="S494" s="95"/>
      <c r="T494" s="95"/>
      <c r="U494" s="96"/>
      <c r="V494" s="96"/>
      <c r="W494" s="96"/>
      <c r="X494" s="96"/>
      <c r="Y494" s="96"/>
      <c r="Z494" s="97"/>
    </row>
    <row r="495" spans="6:26" x14ac:dyDescent="0.25">
      <c r="F495" s="438"/>
      <c r="G495" s="104"/>
      <c r="H495" s="104"/>
      <c r="I495" s="104"/>
      <c r="J495" s="104"/>
      <c r="K495" s="104"/>
      <c r="L495" s="140"/>
      <c r="M495" s="101"/>
      <c r="N495" s="127"/>
      <c r="O495" s="95"/>
      <c r="P495" s="98"/>
      <c r="Q495" s="95"/>
      <c r="R495" s="100"/>
      <c r="S495" s="95"/>
      <c r="T495" s="95"/>
      <c r="U495" s="96"/>
      <c r="V495" s="96"/>
      <c r="W495" s="96"/>
      <c r="X495" s="96"/>
      <c r="Y495" s="96"/>
      <c r="Z495" s="97"/>
    </row>
    <row r="496" spans="6:26" x14ac:dyDescent="0.25">
      <c r="F496" s="438"/>
      <c r="G496" s="104"/>
      <c r="H496" s="104"/>
      <c r="I496" s="104"/>
      <c r="J496" s="104"/>
      <c r="K496" s="104"/>
      <c r="L496" s="140"/>
      <c r="M496" s="101"/>
      <c r="N496" s="127"/>
      <c r="O496" s="95"/>
      <c r="P496" s="98"/>
      <c r="Q496" s="95"/>
      <c r="R496" s="100"/>
      <c r="S496" s="95"/>
      <c r="T496" s="95"/>
      <c r="U496" s="96"/>
      <c r="V496" s="96"/>
      <c r="W496" s="96"/>
      <c r="X496" s="96"/>
      <c r="Y496" s="96"/>
      <c r="Z496" s="97"/>
    </row>
    <row r="497" spans="6:26" x14ac:dyDescent="0.25">
      <c r="F497" s="438"/>
      <c r="G497" s="104"/>
      <c r="H497" s="104"/>
      <c r="I497" s="104"/>
      <c r="J497" s="104"/>
      <c r="K497" s="104"/>
      <c r="L497" s="140"/>
      <c r="M497" s="101"/>
      <c r="N497" s="127"/>
      <c r="O497" s="95"/>
      <c r="P497" s="98"/>
      <c r="Q497" s="95"/>
      <c r="R497" s="100"/>
      <c r="S497" s="95"/>
      <c r="T497" s="95"/>
      <c r="U497" s="96"/>
      <c r="V497" s="96"/>
      <c r="W497" s="96"/>
      <c r="X497" s="96"/>
      <c r="Y497" s="96"/>
      <c r="Z497" s="97"/>
    </row>
    <row r="498" spans="6:26" x14ac:dyDescent="0.25">
      <c r="F498" s="438"/>
      <c r="G498" s="104"/>
      <c r="H498" s="104"/>
      <c r="I498" s="104"/>
      <c r="J498" s="104"/>
      <c r="K498" s="104"/>
      <c r="L498" s="140"/>
      <c r="M498" s="101"/>
      <c r="N498" s="127"/>
      <c r="O498" s="95"/>
      <c r="P498" s="98"/>
      <c r="Q498" s="95"/>
      <c r="R498" s="100"/>
      <c r="S498" s="95"/>
      <c r="T498" s="95"/>
      <c r="U498" s="96"/>
      <c r="V498" s="96"/>
      <c r="W498" s="96"/>
      <c r="X498" s="96"/>
      <c r="Y498" s="96"/>
      <c r="Z498" s="97"/>
    </row>
    <row r="499" spans="6:26" x14ac:dyDescent="0.25">
      <c r="F499" s="438"/>
      <c r="G499" s="104"/>
      <c r="H499" s="104"/>
      <c r="I499" s="104"/>
      <c r="J499" s="104"/>
      <c r="K499" s="104"/>
      <c r="L499" s="140"/>
      <c r="M499" s="101"/>
      <c r="N499" s="127"/>
      <c r="O499" s="95"/>
      <c r="P499" s="98"/>
      <c r="Q499" s="95"/>
      <c r="R499" s="100"/>
      <c r="S499" s="95"/>
      <c r="T499" s="95"/>
      <c r="U499" s="96"/>
      <c r="V499" s="96"/>
      <c r="W499" s="96"/>
      <c r="X499" s="96"/>
      <c r="Y499" s="96"/>
      <c r="Z499" s="97"/>
    </row>
    <row r="500" spans="6:26" x14ac:dyDescent="0.25">
      <c r="F500" s="438"/>
      <c r="G500" s="104"/>
      <c r="H500" s="104"/>
      <c r="I500" s="104"/>
      <c r="J500" s="104"/>
      <c r="K500" s="104"/>
      <c r="L500" s="140"/>
      <c r="M500" s="101"/>
      <c r="N500" s="127"/>
      <c r="O500" s="95"/>
      <c r="P500" s="98"/>
      <c r="Q500" s="95"/>
      <c r="R500" s="100"/>
      <c r="S500" s="95"/>
      <c r="T500" s="95"/>
      <c r="U500" s="96"/>
      <c r="V500" s="96"/>
      <c r="W500" s="96"/>
      <c r="X500" s="96"/>
      <c r="Y500" s="96"/>
      <c r="Z500" s="97"/>
    </row>
    <row r="501" spans="6:26" x14ac:dyDescent="0.25">
      <c r="F501" s="438"/>
      <c r="G501" s="104"/>
      <c r="H501" s="104"/>
      <c r="I501" s="104"/>
      <c r="J501" s="104"/>
      <c r="K501" s="104"/>
      <c r="L501" s="140"/>
      <c r="M501" s="101"/>
      <c r="N501" s="127"/>
      <c r="O501" s="95"/>
      <c r="P501" s="98"/>
      <c r="Q501" s="95"/>
      <c r="R501" s="100"/>
      <c r="S501" s="95"/>
      <c r="T501" s="95"/>
      <c r="U501" s="96"/>
      <c r="V501" s="96"/>
      <c r="W501" s="96"/>
      <c r="X501" s="96"/>
      <c r="Y501" s="96"/>
      <c r="Z501" s="97"/>
    </row>
    <row r="502" spans="6:26" x14ac:dyDescent="0.25">
      <c r="F502" s="438"/>
      <c r="G502" s="104"/>
      <c r="H502" s="104"/>
      <c r="I502" s="104"/>
      <c r="J502" s="104"/>
      <c r="K502" s="104"/>
      <c r="L502" s="140"/>
      <c r="M502" s="101"/>
      <c r="N502" s="127"/>
      <c r="O502" s="95"/>
      <c r="P502" s="98"/>
      <c r="Q502" s="95"/>
      <c r="R502" s="100"/>
      <c r="S502" s="95"/>
      <c r="T502" s="95"/>
      <c r="U502" s="96"/>
      <c r="V502" s="96"/>
      <c r="W502" s="96"/>
      <c r="X502" s="96"/>
      <c r="Y502" s="96"/>
      <c r="Z502" s="97"/>
    </row>
    <row r="503" spans="6:26" x14ac:dyDescent="0.25">
      <c r="F503" s="438"/>
      <c r="G503" s="104"/>
      <c r="H503" s="104"/>
      <c r="I503" s="104"/>
      <c r="J503" s="104"/>
      <c r="K503" s="104"/>
      <c r="L503" s="140"/>
      <c r="M503" s="101"/>
      <c r="N503" s="127"/>
      <c r="O503" s="95"/>
      <c r="P503" s="98"/>
      <c r="Q503" s="95"/>
      <c r="R503" s="100"/>
      <c r="S503" s="95"/>
      <c r="T503" s="95"/>
      <c r="U503" s="96"/>
      <c r="V503" s="96"/>
      <c r="W503" s="96"/>
      <c r="X503" s="96"/>
      <c r="Y503" s="96"/>
      <c r="Z503" s="97"/>
    </row>
    <row r="504" spans="6:26" x14ac:dyDescent="0.25">
      <c r="F504" s="438"/>
      <c r="G504" s="104"/>
      <c r="H504" s="104"/>
      <c r="I504" s="104"/>
      <c r="J504" s="104"/>
      <c r="K504" s="104"/>
      <c r="L504" s="140"/>
      <c r="M504" s="101"/>
      <c r="N504" s="127"/>
      <c r="O504" s="95"/>
      <c r="P504" s="98"/>
      <c r="Q504" s="95"/>
      <c r="R504" s="100"/>
      <c r="S504" s="95"/>
      <c r="T504" s="95"/>
      <c r="U504" s="96"/>
      <c r="V504" s="96"/>
      <c r="W504" s="96"/>
      <c r="X504" s="96"/>
      <c r="Y504" s="96"/>
      <c r="Z504" s="97"/>
    </row>
    <row r="505" spans="6:26" x14ac:dyDescent="0.25">
      <c r="F505" s="438"/>
      <c r="G505" s="104"/>
      <c r="H505" s="104"/>
      <c r="I505" s="104"/>
      <c r="J505" s="104"/>
      <c r="K505" s="104"/>
      <c r="L505" s="140"/>
      <c r="M505" s="101"/>
      <c r="N505" s="127"/>
      <c r="O505" s="95"/>
      <c r="P505" s="98"/>
      <c r="Q505" s="95"/>
      <c r="R505" s="100"/>
      <c r="S505" s="95"/>
      <c r="T505" s="95"/>
      <c r="U505" s="96"/>
      <c r="V505" s="96"/>
      <c r="W505" s="96"/>
      <c r="X505" s="96"/>
      <c r="Y505" s="96"/>
      <c r="Z505" s="97"/>
    </row>
    <row r="506" spans="6:26" x14ac:dyDescent="0.25">
      <c r="F506" s="438"/>
      <c r="G506" s="104"/>
      <c r="H506" s="104"/>
      <c r="I506" s="104"/>
      <c r="J506" s="104"/>
      <c r="K506" s="104"/>
      <c r="L506" s="140"/>
      <c r="M506" s="101"/>
      <c r="N506" s="127"/>
      <c r="O506" s="95"/>
      <c r="P506" s="98"/>
      <c r="Q506" s="95"/>
      <c r="R506" s="100"/>
      <c r="S506" s="95"/>
      <c r="T506" s="95"/>
      <c r="U506" s="96"/>
      <c r="V506" s="96"/>
      <c r="W506" s="96"/>
      <c r="X506" s="96"/>
      <c r="Y506" s="96"/>
      <c r="Z506" s="97"/>
    </row>
    <row r="507" spans="6:26" x14ac:dyDescent="0.25">
      <c r="F507" s="438"/>
      <c r="G507" s="104"/>
      <c r="H507" s="104"/>
      <c r="I507" s="104"/>
      <c r="J507" s="104"/>
      <c r="K507" s="104"/>
      <c r="L507" s="140"/>
      <c r="M507" s="101"/>
      <c r="N507" s="127"/>
      <c r="O507" s="95"/>
      <c r="P507" s="98"/>
      <c r="Q507" s="95"/>
      <c r="R507" s="100"/>
      <c r="S507" s="95"/>
      <c r="T507" s="95"/>
      <c r="U507" s="96"/>
      <c r="V507" s="96"/>
      <c r="W507" s="96"/>
      <c r="X507" s="96"/>
      <c r="Y507" s="96"/>
      <c r="Z507" s="97"/>
    </row>
    <row r="508" spans="6:26" x14ac:dyDescent="0.25">
      <c r="F508" s="438"/>
      <c r="G508" s="104"/>
      <c r="H508" s="104"/>
      <c r="I508" s="104"/>
      <c r="J508" s="104"/>
      <c r="K508" s="104"/>
      <c r="L508" s="140"/>
      <c r="M508" s="101"/>
      <c r="N508" s="127"/>
      <c r="O508" s="95"/>
      <c r="P508" s="98"/>
      <c r="Q508" s="95"/>
      <c r="R508" s="100"/>
      <c r="S508" s="95"/>
      <c r="T508" s="95"/>
      <c r="U508" s="96"/>
      <c r="V508" s="96"/>
      <c r="W508" s="96"/>
      <c r="X508" s="96"/>
      <c r="Y508" s="96"/>
      <c r="Z508" s="97"/>
    </row>
    <row r="509" spans="6:26" x14ac:dyDescent="0.25">
      <c r="F509" s="438"/>
      <c r="G509" s="104"/>
      <c r="H509" s="104"/>
      <c r="I509" s="104"/>
      <c r="J509" s="104"/>
      <c r="K509" s="104"/>
      <c r="L509" s="140"/>
      <c r="M509" s="101"/>
      <c r="N509" s="127"/>
      <c r="O509" s="95"/>
      <c r="P509" s="98"/>
      <c r="Q509" s="95"/>
      <c r="R509" s="100"/>
      <c r="S509" s="95"/>
      <c r="T509" s="95"/>
      <c r="U509" s="96"/>
      <c r="V509" s="96"/>
      <c r="W509" s="96"/>
      <c r="X509" s="96"/>
      <c r="Y509" s="96"/>
      <c r="Z509" s="97"/>
    </row>
    <row r="510" spans="6:26" x14ac:dyDescent="0.25">
      <c r="F510" s="438"/>
      <c r="G510" s="104"/>
      <c r="H510" s="104"/>
      <c r="I510" s="104"/>
      <c r="J510" s="104"/>
      <c r="K510" s="104"/>
      <c r="L510" s="140"/>
      <c r="M510" s="101"/>
      <c r="N510" s="127"/>
      <c r="O510" s="95"/>
      <c r="P510" s="98"/>
      <c r="Q510" s="95"/>
      <c r="R510" s="100"/>
      <c r="S510" s="95"/>
      <c r="T510" s="95"/>
      <c r="U510" s="96"/>
      <c r="V510" s="96"/>
      <c r="W510" s="96"/>
      <c r="X510" s="96"/>
      <c r="Y510" s="96"/>
      <c r="Z510" s="97"/>
    </row>
    <row r="511" spans="6:26" x14ac:dyDescent="0.25">
      <c r="F511" s="438"/>
      <c r="G511" s="104"/>
      <c r="H511" s="104"/>
      <c r="I511" s="104"/>
      <c r="J511" s="104"/>
      <c r="K511" s="104"/>
      <c r="L511" s="140"/>
      <c r="M511" s="101"/>
      <c r="N511" s="127"/>
      <c r="O511" s="95"/>
      <c r="P511" s="98"/>
      <c r="Q511" s="95"/>
      <c r="R511" s="100"/>
      <c r="S511" s="95"/>
      <c r="T511" s="95"/>
      <c r="U511" s="96"/>
      <c r="V511" s="96"/>
      <c r="W511" s="96"/>
      <c r="X511" s="96"/>
      <c r="Y511" s="96"/>
      <c r="Z511" s="97"/>
    </row>
    <row r="512" spans="6:26" x14ac:dyDescent="0.25">
      <c r="F512" s="438"/>
      <c r="G512" s="104"/>
      <c r="H512" s="104"/>
      <c r="I512" s="104"/>
      <c r="J512" s="104"/>
      <c r="K512" s="104"/>
      <c r="L512" s="140"/>
      <c r="M512" s="101"/>
      <c r="N512" s="127"/>
      <c r="O512" s="95"/>
      <c r="P512" s="98"/>
      <c r="Q512" s="95"/>
      <c r="R512" s="100"/>
      <c r="S512" s="95"/>
      <c r="T512" s="95"/>
      <c r="U512" s="96"/>
      <c r="V512" s="96"/>
      <c r="W512" s="96"/>
      <c r="X512" s="96"/>
      <c r="Y512" s="96"/>
      <c r="Z512" s="97"/>
    </row>
    <row r="513" spans="6:26" x14ac:dyDescent="0.25">
      <c r="F513" s="438"/>
      <c r="G513" s="104"/>
      <c r="H513" s="104"/>
      <c r="I513" s="104"/>
      <c r="J513" s="104"/>
      <c r="K513" s="104"/>
      <c r="L513" s="140"/>
      <c r="M513" s="101"/>
      <c r="N513" s="127"/>
      <c r="O513" s="95"/>
      <c r="P513" s="98"/>
      <c r="Q513" s="95"/>
      <c r="R513" s="100"/>
      <c r="S513" s="95"/>
      <c r="T513" s="95"/>
      <c r="U513" s="96"/>
      <c r="V513" s="96"/>
      <c r="W513" s="96"/>
      <c r="X513" s="96"/>
      <c r="Y513" s="96"/>
      <c r="Z513" s="97"/>
    </row>
    <row r="514" spans="6:26" x14ac:dyDescent="0.25">
      <c r="F514" s="438"/>
      <c r="G514" s="104"/>
      <c r="H514" s="104"/>
      <c r="I514" s="104"/>
      <c r="J514" s="104"/>
      <c r="K514" s="104"/>
      <c r="L514" s="140"/>
      <c r="M514" s="101"/>
      <c r="N514" s="127"/>
      <c r="O514" s="95"/>
      <c r="P514" s="98"/>
      <c r="Q514" s="95"/>
      <c r="R514" s="100"/>
      <c r="S514" s="95"/>
      <c r="T514" s="95"/>
      <c r="U514" s="96"/>
      <c r="V514" s="96"/>
      <c r="W514" s="96"/>
      <c r="X514" s="96"/>
      <c r="Y514" s="96"/>
      <c r="Z514" s="97"/>
    </row>
    <row r="515" spans="6:26" x14ac:dyDescent="0.25">
      <c r="F515" s="438"/>
      <c r="G515" s="104"/>
      <c r="H515" s="104"/>
      <c r="I515" s="104"/>
      <c r="J515" s="104"/>
      <c r="K515" s="104"/>
      <c r="L515" s="140"/>
      <c r="M515" s="101"/>
      <c r="N515" s="127"/>
      <c r="O515" s="95"/>
      <c r="P515" s="98"/>
      <c r="Q515" s="95"/>
      <c r="R515" s="100"/>
      <c r="S515" s="95"/>
      <c r="T515" s="95"/>
      <c r="U515" s="96"/>
      <c r="V515" s="96"/>
      <c r="W515" s="96"/>
      <c r="X515" s="96"/>
      <c r="Y515" s="96"/>
      <c r="Z515" s="97"/>
    </row>
    <row r="516" spans="6:26" x14ac:dyDescent="0.25">
      <c r="F516" s="438"/>
      <c r="G516" s="104"/>
      <c r="H516" s="104"/>
      <c r="I516" s="104"/>
      <c r="J516" s="104"/>
      <c r="K516" s="104"/>
      <c r="L516" s="140"/>
      <c r="M516" s="101"/>
      <c r="N516" s="127"/>
      <c r="O516" s="95"/>
      <c r="P516" s="98"/>
      <c r="Q516" s="95"/>
      <c r="R516" s="100"/>
      <c r="S516" s="95"/>
      <c r="T516" s="95"/>
      <c r="U516" s="96"/>
      <c r="V516" s="96"/>
      <c r="W516" s="96"/>
      <c r="X516" s="96"/>
      <c r="Y516" s="96"/>
      <c r="Z516" s="97"/>
    </row>
    <row r="517" spans="6:26" x14ac:dyDescent="0.25">
      <c r="F517" s="438"/>
      <c r="G517" s="104"/>
      <c r="H517" s="104"/>
      <c r="I517" s="104"/>
      <c r="J517" s="104"/>
      <c r="K517" s="104"/>
      <c r="L517" s="140"/>
      <c r="M517" s="101"/>
      <c r="N517" s="127"/>
      <c r="O517" s="95"/>
      <c r="P517" s="98"/>
      <c r="Q517" s="95"/>
      <c r="R517" s="100"/>
      <c r="S517" s="95"/>
      <c r="T517" s="95"/>
      <c r="U517" s="96"/>
      <c r="V517" s="96"/>
      <c r="W517" s="96"/>
      <c r="X517" s="96"/>
      <c r="Y517" s="96"/>
      <c r="Z517" s="97"/>
    </row>
    <row r="518" spans="6:26" x14ac:dyDescent="0.25">
      <c r="F518" s="438"/>
      <c r="G518" s="104"/>
      <c r="H518" s="104"/>
      <c r="I518" s="104"/>
      <c r="J518" s="104"/>
      <c r="K518" s="104"/>
      <c r="L518" s="140"/>
      <c r="M518" s="101"/>
      <c r="N518" s="127"/>
      <c r="O518" s="95"/>
      <c r="P518" s="98"/>
      <c r="Q518" s="95"/>
      <c r="R518" s="100"/>
      <c r="S518" s="95"/>
      <c r="T518" s="95"/>
      <c r="U518" s="96"/>
      <c r="V518" s="96"/>
      <c r="W518" s="96"/>
      <c r="X518" s="96"/>
      <c r="Y518" s="96"/>
      <c r="Z518" s="97"/>
    </row>
    <row r="519" spans="6:26" x14ac:dyDescent="0.25">
      <c r="F519" s="438"/>
      <c r="G519" s="104"/>
      <c r="H519" s="104"/>
      <c r="I519" s="104"/>
      <c r="J519" s="104"/>
      <c r="K519" s="104"/>
      <c r="L519" s="140"/>
      <c r="M519" s="101"/>
      <c r="N519" s="127"/>
      <c r="O519" s="95"/>
      <c r="P519" s="98"/>
      <c r="Q519" s="95"/>
      <c r="R519" s="100"/>
      <c r="S519" s="95"/>
      <c r="T519" s="95"/>
      <c r="U519" s="96"/>
      <c r="V519" s="96"/>
      <c r="W519" s="96"/>
      <c r="X519" s="96"/>
      <c r="Y519" s="96"/>
      <c r="Z519" s="97"/>
    </row>
    <row r="520" spans="6:26" x14ac:dyDescent="0.25">
      <c r="F520" s="438"/>
      <c r="G520" s="104"/>
      <c r="H520" s="104"/>
      <c r="I520" s="104"/>
      <c r="J520" s="104"/>
      <c r="K520" s="104"/>
      <c r="L520" s="140"/>
      <c r="M520" s="101"/>
      <c r="N520" s="127"/>
      <c r="O520" s="95"/>
      <c r="P520" s="98"/>
      <c r="Q520" s="95"/>
      <c r="R520" s="100"/>
      <c r="S520" s="95"/>
      <c r="T520" s="95"/>
      <c r="U520" s="96"/>
      <c r="V520" s="96"/>
      <c r="W520" s="96"/>
      <c r="X520" s="96"/>
      <c r="Y520" s="96"/>
      <c r="Z520" s="97"/>
    </row>
    <row r="521" spans="6:26" x14ac:dyDescent="0.25">
      <c r="F521" s="438"/>
      <c r="G521" s="104"/>
      <c r="H521" s="104"/>
      <c r="I521" s="104"/>
      <c r="J521" s="104"/>
      <c r="K521" s="104"/>
      <c r="L521" s="140"/>
      <c r="M521" s="101"/>
      <c r="N521" s="127"/>
      <c r="O521" s="95"/>
      <c r="P521" s="98"/>
      <c r="Q521" s="95"/>
      <c r="R521" s="100"/>
      <c r="S521" s="95"/>
      <c r="T521" s="95"/>
      <c r="U521" s="96"/>
      <c r="V521" s="96"/>
      <c r="W521" s="96"/>
      <c r="X521" s="96"/>
      <c r="Y521" s="96"/>
      <c r="Z521" s="97"/>
    </row>
    <row r="522" spans="6:26" x14ac:dyDescent="0.25">
      <c r="F522" s="438"/>
      <c r="G522" s="104"/>
      <c r="H522" s="104"/>
      <c r="I522" s="104"/>
      <c r="J522" s="104"/>
      <c r="K522" s="104"/>
      <c r="L522" s="140"/>
      <c r="M522" s="101"/>
      <c r="N522" s="127"/>
      <c r="O522" s="95"/>
      <c r="P522" s="98"/>
      <c r="Q522" s="95"/>
      <c r="R522" s="100"/>
      <c r="S522" s="95"/>
      <c r="T522" s="95"/>
      <c r="U522" s="96"/>
      <c r="V522" s="96"/>
      <c r="W522" s="96"/>
      <c r="X522" s="96"/>
      <c r="Y522" s="96"/>
      <c r="Z522" s="97"/>
    </row>
    <row r="523" spans="6:26" x14ac:dyDescent="0.25">
      <c r="F523" s="438"/>
      <c r="G523" s="104"/>
      <c r="H523" s="104"/>
      <c r="I523" s="104"/>
      <c r="J523" s="104"/>
      <c r="K523" s="104"/>
      <c r="L523" s="140"/>
      <c r="M523" s="101"/>
      <c r="N523" s="127"/>
      <c r="O523" s="95"/>
      <c r="P523" s="98"/>
      <c r="Q523" s="95"/>
      <c r="R523" s="100"/>
      <c r="S523" s="95"/>
      <c r="T523" s="95"/>
      <c r="U523" s="96"/>
      <c r="V523" s="96"/>
      <c r="W523" s="96"/>
      <c r="X523" s="96"/>
      <c r="Y523" s="96"/>
      <c r="Z523" s="97"/>
    </row>
    <row r="524" spans="6:26" x14ac:dyDescent="0.25">
      <c r="F524" s="438"/>
      <c r="G524" s="104"/>
      <c r="H524" s="104"/>
      <c r="I524" s="104"/>
      <c r="J524" s="104"/>
      <c r="K524" s="104"/>
      <c r="L524" s="140"/>
      <c r="M524" s="101"/>
      <c r="N524" s="127"/>
      <c r="O524" s="95"/>
      <c r="P524" s="98"/>
      <c r="Q524" s="95"/>
      <c r="R524" s="100"/>
      <c r="S524" s="95"/>
      <c r="T524" s="95"/>
      <c r="U524" s="96"/>
      <c r="V524" s="96"/>
      <c r="W524" s="96"/>
      <c r="X524" s="96"/>
      <c r="Y524" s="96"/>
      <c r="Z524" s="97"/>
    </row>
    <row r="525" spans="6:26" x14ac:dyDescent="0.25">
      <c r="F525" s="438"/>
      <c r="G525" s="104"/>
      <c r="H525" s="104"/>
      <c r="I525" s="104"/>
      <c r="J525" s="104"/>
      <c r="K525" s="104"/>
      <c r="L525" s="140"/>
      <c r="M525" s="101"/>
      <c r="N525" s="127"/>
      <c r="O525" s="95"/>
      <c r="P525" s="98"/>
      <c r="Q525" s="95"/>
      <c r="R525" s="100"/>
      <c r="S525" s="95"/>
      <c r="T525" s="95"/>
      <c r="U525" s="96"/>
      <c r="V525" s="96"/>
      <c r="W525" s="96"/>
      <c r="X525" s="96"/>
      <c r="Y525" s="96"/>
      <c r="Z525" s="97"/>
    </row>
    <row r="526" spans="6:26" x14ac:dyDescent="0.25">
      <c r="F526" s="438"/>
      <c r="G526" s="104"/>
      <c r="H526" s="104"/>
      <c r="I526" s="104"/>
      <c r="J526" s="104"/>
      <c r="K526" s="104"/>
      <c r="L526" s="140"/>
      <c r="M526" s="101"/>
      <c r="N526" s="127"/>
      <c r="O526" s="95"/>
      <c r="P526" s="98"/>
      <c r="Q526" s="95"/>
      <c r="R526" s="100"/>
      <c r="S526" s="95"/>
      <c r="T526" s="95"/>
      <c r="U526" s="96"/>
      <c r="V526" s="96"/>
      <c r="W526" s="96"/>
      <c r="X526" s="96"/>
      <c r="Y526" s="96"/>
      <c r="Z526" s="97"/>
    </row>
    <row r="527" spans="6:26" x14ac:dyDescent="0.25">
      <c r="F527" s="438"/>
      <c r="G527" s="104"/>
      <c r="H527" s="104"/>
      <c r="I527" s="104"/>
      <c r="J527" s="104"/>
      <c r="K527" s="104"/>
      <c r="L527" s="140"/>
      <c r="M527" s="101"/>
      <c r="N527" s="127"/>
      <c r="O527" s="95"/>
      <c r="P527" s="98"/>
      <c r="Q527" s="95"/>
      <c r="R527" s="100"/>
      <c r="S527" s="95"/>
      <c r="T527" s="95"/>
      <c r="U527" s="96"/>
      <c r="V527" s="96"/>
      <c r="W527" s="96"/>
      <c r="X527" s="96"/>
      <c r="Y527" s="96"/>
      <c r="Z527" s="97"/>
    </row>
    <row r="528" spans="6:26" x14ac:dyDescent="0.25">
      <c r="F528" s="438"/>
      <c r="G528" s="104"/>
      <c r="H528" s="104"/>
      <c r="I528" s="104"/>
      <c r="J528" s="104"/>
      <c r="K528" s="104"/>
      <c r="L528" s="140"/>
      <c r="M528" s="101"/>
      <c r="N528" s="127"/>
      <c r="O528" s="95"/>
      <c r="P528" s="98"/>
      <c r="Q528" s="95"/>
      <c r="R528" s="100"/>
      <c r="S528" s="95"/>
      <c r="T528" s="95"/>
      <c r="U528" s="96"/>
      <c r="V528" s="96"/>
      <c r="W528" s="96"/>
      <c r="X528" s="96"/>
      <c r="Y528" s="96"/>
      <c r="Z528" s="97"/>
    </row>
    <row r="529" spans="6:26" x14ac:dyDescent="0.25">
      <c r="F529" s="438"/>
      <c r="G529" s="104"/>
      <c r="H529" s="104"/>
      <c r="I529" s="104"/>
      <c r="J529" s="104"/>
      <c r="K529" s="104"/>
      <c r="L529" s="140"/>
      <c r="M529" s="101"/>
      <c r="N529" s="127"/>
      <c r="O529" s="95"/>
      <c r="P529" s="98"/>
      <c r="Q529" s="95"/>
      <c r="R529" s="100"/>
      <c r="S529" s="95"/>
      <c r="T529" s="95"/>
      <c r="U529" s="96"/>
      <c r="V529" s="96"/>
      <c r="W529" s="96"/>
      <c r="X529" s="96"/>
      <c r="Y529" s="96"/>
      <c r="Z529" s="97"/>
    </row>
    <row r="530" spans="6:26" x14ac:dyDescent="0.25">
      <c r="F530" s="438"/>
      <c r="G530" s="104"/>
      <c r="H530" s="104"/>
      <c r="I530" s="104"/>
      <c r="J530" s="104"/>
      <c r="K530" s="104"/>
      <c r="L530" s="140"/>
      <c r="M530" s="101"/>
      <c r="N530" s="127"/>
      <c r="O530" s="95"/>
      <c r="P530" s="98"/>
      <c r="Q530" s="95"/>
      <c r="R530" s="100"/>
      <c r="S530" s="95"/>
      <c r="T530" s="95"/>
      <c r="U530" s="96"/>
      <c r="V530" s="96"/>
      <c r="W530" s="96"/>
      <c r="X530" s="96"/>
      <c r="Y530" s="96"/>
      <c r="Z530" s="97"/>
    </row>
    <row r="531" spans="6:26" x14ac:dyDescent="0.25">
      <c r="F531" s="438"/>
      <c r="G531" s="104"/>
      <c r="H531" s="104"/>
      <c r="I531" s="104"/>
      <c r="J531" s="104"/>
      <c r="K531" s="104"/>
      <c r="L531" s="140"/>
      <c r="M531" s="101"/>
      <c r="N531" s="127"/>
      <c r="O531" s="95"/>
      <c r="P531" s="98"/>
      <c r="Q531" s="95"/>
      <c r="R531" s="100"/>
      <c r="S531" s="95"/>
      <c r="T531" s="95"/>
      <c r="U531" s="96"/>
      <c r="V531" s="96"/>
      <c r="W531" s="96"/>
      <c r="X531" s="96"/>
      <c r="Y531" s="96"/>
      <c r="Z531" s="97"/>
    </row>
    <row r="532" spans="6:26" x14ac:dyDescent="0.25">
      <c r="F532" s="438"/>
      <c r="G532" s="104"/>
      <c r="H532" s="104"/>
      <c r="I532" s="104"/>
      <c r="J532" s="104"/>
      <c r="K532" s="104"/>
      <c r="L532" s="140"/>
      <c r="M532" s="101"/>
      <c r="N532" s="127"/>
      <c r="O532" s="95"/>
      <c r="P532" s="98"/>
      <c r="Q532" s="95"/>
      <c r="R532" s="100"/>
      <c r="S532" s="95"/>
      <c r="T532" s="95"/>
      <c r="U532" s="96"/>
      <c r="V532" s="96"/>
      <c r="W532" s="96"/>
      <c r="X532" s="96"/>
      <c r="Y532" s="96"/>
      <c r="Z532" s="97"/>
    </row>
    <row r="533" spans="6:26" x14ac:dyDescent="0.25">
      <c r="F533" s="438"/>
      <c r="G533" s="104"/>
      <c r="H533" s="104"/>
      <c r="I533" s="104"/>
      <c r="J533" s="104"/>
      <c r="K533" s="104"/>
      <c r="L533" s="140"/>
      <c r="M533" s="101"/>
      <c r="N533" s="127"/>
      <c r="O533" s="95"/>
      <c r="P533" s="98"/>
      <c r="Q533" s="95"/>
      <c r="R533" s="100"/>
      <c r="S533" s="95"/>
      <c r="T533" s="95"/>
      <c r="U533" s="96"/>
      <c r="V533" s="96"/>
      <c r="W533" s="96"/>
      <c r="X533" s="96"/>
      <c r="Y533" s="96"/>
      <c r="Z533" s="97"/>
    </row>
    <row r="534" spans="6:26" x14ac:dyDescent="0.25">
      <c r="F534" s="438"/>
      <c r="G534" s="104"/>
      <c r="H534" s="104"/>
      <c r="I534" s="104"/>
      <c r="J534" s="104"/>
      <c r="K534" s="104"/>
      <c r="L534" s="140"/>
      <c r="M534" s="101"/>
      <c r="N534" s="127"/>
      <c r="O534" s="95"/>
      <c r="P534" s="98"/>
      <c r="Q534" s="95"/>
      <c r="R534" s="100"/>
      <c r="S534" s="95"/>
      <c r="T534" s="95"/>
      <c r="U534" s="96"/>
      <c r="V534" s="96"/>
      <c r="W534" s="96"/>
      <c r="X534" s="96"/>
      <c r="Y534" s="96"/>
      <c r="Z534" s="97"/>
    </row>
    <row r="535" spans="6:26" x14ac:dyDescent="0.25">
      <c r="F535" s="438"/>
      <c r="G535" s="104"/>
      <c r="H535" s="104"/>
      <c r="I535" s="104"/>
      <c r="J535" s="104"/>
      <c r="K535" s="104"/>
      <c r="L535" s="140"/>
      <c r="M535" s="101"/>
      <c r="N535" s="127"/>
      <c r="O535" s="95"/>
      <c r="P535" s="98"/>
      <c r="Q535" s="95"/>
      <c r="R535" s="100"/>
      <c r="S535" s="95"/>
      <c r="T535" s="95"/>
      <c r="U535" s="96"/>
      <c r="V535" s="96"/>
      <c r="W535" s="96"/>
      <c r="X535" s="96"/>
      <c r="Y535" s="96"/>
      <c r="Z535" s="97"/>
    </row>
    <row r="536" spans="6:26" x14ac:dyDescent="0.25">
      <c r="F536" s="438"/>
      <c r="G536" s="104"/>
      <c r="H536" s="104"/>
      <c r="I536" s="104"/>
      <c r="J536" s="104"/>
      <c r="K536" s="104"/>
      <c r="L536" s="140"/>
      <c r="M536" s="101"/>
      <c r="N536" s="127"/>
      <c r="O536" s="95"/>
      <c r="P536" s="98"/>
      <c r="Q536" s="95"/>
      <c r="R536" s="100"/>
      <c r="S536" s="95"/>
      <c r="T536" s="95"/>
      <c r="U536" s="96"/>
      <c r="V536" s="96"/>
      <c r="W536" s="96"/>
      <c r="X536" s="96"/>
      <c r="Y536" s="96"/>
      <c r="Z536" s="97"/>
    </row>
    <row r="537" spans="6:26" x14ac:dyDescent="0.25">
      <c r="F537" s="438"/>
      <c r="G537" s="104"/>
      <c r="H537" s="104"/>
      <c r="I537" s="104"/>
      <c r="J537" s="104"/>
      <c r="K537" s="104"/>
      <c r="L537" s="140"/>
      <c r="M537" s="101"/>
      <c r="N537" s="127"/>
      <c r="O537" s="95"/>
      <c r="P537" s="98"/>
      <c r="Q537" s="95"/>
      <c r="R537" s="100"/>
      <c r="S537" s="95"/>
      <c r="T537" s="95"/>
      <c r="U537" s="96"/>
      <c r="V537" s="96"/>
      <c r="W537" s="96"/>
      <c r="X537" s="96"/>
      <c r="Y537" s="96"/>
      <c r="Z537" s="97"/>
    </row>
    <row r="538" spans="6:26" x14ac:dyDescent="0.25">
      <c r="F538" s="438"/>
      <c r="G538" s="104"/>
      <c r="H538" s="104"/>
      <c r="I538" s="104"/>
      <c r="J538" s="104"/>
      <c r="K538" s="104"/>
      <c r="L538" s="140"/>
      <c r="M538" s="101"/>
      <c r="N538" s="127"/>
      <c r="O538" s="95"/>
      <c r="P538" s="98"/>
      <c r="Q538" s="95"/>
      <c r="R538" s="100"/>
      <c r="S538" s="95"/>
      <c r="T538" s="95"/>
      <c r="U538" s="96"/>
      <c r="V538" s="96"/>
      <c r="W538" s="96"/>
      <c r="X538" s="96"/>
      <c r="Y538" s="96"/>
      <c r="Z538" s="97"/>
    </row>
    <row r="539" spans="6:26" x14ac:dyDescent="0.25">
      <c r="F539" s="438"/>
      <c r="G539" s="104"/>
      <c r="H539" s="104"/>
      <c r="I539" s="104"/>
      <c r="J539" s="104"/>
      <c r="K539" s="104"/>
      <c r="L539" s="140"/>
      <c r="M539" s="101"/>
      <c r="N539" s="127"/>
      <c r="O539" s="95"/>
      <c r="P539" s="98"/>
      <c r="Q539" s="95"/>
      <c r="R539" s="100"/>
      <c r="S539" s="95"/>
      <c r="T539" s="95"/>
      <c r="U539" s="96"/>
      <c r="V539" s="96"/>
      <c r="W539" s="96"/>
      <c r="X539" s="96"/>
      <c r="Y539" s="96"/>
      <c r="Z539" s="97"/>
    </row>
    <row r="540" spans="6:26" x14ac:dyDescent="0.25">
      <c r="F540" s="438"/>
      <c r="G540" s="104"/>
      <c r="H540" s="104"/>
      <c r="I540" s="104"/>
      <c r="J540" s="104"/>
      <c r="K540" s="104"/>
      <c r="L540" s="140"/>
      <c r="M540" s="101"/>
      <c r="N540" s="127"/>
      <c r="O540" s="95"/>
      <c r="P540" s="98"/>
      <c r="Q540" s="95"/>
      <c r="R540" s="100"/>
      <c r="S540" s="95"/>
      <c r="T540" s="95"/>
      <c r="U540" s="96"/>
      <c r="V540" s="96"/>
      <c r="W540" s="96"/>
      <c r="X540" s="96"/>
      <c r="Y540" s="96"/>
      <c r="Z540" s="97"/>
    </row>
    <row r="541" spans="6:26" x14ac:dyDescent="0.25">
      <c r="F541" s="438"/>
      <c r="G541" s="104"/>
      <c r="H541" s="104"/>
      <c r="I541" s="104"/>
      <c r="J541" s="104"/>
      <c r="K541" s="104"/>
      <c r="L541" s="140"/>
      <c r="M541" s="101"/>
      <c r="N541" s="127"/>
      <c r="O541" s="95"/>
      <c r="P541" s="98"/>
      <c r="Q541" s="95"/>
      <c r="R541" s="100"/>
      <c r="S541" s="95"/>
      <c r="T541" s="95"/>
      <c r="U541" s="96"/>
      <c r="V541" s="96"/>
      <c r="W541" s="96"/>
      <c r="X541" s="96"/>
      <c r="Y541" s="96"/>
      <c r="Z541" s="97"/>
    </row>
    <row r="542" spans="6:26" x14ac:dyDescent="0.25">
      <c r="F542" s="438"/>
      <c r="G542" s="104"/>
      <c r="H542" s="104"/>
      <c r="I542" s="104"/>
      <c r="J542" s="104"/>
      <c r="K542" s="104"/>
      <c r="L542" s="140"/>
      <c r="M542" s="101"/>
      <c r="N542" s="127"/>
      <c r="O542" s="95"/>
      <c r="P542" s="98"/>
      <c r="Q542" s="95"/>
      <c r="R542" s="100"/>
      <c r="S542" s="95"/>
      <c r="T542" s="95"/>
      <c r="U542" s="96"/>
      <c r="V542" s="96"/>
      <c r="W542" s="96"/>
      <c r="X542" s="96"/>
      <c r="Y542" s="96"/>
      <c r="Z542" s="97"/>
    </row>
    <row r="543" spans="6:26" x14ac:dyDescent="0.25">
      <c r="F543" s="438"/>
      <c r="G543" s="104"/>
      <c r="H543" s="104"/>
      <c r="I543" s="104"/>
      <c r="J543" s="104"/>
      <c r="K543" s="104"/>
      <c r="L543" s="140"/>
      <c r="M543" s="101"/>
      <c r="N543" s="127"/>
      <c r="O543" s="95"/>
      <c r="P543" s="98"/>
      <c r="Q543" s="95"/>
      <c r="R543" s="100"/>
      <c r="S543" s="95"/>
      <c r="T543" s="95"/>
      <c r="U543" s="96"/>
      <c r="V543" s="96"/>
      <c r="W543" s="96"/>
      <c r="X543" s="96"/>
      <c r="Y543" s="96"/>
      <c r="Z543" s="97"/>
    </row>
    <row r="544" spans="6:26" x14ac:dyDescent="0.25">
      <c r="F544" s="438"/>
      <c r="G544" s="104"/>
      <c r="H544" s="104"/>
      <c r="I544" s="104"/>
      <c r="J544" s="104"/>
      <c r="K544" s="104"/>
      <c r="L544" s="140"/>
      <c r="M544" s="101"/>
      <c r="N544" s="127"/>
      <c r="O544" s="95"/>
      <c r="P544" s="98"/>
      <c r="Q544" s="95"/>
      <c r="R544" s="100"/>
      <c r="S544" s="95"/>
      <c r="T544" s="95"/>
      <c r="U544" s="96"/>
      <c r="V544" s="96"/>
      <c r="W544" s="96"/>
      <c r="X544" s="96"/>
      <c r="Y544" s="96"/>
      <c r="Z544" s="97"/>
    </row>
    <row r="545" spans="6:26" x14ac:dyDescent="0.25">
      <c r="F545" s="438"/>
      <c r="G545" s="104"/>
      <c r="H545" s="104"/>
      <c r="I545" s="104"/>
      <c r="J545" s="104"/>
      <c r="K545" s="104"/>
      <c r="L545" s="140"/>
      <c r="M545" s="101"/>
      <c r="N545" s="127"/>
      <c r="O545" s="95"/>
      <c r="P545" s="98"/>
      <c r="Q545" s="95"/>
      <c r="R545" s="100"/>
      <c r="S545" s="95"/>
      <c r="T545" s="95"/>
      <c r="U545" s="96"/>
      <c r="V545" s="96"/>
      <c r="W545" s="96"/>
      <c r="X545" s="96"/>
      <c r="Y545" s="96"/>
      <c r="Z545" s="97"/>
    </row>
    <row r="546" spans="6:26" x14ac:dyDescent="0.25">
      <c r="F546" s="438"/>
      <c r="G546" s="104"/>
      <c r="H546" s="104"/>
      <c r="I546" s="104"/>
      <c r="J546" s="104"/>
      <c r="K546" s="104"/>
      <c r="L546" s="140"/>
      <c r="M546" s="101"/>
      <c r="N546" s="127"/>
      <c r="O546" s="95"/>
      <c r="P546" s="98"/>
      <c r="Q546" s="95"/>
      <c r="R546" s="100"/>
      <c r="S546" s="95"/>
      <c r="T546" s="95"/>
      <c r="U546" s="96"/>
      <c r="V546" s="96"/>
      <c r="W546" s="96"/>
      <c r="X546" s="96"/>
      <c r="Y546" s="96"/>
      <c r="Z546" s="97"/>
    </row>
    <row r="547" spans="6:26" x14ac:dyDescent="0.25">
      <c r="F547" s="438"/>
      <c r="G547" s="104"/>
      <c r="H547" s="104"/>
      <c r="I547" s="104"/>
      <c r="J547" s="104"/>
      <c r="K547" s="104"/>
      <c r="L547" s="140"/>
      <c r="M547" s="101"/>
      <c r="N547" s="127"/>
      <c r="O547" s="95"/>
      <c r="P547" s="98"/>
      <c r="Q547" s="95"/>
      <c r="R547" s="100"/>
      <c r="S547" s="95"/>
      <c r="T547" s="95"/>
      <c r="U547" s="96"/>
      <c r="V547" s="96"/>
      <c r="W547" s="96"/>
      <c r="X547" s="96"/>
      <c r="Y547" s="96"/>
      <c r="Z547" s="97"/>
    </row>
    <row r="548" spans="6:26" x14ac:dyDescent="0.25">
      <c r="F548" s="438"/>
      <c r="G548" s="104"/>
      <c r="H548" s="104"/>
      <c r="I548" s="104"/>
      <c r="J548" s="104"/>
      <c r="K548" s="104"/>
      <c r="L548" s="140"/>
      <c r="M548" s="101"/>
      <c r="N548" s="127"/>
      <c r="O548" s="95"/>
      <c r="P548" s="98"/>
      <c r="Q548" s="95"/>
      <c r="R548" s="100"/>
      <c r="S548" s="95"/>
      <c r="T548" s="95"/>
      <c r="U548" s="96"/>
      <c r="V548" s="96"/>
      <c r="W548" s="96"/>
      <c r="X548" s="96"/>
      <c r="Y548" s="96"/>
      <c r="Z548" s="97"/>
    </row>
    <row r="549" spans="6:26" x14ac:dyDescent="0.25">
      <c r="F549" s="438"/>
      <c r="G549" s="104"/>
      <c r="H549" s="104"/>
      <c r="I549" s="104"/>
      <c r="J549" s="104"/>
      <c r="K549" s="104"/>
      <c r="L549" s="140"/>
      <c r="M549" s="101"/>
      <c r="N549" s="127"/>
      <c r="O549" s="95"/>
      <c r="P549" s="98"/>
      <c r="Q549" s="95"/>
      <c r="R549" s="100"/>
      <c r="S549" s="95"/>
      <c r="T549" s="95"/>
      <c r="U549" s="96"/>
      <c r="V549" s="96"/>
      <c r="W549" s="96"/>
      <c r="X549" s="96"/>
      <c r="Y549" s="96"/>
      <c r="Z549" s="97"/>
    </row>
    <row r="550" spans="6:26" x14ac:dyDescent="0.25">
      <c r="F550" s="438"/>
      <c r="G550" s="104"/>
      <c r="H550" s="104"/>
      <c r="I550" s="104"/>
      <c r="J550" s="104"/>
      <c r="K550" s="104"/>
      <c r="L550" s="140"/>
      <c r="M550" s="101"/>
      <c r="N550" s="127"/>
      <c r="O550" s="95"/>
      <c r="P550" s="98"/>
      <c r="Q550" s="95"/>
      <c r="R550" s="100"/>
      <c r="S550" s="95"/>
      <c r="T550" s="95"/>
      <c r="U550" s="96"/>
      <c r="V550" s="96"/>
      <c r="W550" s="96"/>
      <c r="X550" s="96"/>
      <c r="Y550" s="96"/>
      <c r="Z550" s="97"/>
    </row>
    <row r="551" spans="6:26" x14ac:dyDescent="0.25">
      <c r="F551" s="438"/>
      <c r="G551" s="104"/>
      <c r="H551" s="104"/>
      <c r="I551" s="104"/>
      <c r="J551" s="104"/>
      <c r="K551" s="104"/>
      <c r="L551" s="140"/>
      <c r="M551" s="101"/>
      <c r="N551" s="127"/>
      <c r="O551" s="95"/>
      <c r="P551" s="98"/>
      <c r="Q551" s="95"/>
      <c r="R551" s="100"/>
      <c r="S551" s="95"/>
      <c r="T551" s="95"/>
      <c r="U551" s="96"/>
      <c r="V551" s="96"/>
      <c r="W551" s="96"/>
      <c r="X551" s="96"/>
      <c r="Y551" s="96"/>
      <c r="Z551" s="97"/>
    </row>
    <row r="552" spans="6:26" x14ac:dyDescent="0.25">
      <c r="F552" s="438"/>
      <c r="G552" s="104"/>
      <c r="H552" s="104"/>
      <c r="I552" s="104"/>
      <c r="J552" s="104"/>
      <c r="K552" s="104"/>
      <c r="L552" s="140"/>
      <c r="M552" s="101"/>
      <c r="N552" s="127"/>
      <c r="O552" s="95"/>
      <c r="P552" s="98"/>
      <c r="Q552" s="95"/>
      <c r="R552" s="100"/>
      <c r="S552" s="95"/>
      <c r="T552" s="95"/>
      <c r="U552" s="96"/>
      <c r="V552" s="96"/>
      <c r="W552" s="96"/>
      <c r="X552" s="96"/>
      <c r="Y552" s="96"/>
      <c r="Z552" s="97"/>
    </row>
    <row r="553" spans="6:26" x14ac:dyDescent="0.25">
      <c r="F553" s="438"/>
      <c r="G553" s="104"/>
      <c r="H553" s="104"/>
      <c r="I553" s="104"/>
      <c r="J553" s="104"/>
      <c r="K553" s="104"/>
      <c r="L553" s="140"/>
      <c r="M553" s="101"/>
      <c r="N553" s="127"/>
      <c r="O553" s="95"/>
      <c r="P553" s="98"/>
      <c r="Q553" s="95"/>
      <c r="R553" s="100"/>
      <c r="S553" s="95"/>
      <c r="T553" s="95"/>
      <c r="U553" s="96"/>
      <c r="V553" s="96"/>
      <c r="W553" s="96"/>
      <c r="X553" s="96"/>
      <c r="Y553" s="96"/>
      <c r="Z553" s="97"/>
    </row>
    <row r="554" spans="6:26" x14ac:dyDescent="0.25">
      <c r="F554" s="438"/>
      <c r="G554" s="104"/>
      <c r="H554" s="104"/>
      <c r="I554" s="104"/>
      <c r="J554" s="104"/>
      <c r="K554" s="104"/>
      <c r="L554" s="140"/>
      <c r="M554" s="101"/>
      <c r="N554" s="127"/>
      <c r="O554" s="95"/>
      <c r="P554" s="98"/>
      <c r="Q554" s="95"/>
      <c r="R554" s="100"/>
      <c r="S554" s="95"/>
      <c r="T554" s="95"/>
      <c r="U554" s="96"/>
      <c r="V554" s="96"/>
      <c r="W554" s="96"/>
      <c r="X554" s="96"/>
      <c r="Y554" s="96"/>
      <c r="Z554" s="97"/>
    </row>
    <row r="555" spans="6:26" x14ac:dyDescent="0.25">
      <c r="F555" s="438"/>
      <c r="G555" s="104"/>
      <c r="H555" s="104"/>
      <c r="I555" s="104"/>
      <c r="J555" s="104"/>
      <c r="K555" s="104"/>
      <c r="L555" s="140"/>
      <c r="M555" s="101"/>
      <c r="N555" s="127"/>
      <c r="O555" s="95"/>
      <c r="P555" s="98"/>
      <c r="Q555" s="95"/>
      <c r="R555" s="100"/>
      <c r="S555" s="95"/>
      <c r="T555" s="95"/>
      <c r="U555" s="96"/>
      <c r="V555" s="96"/>
      <c r="W555" s="96"/>
      <c r="X555" s="96"/>
      <c r="Y555" s="96"/>
      <c r="Z555" s="97"/>
    </row>
    <row r="556" spans="6:26" x14ac:dyDescent="0.25">
      <c r="F556" s="438"/>
      <c r="G556" s="104"/>
      <c r="H556" s="104"/>
      <c r="I556" s="104"/>
      <c r="J556" s="104"/>
      <c r="K556" s="104"/>
      <c r="L556" s="140"/>
      <c r="M556" s="101"/>
      <c r="N556" s="127"/>
      <c r="O556" s="95"/>
      <c r="P556" s="98"/>
      <c r="Q556" s="95"/>
      <c r="R556" s="100"/>
      <c r="S556" s="95"/>
      <c r="T556" s="95"/>
      <c r="U556" s="96"/>
      <c r="V556" s="96"/>
      <c r="W556" s="96"/>
      <c r="X556" s="96"/>
      <c r="Y556" s="96"/>
      <c r="Z556" s="97"/>
    </row>
    <row r="557" spans="6:26" x14ac:dyDescent="0.25">
      <c r="F557" s="438"/>
      <c r="G557" s="104"/>
      <c r="H557" s="104"/>
      <c r="I557" s="104"/>
      <c r="J557" s="104"/>
      <c r="K557" s="104"/>
      <c r="L557" s="140"/>
      <c r="M557" s="101"/>
      <c r="N557" s="127"/>
      <c r="O557" s="95"/>
      <c r="P557" s="98"/>
      <c r="Q557" s="95"/>
      <c r="R557" s="100"/>
      <c r="S557" s="95"/>
      <c r="T557" s="95"/>
      <c r="U557" s="96"/>
      <c r="V557" s="96"/>
      <c r="W557" s="96"/>
      <c r="X557" s="96"/>
      <c r="Y557" s="96"/>
      <c r="Z557" s="97"/>
    </row>
    <row r="558" spans="6:26" x14ac:dyDescent="0.25">
      <c r="F558" s="438"/>
      <c r="G558" s="104"/>
      <c r="H558" s="104"/>
      <c r="I558" s="104"/>
      <c r="J558" s="104"/>
      <c r="K558" s="104"/>
      <c r="L558" s="140"/>
      <c r="M558" s="101"/>
      <c r="N558" s="127"/>
      <c r="O558" s="95"/>
      <c r="P558" s="98"/>
      <c r="Q558" s="95"/>
      <c r="R558" s="100"/>
      <c r="S558" s="95"/>
      <c r="T558" s="95"/>
      <c r="U558" s="96"/>
      <c r="V558" s="96"/>
      <c r="W558" s="96"/>
      <c r="X558" s="96"/>
      <c r="Y558" s="96"/>
      <c r="Z558" s="97"/>
    </row>
    <row r="559" spans="6:26" x14ac:dyDescent="0.25">
      <c r="F559" s="438"/>
      <c r="G559" s="104"/>
      <c r="H559" s="104"/>
      <c r="I559" s="104"/>
      <c r="J559" s="104"/>
      <c r="K559" s="104"/>
      <c r="L559" s="140"/>
      <c r="M559" s="101"/>
      <c r="N559" s="127"/>
      <c r="O559" s="95"/>
      <c r="P559" s="98"/>
      <c r="Q559" s="95"/>
      <c r="R559" s="100"/>
      <c r="S559" s="95"/>
      <c r="T559" s="95"/>
      <c r="U559" s="96"/>
      <c r="V559" s="96"/>
      <c r="W559" s="96"/>
      <c r="X559" s="96"/>
      <c r="Y559" s="96"/>
      <c r="Z559" s="97"/>
    </row>
    <row r="560" spans="6:26" x14ac:dyDescent="0.25">
      <c r="F560" s="438"/>
      <c r="G560" s="104"/>
      <c r="H560" s="104"/>
      <c r="I560" s="104"/>
      <c r="J560" s="104"/>
      <c r="K560" s="104"/>
      <c r="L560" s="140"/>
      <c r="M560" s="101"/>
      <c r="N560" s="127"/>
      <c r="O560" s="95"/>
      <c r="P560" s="98"/>
      <c r="Q560" s="95"/>
      <c r="R560" s="100"/>
      <c r="S560" s="95"/>
      <c r="T560" s="95"/>
      <c r="U560" s="96"/>
      <c r="V560" s="96"/>
      <c r="W560" s="96"/>
      <c r="X560" s="96"/>
      <c r="Y560" s="96"/>
      <c r="Z560" s="97"/>
    </row>
    <row r="561" spans="6:26" x14ac:dyDescent="0.25">
      <c r="F561" s="438"/>
      <c r="G561" s="104"/>
      <c r="H561" s="104"/>
      <c r="I561" s="104"/>
      <c r="J561" s="104"/>
      <c r="K561" s="104"/>
      <c r="L561" s="140"/>
      <c r="M561" s="101"/>
      <c r="N561" s="127"/>
      <c r="O561" s="95"/>
      <c r="P561" s="98"/>
      <c r="Q561" s="95"/>
      <c r="R561" s="100"/>
      <c r="S561" s="95"/>
      <c r="T561" s="95"/>
      <c r="U561" s="96"/>
      <c r="V561" s="96"/>
      <c r="W561" s="96"/>
      <c r="X561" s="96"/>
      <c r="Y561" s="96"/>
      <c r="Z561" s="97"/>
    </row>
    <row r="562" spans="6:26" x14ac:dyDescent="0.25">
      <c r="F562" s="438"/>
      <c r="G562" s="104"/>
      <c r="H562" s="104"/>
      <c r="I562" s="104"/>
      <c r="J562" s="104"/>
      <c r="K562" s="104"/>
      <c r="L562" s="140"/>
      <c r="M562" s="101"/>
      <c r="N562" s="127"/>
      <c r="O562" s="95"/>
      <c r="P562" s="98"/>
      <c r="Q562" s="95"/>
      <c r="R562" s="100"/>
      <c r="S562" s="95"/>
      <c r="T562" s="95"/>
      <c r="U562" s="96"/>
      <c r="V562" s="96"/>
      <c r="W562" s="96"/>
      <c r="X562" s="96"/>
      <c r="Y562" s="96"/>
      <c r="Z562" s="97"/>
    </row>
    <row r="563" spans="6:26" x14ac:dyDescent="0.25">
      <c r="F563" s="438"/>
      <c r="G563" s="104"/>
      <c r="H563" s="104"/>
      <c r="I563" s="104"/>
      <c r="J563" s="104"/>
      <c r="K563" s="104"/>
      <c r="L563" s="140"/>
      <c r="M563" s="101"/>
      <c r="N563" s="127"/>
      <c r="O563" s="95"/>
      <c r="P563" s="98"/>
      <c r="Q563" s="95"/>
      <c r="R563" s="100"/>
      <c r="S563" s="95"/>
      <c r="T563" s="95"/>
      <c r="U563" s="96"/>
      <c r="V563" s="96"/>
      <c r="W563" s="96"/>
      <c r="X563" s="96"/>
      <c r="Y563" s="96"/>
      <c r="Z563" s="97"/>
    </row>
    <row r="564" spans="6:26" x14ac:dyDescent="0.25">
      <c r="F564" s="438"/>
      <c r="G564" s="104"/>
      <c r="H564" s="104"/>
      <c r="I564" s="104"/>
      <c r="J564" s="104"/>
      <c r="K564" s="104"/>
      <c r="L564" s="140"/>
      <c r="M564" s="101"/>
      <c r="N564" s="127"/>
      <c r="O564" s="95"/>
      <c r="P564" s="98"/>
      <c r="Q564" s="95"/>
      <c r="R564" s="100"/>
      <c r="S564" s="95"/>
      <c r="T564" s="95"/>
      <c r="U564" s="96"/>
      <c r="V564" s="96"/>
      <c r="W564" s="96"/>
      <c r="X564" s="96"/>
      <c r="Y564" s="96"/>
      <c r="Z564" s="97"/>
    </row>
    <row r="565" spans="6:26" x14ac:dyDescent="0.25">
      <c r="F565" s="438"/>
      <c r="G565" s="104"/>
      <c r="H565" s="104"/>
      <c r="I565" s="104"/>
      <c r="J565" s="104"/>
      <c r="K565" s="104"/>
      <c r="L565" s="140"/>
      <c r="M565" s="101"/>
      <c r="N565" s="127"/>
      <c r="O565" s="95"/>
      <c r="P565" s="98"/>
      <c r="Q565" s="95"/>
      <c r="R565" s="100"/>
      <c r="S565" s="95"/>
      <c r="T565" s="95"/>
      <c r="U565" s="96"/>
      <c r="V565" s="96"/>
      <c r="W565" s="96"/>
      <c r="X565" s="96"/>
      <c r="Y565" s="96"/>
      <c r="Z565" s="97"/>
    </row>
    <row r="566" spans="6:26" x14ac:dyDescent="0.25">
      <c r="F566" s="438"/>
      <c r="G566" s="104"/>
      <c r="H566" s="104"/>
      <c r="I566" s="104"/>
      <c r="J566" s="104"/>
      <c r="K566" s="104"/>
      <c r="L566" s="140"/>
      <c r="M566" s="101"/>
      <c r="N566" s="127"/>
      <c r="O566" s="95"/>
      <c r="P566" s="98"/>
      <c r="Q566" s="95"/>
      <c r="R566" s="100"/>
      <c r="S566" s="95"/>
      <c r="T566" s="95"/>
      <c r="U566" s="96"/>
      <c r="V566" s="96"/>
      <c r="W566" s="96"/>
      <c r="X566" s="96"/>
      <c r="Y566" s="96"/>
      <c r="Z566" s="97"/>
    </row>
    <row r="567" spans="6:26" x14ac:dyDescent="0.25">
      <c r="F567" s="438"/>
      <c r="G567" s="104"/>
      <c r="H567" s="104"/>
      <c r="I567" s="104"/>
      <c r="J567" s="104"/>
      <c r="K567" s="104"/>
      <c r="L567" s="140"/>
      <c r="M567" s="101"/>
      <c r="N567" s="127"/>
      <c r="O567" s="95"/>
      <c r="P567" s="98"/>
      <c r="Q567" s="95"/>
      <c r="R567" s="100"/>
      <c r="S567" s="95"/>
      <c r="T567" s="95"/>
      <c r="U567" s="96"/>
      <c r="V567" s="96"/>
      <c r="W567" s="96"/>
      <c r="X567" s="96"/>
      <c r="Y567" s="96"/>
      <c r="Z567" s="97"/>
    </row>
    <row r="568" spans="6:26" x14ac:dyDescent="0.25">
      <c r="F568" s="438"/>
      <c r="G568" s="104"/>
      <c r="H568" s="104"/>
      <c r="I568" s="104"/>
      <c r="J568" s="104"/>
      <c r="K568" s="104"/>
      <c r="L568" s="140"/>
      <c r="M568" s="101"/>
      <c r="N568" s="127"/>
      <c r="O568" s="95"/>
      <c r="P568" s="98"/>
      <c r="Q568" s="95"/>
      <c r="R568" s="100"/>
      <c r="S568" s="95"/>
      <c r="T568" s="95"/>
      <c r="U568" s="96"/>
      <c r="V568" s="96"/>
      <c r="W568" s="96"/>
      <c r="X568" s="96"/>
      <c r="Y568" s="96"/>
      <c r="Z568" s="97"/>
    </row>
    <row r="569" spans="6:26" x14ac:dyDescent="0.25">
      <c r="F569" s="438"/>
      <c r="G569" s="104"/>
      <c r="H569" s="104"/>
      <c r="I569" s="104"/>
      <c r="J569" s="104"/>
      <c r="K569" s="104"/>
      <c r="L569" s="140"/>
      <c r="M569" s="101"/>
      <c r="N569" s="127"/>
      <c r="O569" s="95"/>
      <c r="P569" s="98"/>
      <c r="Q569" s="95"/>
      <c r="R569" s="100"/>
      <c r="S569" s="95"/>
      <c r="T569" s="95"/>
      <c r="U569" s="96"/>
      <c r="V569" s="96"/>
      <c r="W569" s="96"/>
      <c r="X569" s="96"/>
      <c r="Y569" s="96"/>
      <c r="Z569" s="97"/>
    </row>
    <row r="570" spans="6:26" x14ac:dyDescent="0.25">
      <c r="F570" s="438"/>
      <c r="G570" s="104"/>
      <c r="H570" s="104"/>
      <c r="I570" s="104"/>
      <c r="J570" s="104"/>
      <c r="K570" s="104"/>
      <c r="L570" s="140"/>
      <c r="M570" s="101"/>
      <c r="N570" s="127"/>
      <c r="O570" s="95"/>
      <c r="P570" s="98"/>
      <c r="Q570" s="95"/>
      <c r="R570" s="100"/>
      <c r="S570" s="95"/>
      <c r="T570" s="95"/>
      <c r="U570" s="96"/>
      <c r="V570" s="96"/>
      <c r="W570" s="96"/>
      <c r="X570" s="96"/>
      <c r="Y570" s="96"/>
      <c r="Z570" s="97"/>
    </row>
    <row r="571" spans="6:26" x14ac:dyDescent="0.25">
      <c r="F571" s="438"/>
      <c r="G571" s="104"/>
      <c r="H571" s="104"/>
      <c r="I571" s="104"/>
      <c r="J571" s="104"/>
      <c r="K571" s="104"/>
      <c r="L571" s="140"/>
      <c r="M571" s="101"/>
      <c r="N571" s="127"/>
      <c r="O571" s="95"/>
      <c r="P571" s="98"/>
      <c r="Q571" s="95"/>
      <c r="R571" s="100"/>
      <c r="S571" s="95"/>
      <c r="T571" s="95"/>
      <c r="U571" s="96"/>
      <c r="V571" s="96"/>
      <c r="W571" s="96"/>
      <c r="X571" s="96"/>
      <c r="Y571" s="96"/>
      <c r="Z571" s="97"/>
    </row>
    <row r="572" spans="6:26" x14ac:dyDescent="0.25">
      <c r="F572" s="438"/>
      <c r="G572" s="104"/>
      <c r="H572" s="104"/>
      <c r="I572" s="104"/>
      <c r="J572" s="104"/>
      <c r="K572" s="104"/>
      <c r="L572" s="140"/>
      <c r="M572" s="101"/>
      <c r="N572" s="127"/>
      <c r="O572" s="95"/>
      <c r="P572" s="98"/>
      <c r="Q572" s="95"/>
      <c r="R572" s="100"/>
      <c r="S572" s="95"/>
      <c r="T572" s="95"/>
      <c r="U572" s="96"/>
      <c r="V572" s="96"/>
      <c r="W572" s="96"/>
      <c r="X572" s="96"/>
      <c r="Y572" s="96"/>
      <c r="Z572" s="97"/>
    </row>
    <row r="573" spans="6:26" x14ac:dyDescent="0.25">
      <c r="F573" s="438"/>
      <c r="G573" s="104"/>
      <c r="H573" s="104"/>
      <c r="I573" s="104"/>
      <c r="J573" s="104"/>
      <c r="K573" s="104"/>
      <c r="L573" s="140"/>
      <c r="M573" s="101"/>
      <c r="N573" s="127"/>
      <c r="O573" s="95"/>
      <c r="P573" s="98"/>
      <c r="Q573" s="95"/>
      <c r="R573" s="100"/>
      <c r="S573" s="95"/>
      <c r="T573" s="95"/>
      <c r="U573" s="96"/>
      <c r="V573" s="96"/>
      <c r="W573" s="96"/>
      <c r="X573" s="96"/>
      <c r="Y573" s="96"/>
      <c r="Z573" s="97"/>
    </row>
    <row r="574" spans="6:26" x14ac:dyDescent="0.25">
      <c r="F574" s="438"/>
      <c r="G574" s="104"/>
      <c r="H574" s="104"/>
      <c r="I574" s="104"/>
      <c r="J574" s="104"/>
      <c r="K574" s="104"/>
      <c r="L574" s="140"/>
      <c r="M574" s="101"/>
      <c r="N574" s="127"/>
      <c r="O574" s="95"/>
      <c r="P574" s="98"/>
      <c r="Q574" s="95"/>
      <c r="R574" s="100"/>
      <c r="S574" s="95"/>
      <c r="T574" s="95"/>
      <c r="U574" s="96"/>
      <c r="V574" s="96"/>
      <c r="W574" s="96"/>
      <c r="X574" s="96"/>
      <c r="Y574" s="96"/>
      <c r="Z574" s="97"/>
    </row>
    <row r="575" spans="6:26" x14ac:dyDescent="0.25">
      <c r="F575" s="438"/>
      <c r="G575" s="104"/>
      <c r="H575" s="104"/>
      <c r="I575" s="104"/>
      <c r="J575" s="104"/>
      <c r="K575" s="104"/>
      <c r="L575" s="140"/>
      <c r="M575" s="101"/>
      <c r="N575" s="127"/>
      <c r="O575" s="95"/>
      <c r="P575" s="98"/>
      <c r="Q575" s="95"/>
      <c r="R575" s="100"/>
      <c r="S575" s="95"/>
      <c r="T575" s="95"/>
      <c r="U575" s="96"/>
      <c r="V575" s="96"/>
      <c r="W575" s="96"/>
      <c r="X575" s="96"/>
      <c r="Y575" s="96"/>
      <c r="Z575" s="97"/>
    </row>
    <row r="576" spans="6:26" x14ac:dyDescent="0.25">
      <c r="F576" s="438"/>
      <c r="G576" s="104"/>
      <c r="H576" s="104"/>
      <c r="I576" s="104"/>
      <c r="J576" s="104"/>
      <c r="K576" s="104"/>
      <c r="L576" s="140"/>
      <c r="M576" s="101"/>
      <c r="N576" s="127"/>
      <c r="O576" s="95"/>
      <c r="P576" s="98"/>
      <c r="Q576" s="95"/>
      <c r="R576" s="100"/>
      <c r="S576" s="95"/>
      <c r="T576" s="95"/>
      <c r="U576" s="96"/>
      <c r="V576" s="96"/>
      <c r="W576" s="96"/>
      <c r="X576" s="96"/>
      <c r="Y576" s="96"/>
      <c r="Z576" s="97"/>
    </row>
    <row r="577" spans="6:26" x14ac:dyDescent="0.25">
      <c r="F577" s="438"/>
      <c r="G577" s="104"/>
      <c r="H577" s="104"/>
      <c r="I577" s="104"/>
      <c r="J577" s="104"/>
      <c r="K577" s="104"/>
      <c r="L577" s="140"/>
      <c r="M577" s="101"/>
      <c r="N577" s="127"/>
      <c r="O577" s="95"/>
      <c r="P577" s="98"/>
      <c r="Q577" s="95"/>
      <c r="R577" s="100"/>
      <c r="S577" s="95"/>
      <c r="T577" s="95"/>
      <c r="U577" s="96"/>
      <c r="V577" s="96"/>
      <c r="W577" s="96"/>
      <c r="X577" s="96"/>
      <c r="Y577" s="96"/>
      <c r="Z577" s="97"/>
    </row>
    <row r="578" spans="6:26" x14ac:dyDescent="0.25">
      <c r="N578" s="127"/>
      <c r="O578" s="95"/>
      <c r="P578" s="98"/>
      <c r="Q578" s="95"/>
      <c r="R578" s="100"/>
      <c r="S578" s="95"/>
      <c r="T578" s="95"/>
      <c r="U578" s="96"/>
      <c r="V578" s="96"/>
      <c r="W578" s="96"/>
      <c r="X578" s="96"/>
      <c r="Y578" s="96"/>
      <c r="Z578" s="97"/>
    </row>
    <row r="579" spans="6:26" x14ac:dyDescent="0.25">
      <c r="N579" s="127"/>
      <c r="O579" s="95"/>
      <c r="P579" s="98"/>
      <c r="Q579" s="95"/>
      <c r="R579" s="100"/>
      <c r="S579" s="95"/>
      <c r="T579" s="95"/>
      <c r="U579" s="96"/>
      <c r="V579" s="96"/>
      <c r="W579" s="96"/>
      <c r="X579" s="96"/>
      <c r="Y579" s="96"/>
      <c r="Z579" s="97"/>
    </row>
    <row r="580" spans="6:26" x14ac:dyDescent="0.25">
      <c r="N580" s="127"/>
      <c r="O580" s="95"/>
      <c r="P580" s="98"/>
      <c r="Q580" s="95"/>
      <c r="R580" s="100"/>
      <c r="S580" s="95"/>
      <c r="T580" s="95"/>
      <c r="U580" s="96"/>
      <c r="V580" s="96"/>
      <c r="W580" s="96"/>
      <c r="X580" s="96"/>
      <c r="Y580" s="96"/>
      <c r="Z580" s="97"/>
    </row>
    <row r="581" spans="6:26" x14ac:dyDescent="0.25">
      <c r="N581" s="127"/>
      <c r="O581" s="95"/>
      <c r="P581" s="98"/>
      <c r="Q581" s="95"/>
      <c r="R581" s="100"/>
      <c r="S581" s="95"/>
      <c r="T581" s="95"/>
      <c r="U581" s="96"/>
      <c r="V581" s="96"/>
      <c r="W581" s="96"/>
      <c r="X581" s="96"/>
      <c r="Y581" s="96"/>
      <c r="Z581" s="97"/>
    </row>
    <row r="582" spans="6:26" x14ac:dyDescent="0.25">
      <c r="N582" s="127"/>
      <c r="O582" s="95"/>
      <c r="P582" s="98"/>
      <c r="Q582" s="95"/>
      <c r="R582" s="100"/>
      <c r="S582" s="95"/>
      <c r="T582" s="95"/>
      <c r="U582" s="96"/>
      <c r="V582" s="96"/>
      <c r="W582" s="96"/>
      <c r="X582" s="96"/>
      <c r="Y582" s="96"/>
      <c r="Z582" s="97"/>
    </row>
    <row r="583" spans="6:26" x14ac:dyDescent="0.25">
      <c r="N583" s="127"/>
      <c r="O583" s="95"/>
      <c r="P583" s="98"/>
      <c r="Q583" s="95"/>
      <c r="R583" s="100"/>
      <c r="S583" s="95"/>
      <c r="T583" s="95"/>
      <c r="U583" s="96"/>
      <c r="V583" s="96"/>
      <c r="W583" s="96"/>
      <c r="X583" s="96"/>
      <c r="Y583" s="96"/>
      <c r="Z583" s="97"/>
    </row>
    <row r="584" spans="6:26" x14ac:dyDescent="0.25">
      <c r="N584" s="127"/>
      <c r="O584" s="95"/>
      <c r="P584" s="98"/>
      <c r="Q584" s="95"/>
      <c r="R584" s="100"/>
      <c r="S584" s="95"/>
      <c r="T584" s="95"/>
      <c r="U584" s="96"/>
      <c r="V584" s="96"/>
      <c r="W584" s="96"/>
      <c r="X584" s="96"/>
      <c r="Y584" s="96"/>
      <c r="Z584" s="97"/>
    </row>
    <row r="585" spans="6:26" x14ac:dyDescent="0.25">
      <c r="N585" s="127"/>
      <c r="O585" s="95"/>
      <c r="P585" s="98"/>
      <c r="Q585" s="95"/>
      <c r="R585" s="100"/>
      <c r="S585" s="95"/>
      <c r="T585" s="95"/>
      <c r="U585" s="96"/>
      <c r="V585" s="96"/>
      <c r="W585" s="96"/>
      <c r="X585" s="96"/>
      <c r="Y585" s="96"/>
      <c r="Z585" s="97"/>
    </row>
    <row r="586" spans="6:26" x14ac:dyDescent="0.25">
      <c r="N586" s="127"/>
      <c r="O586" s="95"/>
      <c r="P586" s="98"/>
      <c r="Q586" s="95"/>
      <c r="R586" s="100"/>
      <c r="S586" s="95"/>
      <c r="T586" s="95"/>
      <c r="U586" s="96"/>
      <c r="V586" s="96"/>
      <c r="W586" s="96"/>
      <c r="X586" s="96"/>
      <c r="Y586" s="96"/>
      <c r="Z586" s="97"/>
    </row>
    <row r="587" spans="6:26" x14ac:dyDescent="0.25">
      <c r="N587" s="127"/>
      <c r="O587" s="95"/>
      <c r="P587" s="98"/>
      <c r="Q587" s="95"/>
      <c r="R587" s="100"/>
      <c r="S587" s="95"/>
      <c r="T587" s="95"/>
      <c r="U587" s="96"/>
      <c r="V587" s="96"/>
      <c r="W587" s="96"/>
      <c r="X587" s="96"/>
      <c r="Y587" s="96"/>
      <c r="Z587" s="97"/>
    </row>
    <row r="588" spans="6:26" x14ac:dyDescent="0.25">
      <c r="N588" s="127"/>
      <c r="O588" s="95"/>
      <c r="P588" s="98"/>
      <c r="Q588" s="95"/>
      <c r="R588" s="100"/>
      <c r="S588" s="95"/>
      <c r="T588" s="95"/>
      <c r="U588" s="96"/>
      <c r="V588" s="96"/>
      <c r="W588" s="96"/>
      <c r="X588" s="96"/>
      <c r="Y588" s="96"/>
      <c r="Z588" s="97"/>
    </row>
    <row r="589" spans="6:26" x14ac:dyDescent="0.25">
      <c r="N589" s="127"/>
      <c r="O589" s="95"/>
      <c r="P589" s="98"/>
      <c r="Q589" s="95"/>
      <c r="R589" s="100"/>
      <c r="S589" s="95"/>
      <c r="T589" s="95"/>
      <c r="U589" s="96"/>
      <c r="V589" s="96"/>
      <c r="W589" s="96"/>
      <c r="X589" s="96"/>
      <c r="Y589" s="96"/>
      <c r="Z589" s="97"/>
    </row>
    <row r="590" spans="6:26" x14ac:dyDescent="0.25">
      <c r="N590" s="127"/>
      <c r="O590" s="95"/>
      <c r="P590" s="98"/>
      <c r="Q590" s="95"/>
      <c r="R590" s="100"/>
      <c r="S590" s="95"/>
      <c r="T590" s="95"/>
      <c r="U590" s="96"/>
      <c r="V590" s="96"/>
      <c r="W590" s="96"/>
      <c r="X590" s="96"/>
      <c r="Y590" s="96"/>
      <c r="Z590" s="97"/>
    </row>
    <row r="591" spans="6:26" x14ac:dyDescent="0.25">
      <c r="N591" s="127"/>
      <c r="O591" s="95"/>
      <c r="P591" s="98"/>
      <c r="Q591" s="95"/>
      <c r="R591" s="100"/>
      <c r="S591" s="95"/>
      <c r="T591" s="95"/>
      <c r="U591" s="96"/>
      <c r="V591" s="96"/>
      <c r="W591" s="96"/>
      <c r="X591" s="96"/>
      <c r="Y591" s="96"/>
      <c r="Z591" s="97"/>
    </row>
    <row r="592" spans="6:26" x14ac:dyDescent="0.25">
      <c r="N592" s="127"/>
      <c r="O592" s="95"/>
      <c r="P592" s="98"/>
      <c r="Q592" s="95"/>
      <c r="R592" s="100"/>
      <c r="S592" s="95"/>
      <c r="T592" s="95"/>
      <c r="U592" s="96"/>
      <c r="V592" s="96"/>
      <c r="W592" s="96"/>
      <c r="X592" s="96"/>
      <c r="Y592" s="96"/>
      <c r="Z592" s="97"/>
    </row>
    <row r="593" spans="14:26" x14ac:dyDescent="0.25">
      <c r="N593" s="127"/>
      <c r="O593" s="95"/>
      <c r="P593" s="98"/>
      <c r="Q593" s="95"/>
      <c r="R593" s="100"/>
      <c r="S593" s="95"/>
      <c r="T593" s="95"/>
      <c r="U593" s="96"/>
      <c r="V593" s="96"/>
      <c r="W593" s="96"/>
      <c r="X593" s="96"/>
      <c r="Y593" s="96"/>
      <c r="Z593" s="97"/>
    </row>
    <row r="594" spans="14:26" x14ac:dyDescent="0.25">
      <c r="N594" s="127"/>
      <c r="O594" s="95"/>
      <c r="P594" s="98"/>
      <c r="Q594" s="95"/>
      <c r="R594" s="100"/>
      <c r="S594" s="95"/>
      <c r="T594" s="95"/>
      <c r="U594" s="96"/>
      <c r="V594" s="96"/>
      <c r="W594" s="96"/>
      <c r="X594" s="96"/>
      <c r="Y594" s="96"/>
      <c r="Z594" s="97"/>
    </row>
  </sheetData>
  <autoFilter ref="A1:AK594" xr:uid="{E1F93304-A6B4-4F23-953B-B7805D262B51}">
    <filterColumn colId="0" showButton="0"/>
    <filterColumn colId="1" showButton="0"/>
    <filterColumn colId="2" showButton="0"/>
    <filterColumn colId="3" showButton="0"/>
  </autoFilter>
  <mergeCells count="37">
    <mergeCell ref="A43:A46"/>
    <mergeCell ref="B43:B46"/>
    <mergeCell ref="C43:C46"/>
    <mergeCell ref="A47:A50"/>
    <mergeCell ref="B47:B50"/>
    <mergeCell ref="C47:C50"/>
    <mergeCell ref="C39:C42"/>
    <mergeCell ref="A31:A34"/>
    <mergeCell ref="B31:B34"/>
    <mergeCell ref="A35:A38"/>
    <mergeCell ref="B35:B38"/>
    <mergeCell ref="A39:A42"/>
    <mergeCell ref="B39:B42"/>
    <mergeCell ref="A19:A22"/>
    <mergeCell ref="B19:B22"/>
    <mergeCell ref="A23:A26"/>
    <mergeCell ref="B23:B26"/>
    <mergeCell ref="A27:A30"/>
    <mergeCell ref="B27:B30"/>
    <mergeCell ref="C19:C22"/>
    <mergeCell ref="C23:C26"/>
    <mergeCell ref="C27:C30"/>
    <mergeCell ref="C31:C34"/>
    <mergeCell ref="C35:C38"/>
    <mergeCell ref="C15:C18"/>
    <mergeCell ref="B15:B18"/>
    <mergeCell ref="C3:C6"/>
    <mergeCell ref="A1:E1"/>
    <mergeCell ref="B3:B6"/>
    <mergeCell ref="A3:A6"/>
    <mergeCell ref="C7:C10"/>
    <mergeCell ref="C11:C14"/>
    <mergeCell ref="A7:A10"/>
    <mergeCell ref="B7:B10"/>
    <mergeCell ref="A11:A14"/>
    <mergeCell ref="B11:B14"/>
    <mergeCell ref="A15:A18"/>
  </mergeCells>
  <phoneticPr fontId="18" type="noConversion"/>
  <dataValidations count="4">
    <dataValidation type="list" allowBlank="1" showInputMessage="1" showErrorMessage="1" sqref="M1 M3:M50" xr:uid="{F890C5B8-D81D-4520-AEE8-2FFF219524EE}">
      <formula1>Objecte</formula1>
    </dataValidation>
    <dataValidation type="list" allowBlank="1" showInputMessage="1" showErrorMessage="1" sqref="Q3:Q50" xr:uid="{95B66BF3-BD9D-4DA0-88AE-7574BD3AC1D9}">
      <formula1>INDIRECT(M3)</formula1>
    </dataValidation>
    <dataValidation type="list" allowBlank="1" showInputMessage="1" showErrorMessage="1" sqref="AE3:AE50" xr:uid="{34FC8F01-CAA0-4158-A83D-AA3BDE546264}">
      <formula1>INDIRECT(AD3)</formula1>
    </dataValidation>
    <dataValidation type="list" allowBlank="1" showInputMessage="1" showErrorMessage="1" sqref="AD3:AD50" xr:uid="{2C12D1A7-6636-433E-8235-C325396A81AE}">
      <formula1>INDIRECT(G3)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2BCE1-5240-4F54-9E64-8D2C6B38CDF3}">
  <sheetPr codeName="Tabelle18">
    <tabColor rgb="FF01FF01"/>
  </sheetPr>
  <dimension ref="A1:AG43"/>
  <sheetViews>
    <sheetView workbookViewId="0">
      <pane xSplit="4" ySplit="2" topLeftCell="E3" activePane="bottomRight" state="frozen"/>
      <selection activeCell="F25" sqref="F25"/>
      <selection pane="topRight" activeCell="F25" sqref="F25"/>
      <selection pane="bottomLeft" activeCell="F25" sqref="F25"/>
      <selection pane="bottomRight" activeCell="F11" sqref="F11"/>
    </sheetView>
  </sheetViews>
  <sheetFormatPr baseColWidth="10" defaultRowHeight="15" x14ac:dyDescent="0.25"/>
  <cols>
    <col min="1" max="1" width="3.7109375" bestFit="1" customWidth="1"/>
    <col min="2" max="2" width="4.7109375" bestFit="1" customWidth="1"/>
    <col min="3" max="3" width="8.28515625" bestFit="1" customWidth="1"/>
    <col min="4" max="4" width="4.7109375" bestFit="1" customWidth="1"/>
    <col min="5" max="5" width="11.85546875" customWidth="1"/>
    <col min="6" max="6" width="63.42578125" bestFit="1" customWidth="1"/>
    <col min="7" max="7" width="12.28515625" bestFit="1" customWidth="1"/>
    <col min="8" max="8" width="13.140625" customWidth="1"/>
    <col min="9" max="9" width="8.85546875" customWidth="1"/>
    <col min="10" max="10" width="5.140625" bestFit="1" customWidth="1"/>
    <col min="11" max="11" width="10.5703125" bestFit="1" customWidth="1"/>
    <col min="12" max="12" width="31.28515625" hidden="1" customWidth="1"/>
    <col min="13" max="13" width="8" hidden="1" customWidth="1"/>
    <col min="14" max="14" width="28.28515625" hidden="1" customWidth="1"/>
    <col min="15" max="15" width="11.42578125" hidden="1" customWidth="1"/>
    <col min="16" max="16" width="13.42578125" hidden="1" customWidth="1"/>
    <col min="17" max="17" width="23.42578125" hidden="1" customWidth="1"/>
    <col min="18" max="18" width="28.5703125" hidden="1" customWidth="1"/>
    <col min="19" max="19" width="29.5703125" hidden="1" customWidth="1"/>
    <col min="20" max="23" width="11.42578125" hidden="1" customWidth="1"/>
    <col min="24" max="24" width="8.5703125" hidden="1" customWidth="1"/>
    <col min="25" max="25" width="7.5703125" hidden="1" customWidth="1"/>
    <col min="26" max="26" width="12.140625" hidden="1" customWidth="1"/>
    <col min="27" max="29" width="11.42578125" hidden="1" customWidth="1"/>
    <col min="32" max="32" width="0" hidden="1" customWidth="1"/>
  </cols>
  <sheetData>
    <row r="1" spans="1:33" ht="55.5" thickBot="1" x14ac:dyDescent="0.3">
      <c r="A1" s="508" t="s">
        <v>523</v>
      </c>
      <c r="B1" s="508"/>
      <c r="C1" s="508"/>
      <c r="D1" s="508"/>
      <c r="E1" s="509"/>
      <c r="F1" s="10" t="s">
        <v>54</v>
      </c>
      <c r="G1" s="11" t="str">
        <f>PSDUS0202!G1</f>
        <v>PSDUS0202</v>
      </c>
      <c r="H1" s="15"/>
      <c r="I1" s="15"/>
      <c r="J1" s="16"/>
      <c r="K1" s="17"/>
      <c r="L1" s="12" t="str">
        <f>"DMS-NAME "</f>
        <v xml:space="preserve">DMS-NAME </v>
      </c>
      <c r="M1" s="52" t="s">
        <v>52</v>
      </c>
      <c r="N1" s="51" t="s">
        <v>60</v>
      </c>
      <c r="O1" s="29"/>
      <c r="P1" s="19" t="s">
        <v>61</v>
      </c>
      <c r="Q1" s="13" t="s">
        <v>144</v>
      </c>
      <c r="R1" s="18" t="s">
        <v>127</v>
      </c>
      <c r="S1" s="14" t="s">
        <v>559</v>
      </c>
      <c r="T1" s="14"/>
      <c r="U1" s="14"/>
      <c r="V1" s="14"/>
      <c r="W1" s="14"/>
      <c r="X1" s="14" t="s">
        <v>46</v>
      </c>
      <c r="Y1" s="14" t="s">
        <v>47</v>
      </c>
      <c r="Z1" s="14" t="s">
        <v>48</v>
      </c>
      <c r="AD1" s="99" t="s">
        <v>541</v>
      </c>
      <c r="AG1" s="264" t="s">
        <v>1268</v>
      </c>
    </row>
    <row r="2" spans="1:33" ht="16.5" thickBot="1" x14ac:dyDescent="0.3">
      <c r="A2" s="48" t="s">
        <v>213</v>
      </c>
      <c r="B2" s="48" t="s">
        <v>212</v>
      </c>
      <c r="C2" s="69" t="s">
        <v>530</v>
      </c>
      <c r="D2" s="49" t="s">
        <v>211</v>
      </c>
      <c r="E2" s="50" t="s">
        <v>551</v>
      </c>
      <c r="F2" s="1"/>
      <c r="G2" s="1"/>
      <c r="H2" s="1"/>
      <c r="I2" s="1"/>
      <c r="J2" s="1"/>
      <c r="K2" s="1" t="s">
        <v>466</v>
      </c>
      <c r="L2" s="1"/>
      <c r="M2" s="1"/>
      <c r="N2" s="1"/>
      <c r="O2" s="30"/>
      <c r="P2" s="1"/>
      <c r="Q2" s="1"/>
      <c r="R2" s="25"/>
      <c r="S2" s="1"/>
      <c r="T2" s="1"/>
      <c r="U2" s="1"/>
      <c r="V2" s="1"/>
      <c r="W2" s="1"/>
      <c r="X2" s="1"/>
      <c r="Y2" s="1"/>
      <c r="Z2" s="1"/>
      <c r="AG2" s="266"/>
    </row>
    <row r="3" spans="1:33" ht="15" customHeight="1" thickBot="1" x14ac:dyDescent="0.3">
      <c r="A3" s="510" t="s">
        <v>558</v>
      </c>
      <c r="B3" s="506" t="s">
        <v>178</v>
      </c>
      <c r="C3" s="503">
        <v>13</v>
      </c>
      <c r="D3" s="26" t="s">
        <v>525</v>
      </c>
      <c r="E3" t="str">
        <f>"MRAOC" &amp; $C$3 &amp; "_" &amp;RIGHT(D3,1)</f>
        <v>MRAOC13_1</v>
      </c>
      <c r="F3" s="234" t="s">
        <v>1251</v>
      </c>
      <c r="G3" s="252" t="s">
        <v>1266</v>
      </c>
      <c r="H3" s="252" t="s">
        <v>1294</v>
      </c>
      <c r="I3" s="252" t="s">
        <v>1292</v>
      </c>
      <c r="J3" s="252" t="s">
        <v>1293</v>
      </c>
      <c r="K3" s="253" t="s">
        <v>1323</v>
      </c>
      <c r="L3" s="144" t="str">
        <f>IF(G3&lt;&gt;"",$G$1&amp;":"&amp;G3&amp;":"&amp;H3&amp;":"&amp;I3&amp;":"&amp;(IF(K3&lt;&gt;"",J3&amp;":"&amp;K3,J3)),"")</f>
        <v>PSDUS0202:NSB:M101:PUM:LET:YB001</v>
      </c>
      <c r="M3" s="237"/>
      <c r="N3" s="146" t="str">
        <f>IF(F3&lt;&gt;"",""&amp;$A$3&amp;"_"&amp;IF($C$3&lt;10,"0"&amp;$C$3,$C$3)&amp;".IO_"&amp;D3,"")</f>
        <v>MRAO4_13.IO_AO1</v>
      </c>
      <c r="O3" s="238"/>
      <c r="P3" s="129"/>
      <c r="Q3" s="238"/>
      <c r="R3" s="147" t="str">
        <f t="shared" ref="R3:R13" si="0">IF(G3&lt;&gt;"",G3&amp;"."&amp;H3&amp;"."&amp;I3&amp;"."&amp;J3&amp;"."&amp;K3,"")</f>
        <v>NSB.M101.PUM.LET.YB001</v>
      </c>
      <c r="S3" s="238" t="str">
        <f t="shared" ref="S3:S42" si="1">L3&amp;":NAME"</f>
        <v>PSDUS0202:NSB:M101:PUM:LET:YB001:NAME</v>
      </c>
      <c r="T3" s="239"/>
      <c r="U3" s="239"/>
      <c r="V3" s="239"/>
      <c r="W3" s="239"/>
      <c r="X3" s="239"/>
      <c r="Y3" s="240"/>
      <c r="Z3" s="239"/>
      <c r="AD3" s="241"/>
      <c r="AE3" s="242"/>
      <c r="AG3" s="266" t="s">
        <v>1295</v>
      </c>
    </row>
    <row r="4" spans="1:33" ht="15" customHeight="1" thickBot="1" x14ac:dyDescent="0.3">
      <c r="A4" s="511"/>
      <c r="B4" s="507"/>
      <c r="C4" s="504"/>
      <c r="D4" s="26" t="s">
        <v>526</v>
      </c>
      <c r="E4" t="str">
        <f>"MRAOC" &amp; $C$3 &amp; "_" &amp;RIGHT(D4,1)</f>
        <v>MRAOC13_2</v>
      </c>
      <c r="F4" s="234" t="s">
        <v>1253</v>
      </c>
      <c r="G4" s="254" t="s">
        <v>1266</v>
      </c>
      <c r="H4" s="252" t="s">
        <v>1307</v>
      </c>
      <c r="I4" s="252" t="s">
        <v>1292</v>
      </c>
      <c r="J4" s="252" t="s">
        <v>1293</v>
      </c>
      <c r="K4" s="253" t="s">
        <v>1323</v>
      </c>
      <c r="L4" s="144" t="str">
        <f t="shared" ref="L4:L42" si="2">IF(G4&lt;&gt;"",$G$1&amp;":"&amp;G4&amp;":"&amp;H4&amp;":"&amp;I4&amp;":"&amp;(IF(K4&lt;&gt;"",J4&amp;":"&amp;K4,J4)),"")</f>
        <v>PSDUS0202:NSB:M102:PUM:LET:YB001</v>
      </c>
      <c r="M4" s="237"/>
      <c r="N4" s="146" t="str">
        <f t="shared" ref="N4:N6" si="3">IF(F4&lt;&gt;"",""&amp;$A$3&amp;"_"&amp;IF($C$3&lt;10,"0"&amp;$C$3,$C$3)&amp;".IO_"&amp;D4,"")</f>
        <v>MRAO4_13.IO_AO2</v>
      </c>
      <c r="O4" s="238"/>
      <c r="P4" s="129"/>
      <c r="Q4" s="238"/>
      <c r="R4" s="147" t="str">
        <f t="shared" si="0"/>
        <v>NSB.M102.PUM.LET.YB001</v>
      </c>
      <c r="S4" s="238" t="str">
        <f t="shared" si="1"/>
        <v>PSDUS0202:NSB:M102:PUM:LET:YB001:NAME</v>
      </c>
      <c r="T4" s="239"/>
      <c r="U4" s="239"/>
      <c r="V4" s="239"/>
      <c r="W4" s="239"/>
      <c r="X4" s="239"/>
      <c r="Y4" s="240"/>
      <c r="Z4" s="239"/>
      <c r="AD4" s="241"/>
      <c r="AE4" s="242"/>
      <c r="AG4" s="266" t="s">
        <v>1308</v>
      </c>
    </row>
    <row r="5" spans="1:33" ht="15" customHeight="1" thickBot="1" x14ac:dyDescent="0.3">
      <c r="A5" s="511"/>
      <c r="B5" s="507"/>
      <c r="C5" s="504"/>
      <c r="D5" s="26" t="s">
        <v>527</v>
      </c>
      <c r="E5" t="str">
        <f>"MRAOC" &amp; $C$3 &amp; "_" &amp;RIGHT(D5,1)</f>
        <v>MRAOC13_3</v>
      </c>
      <c r="F5" s="234" t="s">
        <v>1025</v>
      </c>
      <c r="G5" s="235"/>
      <c r="H5" s="236"/>
      <c r="I5" s="252"/>
      <c r="J5" s="253"/>
      <c r="K5" s="253"/>
      <c r="L5" s="144" t="str">
        <f t="shared" si="2"/>
        <v/>
      </c>
      <c r="M5" s="237"/>
      <c r="N5" s="146" t="str">
        <f t="shared" si="3"/>
        <v>MRAO4_13.IO_AO3</v>
      </c>
      <c r="O5" s="238"/>
      <c r="P5" s="129"/>
      <c r="Q5" s="238"/>
      <c r="R5" s="147" t="str">
        <f t="shared" si="0"/>
        <v/>
      </c>
      <c r="S5" s="238" t="str">
        <f t="shared" si="1"/>
        <v>:NAME</v>
      </c>
      <c r="T5" s="239"/>
      <c r="U5" s="239"/>
      <c r="V5" s="239"/>
      <c r="W5" s="239"/>
      <c r="X5" s="239"/>
      <c r="Y5" s="240"/>
      <c r="Z5" s="239"/>
      <c r="AD5" s="241"/>
      <c r="AE5" s="242"/>
      <c r="AG5" s="266"/>
    </row>
    <row r="6" spans="1:33" s="54" customFormat="1" ht="15" customHeight="1" thickBot="1" x14ac:dyDescent="0.3">
      <c r="A6" s="512"/>
      <c r="B6" s="507"/>
      <c r="C6" s="505"/>
      <c r="D6" s="53" t="s">
        <v>528</v>
      </c>
      <c r="E6" t="str">
        <f>"MRAOC" &amp; $C$3 &amp; "_" &amp;RIGHT(D6,1)</f>
        <v>MRAOC13_4</v>
      </c>
      <c r="F6" s="244" t="s">
        <v>1025</v>
      </c>
      <c r="G6" s="235"/>
      <c r="H6" s="236"/>
      <c r="I6" s="252"/>
      <c r="J6" s="253"/>
      <c r="K6" s="253"/>
      <c r="L6" s="144" t="str">
        <f t="shared" si="2"/>
        <v/>
      </c>
      <c r="M6" s="237"/>
      <c r="N6" s="146" t="str">
        <f t="shared" si="3"/>
        <v>MRAO4_13.IO_AO4</v>
      </c>
      <c r="O6" s="238"/>
      <c r="P6" s="129"/>
      <c r="Q6" s="238"/>
      <c r="R6" s="147" t="str">
        <f t="shared" si="0"/>
        <v/>
      </c>
      <c r="S6" s="238" t="str">
        <f t="shared" si="1"/>
        <v>:NAME</v>
      </c>
      <c r="T6" s="239"/>
      <c r="U6" s="239"/>
      <c r="V6" s="239"/>
      <c r="W6" s="239"/>
      <c r="X6" s="239"/>
      <c r="Y6" s="240"/>
      <c r="Z6" s="239"/>
      <c r="AD6" s="241"/>
      <c r="AE6" s="242"/>
      <c r="AG6" s="265"/>
    </row>
    <row r="7" spans="1:33" ht="15" customHeight="1" thickBot="1" x14ac:dyDescent="0.3">
      <c r="A7" s="510" t="s">
        <v>558</v>
      </c>
      <c r="B7" s="506" t="s">
        <v>178</v>
      </c>
      <c r="C7" s="503">
        <v>14</v>
      </c>
      <c r="D7" s="26" t="s">
        <v>525</v>
      </c>
      <c r="E7" t="str">
        <f>"MRAOC" &amp; $C$7 &amp; "_" &amp;RIGHT(D7,1)</f>
        <v>MRAOC14_1</v>
      </c>
      <c r="F7" s="234" t="s">
        <v>1257</v>
      </c>
      <c r="G7" s="255" t="s">
        <v>1267</v>
      </c>
      <c r="H7" s="256" t="s">
        <v>1324</v>
      </c>
      <c r="I7" s="255" t="s">
        <v>1292</v>
      </c>
      <c r="J7" s="257" t="s">
        <v>1293</v>
      </c>
      <c r="K7" s="257" t="s">
        <v>1323</v>
      </c>
      <c r="L7" s="144" t="str">
        <f t="shared" si="2"/>
        <v>PSDUS0202:BSB:M201:PUM:LET:YB001</v>
      </c>
      <c r="M7" s="245"/>
      <c r="N7" s="246" t="str">
        <f>IF(F7&lt;&gt;"",""&amp;$A$3&amp;"_"&amp;IF($C$7&lt;10,"0"&amp;$C$7,$C$7)&amp;".IO_"&amp;D7,"")</f>
        <v>MRAO4_14.IO_AO1</v>
      </c>
      <c r="O7" s="247"/>
      <c r="P7" s="248"/>
      <c r="Q7" s="247"/>
      <c r="R7" s="249" t="str">
        <f t="shared" si="0"/>
        <v>BSB.M201.PUM.LET.YB001</v>
      </c>
      <c r="S7" s="247" t="str">
        <f t="shared" si="1"/>
        <v>PSDUS0202:BSB:M201:PUM:LET:YB001:NAME</v>
      </c>
      <c r="T7" s="250"/>
      <c r="U7" s="250"/>
      <c r="V7" s="250"/>
      <c r="W7" s="250"/>
      <c r="X7" s="250"/>
      <c r="Y7" s="251"/>
      <c r="Z7" s="250"/>
      <c r="AD7" s="241"/>
      <c r="AE7" s="242"/>
      <c r="AG7" s="265" t="s">
        <v>1358</v>
      </c>
    </row>
    <row r="8" spans="1:33" ht="15" customHeight="1" thickBot="1" x14ac:dyDescent="0.3">
      <c r="A8" s="511"/>
      <c r="B8" s="507"/>
      <c r="C8" s="504"/>
      <c r="D8" s="26" t="s">
        <v>526</v>
      </c>
      <c r="E8" t="str">
        <f>"MRAOC" &amp; $C$7 &amp; "_" &amp;RIGHT(D8,1)</f>
        <v>MRAOC14_2</v>
      </c>
      <c r="F8" s="234" t="s">
        <v>1259</v>
      </c>
      <c r="G8" s="254" t="s">
        <v>1267</v>
      </c>
      <c r="H8" s="252" t="s">
        <v>1325</v>
      </c>
      <c r="I8" s="254" t="s">
        <v>1292</v>
      </c>
      <c r="J8" s="253" t="s">
        <v>1293</v>
      </c>
      <c r="K8" s="253" t="s">
        <v>1323</v>
      </c>
      <c r="L8" s="144" t="str">
        <f t="shared" si="2"/>
        <v>PSDUS0202:BSB:M202:PUM:LET:YB001</v>
      </c>
      <c r="M8" s="237"/>
      <c r="N8" s="246" t="str">
        <f t="shared" ref="N8:N10" si="4">IF(F8&lt;&gt;"",""&amp;$A$3&amp;"_"&amp;IF($C$7&lt;10,"0"&amp;$C$7,$C$7)&amp;".IO_"&amp;D8,"")</f>
        <v>MRAO4_14.IO_AO2</v>
      </c>
      <c r="O8" s="238"/>
      <c r="P8" s="129"/>
      <c r="Q8" s="238"/>
      <c r="R8" s="147" t="str">
        <f t="shared" si="0"/>
        <v>BSB.M202.PUM.LET.YB001</v>
      </c>
      <c r="S8" s="238" t="str">
        <f t="shared" si="1"/>
        <v>PSDUS0202:BSB:M202:PUM:LET:YB001:NAME</v>
      </c>
      <c r="T8" s="239"/>
      <c r="U8" s="239"/>
      <c r="V8" s="239"/>
      <c r="W8" s="239"/>
      <c r="X8" s="239"/>
      <c r="Y8" s="240"/>
      <c r="Z8" s="239"/>
      <c r="AD8" s="241"/>
      <c r="AE8" s="242"/>
      <c r="AG8" s="265" t="s">
        <v>1359</v>
      </c>
    </row>
    <row r="9" spans="1:33" ht="15" customHeight="1" thickBot="1" x14ac:dyDescent="0.3">
      <c r="A9" s="511"/>
      <c r="B9" s="507"/>
      <c r="C9" s="504"/>
      <c r="D9" s="26" t="s">
        <v>527</v>
      </c>
      <c r="E9" t="str">
        <f>"MRAOC" &amp; $C$7 &amp; "_" &amp;RIGHT(D9,1)</f>
        <v>MRAOC14_3</v>
      </c>
      <c r="F9" s="234" t="s">
        <v>1025</v>
      </c>
      <c r="G9" s="254"/>
      <c r="H9" s="252"/>
      <c r="I9" s="254"/>
      <c r="J9" s="253"/>
      <c r="K9" s="253"/>
      <c r="L9" s="144" t="str">
        <f t="shared" si="2"/>
        <v/>
      </c>
      <c r="M9" s="237"/>
      <c r="N9" s="246" t="str">
        <f t="shared" si="4"/>
        <v>MRAO4_14.IO_AO3</v>
      </c>
      <c r="O9" s="238"/>
      <c r="P9" s="129"/>
      <c r="Q9" s="238"/>
      <c r="R9" s="147" t="str">
        <f t="shared" si="0"/>
        <v/>
      </c>
      <c r="S9" s="238" t="str">
        <f t="shared" si="1"/>
        <v>:NAME</v>
      </c>
      <c r="T9" s="239"/>
      <c r="U9" s="239"/>
      <c r="V9" s="239"/>
      <c r="W9" s="239"/>
      <c r="X9" s="239"/>
      <c r="Y9" s="240"/>
      <c r="Z9" s="239"/>
      <c r="AD9" s="241"/>
      <c r="AE9" s="242"/>
      <c r="AG9" s="265"/>
    </row>
    <row r="10" spans="1:33" s="54" customFormat="1" ht="15" customHeight="1" thickBot="1" x14ac:dyDescent="0.3">
      <c r="A10" s="512"/>
      <c r="B10" s="507"/>
      <c r="C10" s="505"/>
      <c r="D10" s="53" t="s">
        <v>528</v>
      </c>
      <c r="E10" t="str">
        <f>"MRAOC" &amp; $C$7 &amp; "_" &amp;RIGHT(D10,1)</f>
        <v>MRAOC14_4</v>
      </c>
      <c r="F10" s="244" t="s">
        <v>1025</v>
      </c>
      <c r="G10" s="254"/>
      <c r="H10" s="252"/>
      <c r="I10" s="254"/>
      <c r="J10" s="253"/>
      <c r="K10" s="253"/>
      <c r="L10" s="144" t="str">
        <f t="shared" si="2"/>
        <v/>
      </c>
      <c r="M10" s="237"/>
      <c r="N10" s="246" t="str">
        <f t="shared" si="4"/>
        <v>MRAO4_14.IO_AO4</v>
      </c>
      <c r="O10" s="238"/>
      <c r="P10" s="129"/>
      <c r="Q10" s="238"/>
      <c r="R10" s="147" t="str">
        <f t="shared" si="0"/>
        <v/>
      </c>
      <c r="S10" s="238" t="str">
        <f t="shared" si="1"/>
        <v>:NAME</v>
      </c>
      <c r="T10" s="239"/>
      <c r="U10" s="239"/>
      <c r="V10" s="239"/>
      <c r="W10" s="239"/>
      <c r="X10" s="239"/>
      <c r="Y10" s="240"/>
      <c r="Z10" s="239"/>
      <c r="AD10" s="241"/>
      <c r="AE10" s="242"/>
      <c r="AG10" s="265"/>
    </row>
    <row r="11" spans="1:33" ht="15" customHeight="1" thickBot="1" x14ac:dyDescent="0.3">
      <c r="A11" s="510" t="s">
        <v>558</v>
      </c>
      <c r="B11" s="506" t="s">
        <v>178</v>
      </c>
      <c r="C11" s="503">
        <v>15</v>
      </c>
      <c r="D11" s="26" t="s">
        <v>525</v>
      </c>
      <c r="E11" t="str">
        <f>"MRAOC" &amp; $C$11 &amp; "_" &amp;RIGHT(D11,1)</f>
        <v>MRAOC15_1</v>
      </c>
      <c r="F11" s="234"/>
      <c r="G11" s="255"/>
      <c r="H11" s="256"/>
      <c r="I11" s="255"/>
      <c r="J11" s="257"/>
      <c r="K11" s="257"/>
      <c r="L11" s="144" t="str">
        <f t="shared" si="2"/>
        <v/>
      </c>
      <c r="M11" s="245"/>
      <c r="N11" s="246" t="str">
        <f>IF(F11&lt;&gt;"",""&amp;$A$3&amp;"_"&amp;IF($C$11&lt;10,"0"&amp;$C$11,$C$11)&amp;".IO_"&amp;D11,"")</f>
        <v/>
      </c>
      <c r="O11" s="247"/>
      <c r="P11" s="248"/>
      <c r="Q11" s="247"/>
      <c r="R11" s="249" t="str">
        <f t="shared" si="0"/>
        <v/>
      </c>
      <c r="S11" s="247" t="str">
        <f t="shared" si="1"/>
        <v>:NAME</v>
      </c>
      <c r="T11" s="250"/>
      <c r="U11" s="250"/>
      <c r="V11" s="250"/>
      <c r="W11" s="250"/>
      <c r="X11" s="250"/>
      <c r="Y11" s="251"/>
      <c r="Z11" s="250"/>
      <c r="AD11" s="241"/>
      <c r="AE11" s="242"/>
      <c r="AG11" s="265"/>
    </row>
    <row r="12" spans="1:33" ht="15" customHeight="1" thickBot="1" x14ac:dyDescent="0.3">
      <c r="A12" s="511"/>
      <c r="B12" s="507"/>
      <c r="C12" s="504"/>
      <c r="D12" s="26" t="s">
        <v>526</v>
      </c>
      <c r="E12" t="str">
        <f>"MRAOC" &amp; $C$11 &amp; "_" &amp;RIGHT(D12,1)</f>
        <v>MRAOC15_2</v>
      </c>
      <c r="F12" s="234"/>
      <c r="G12" s="254"/>
      <c r="H12" s="252"/>
      <c r="I12" s="254"/>
      <c r="J12" s="253"/>
      <c r="K12" s="253"/>
      <c r="L12" s="144" t="str">
        <f t="shared" si="2"/>
        <v/>
      </c>
      <c r="M12" s="237"/>
      <c r="N12" s="246" t="str">
        <f t="shared" ref="N12:N14" si="5">IF(F12&lt;&gt;"",""&amp;$A$3&amp;"_"&amp;IF($C$11&lt;10,"0"&amp;$C$11,$C$11)&amp;".IO_"&amp;D12,"")</f>
        <v/>
      </c>
      <c r="O12" s="238"/>
      <c r="P12" s="129"/>
      <c r="Q12" s="238"/>
      <c r="R12" s="147" t="str">
        <f t="shared" si="0"/>
        <v/>
      </c>
      <c r="S12" s="238" t="str">
        <f t="shared" si="1"/>
        <v>:NAME</v>
      </c>
      <c r="T12" s="239"/>
      <c r="U12" s="239"/>
      <c r="V12" s="239"/>
      <c r="W12" s="239"/>
      <c r="X12" s="239"/>
      <c r="Y12" s="240"/>
      <c r="Z12" s="239"/>
      <c r="AD12" s="241"/>
      <c r="AE12" s="242"/>
      <c r="AG12" s="265"/>
    </row>
    <row r="13" spans="1:33" ht="15" customHeight="1" thickBot="1" x14ac:dyDescent="0.3">
      <c r="A13" s="511"/>
      <c r="B13" s="507"/>
      <c r="C13" s="504"/>
      <c r="D13" s="26" t="s">
        <v>527</v>
      </c>
      <c r="E13" t="str">
        <f>"MRAOC" &amp; $C$11 &amp; "_" &amp;RIGHT(D13,1)</f>
        <v>MRAOC15_3</v>
      </c>
      <c r="F13" s="234"/>
      <c r="G13" s="254"/>
      <c r="H13" s="252"/>
      <c r="I13" s="254"/>
      <c r="J13" s="253"/>
      <c r="K13" s="253"/>
      <c r="L13" s="144" t="str">
        <f t="shared" si="2"/>
        <v/>
      </c>
      <c r="M13" s="237"/>
      <c r="N13" s="246" t="str">
        <f t="shared" si="5"/>
        <v/>
      </c>
      <c r="O13" s="238"/>
      <c r="P13" s="129"/>
      <c r="Q13" s="238"/>
      <c r="R13" s="147" t="str">
        <f t="shared" si="0"/>
        <v/>
      </c>
      <c r="S13" s="238" t="str">
        <f t="shared" si="1"/>
        <v>:NAME</v>
      </c>
      <c r="T13" s="239"/>
      <c r="U13" s="239"/>
      <c r="V13" s="239"/>
      <c r="W13" s="239"/>
      <c r="X13" s="239"/>
      <c r="Y13" s="240"/>
      <c r="Z13" s="239"/>
      <c r="AD13" s="241"/>
      <c r="AE13" s="242"/>
      <c r="AG13" s="265"/>
    </row>
    <row r="14" spans="1:33" s="54" customFormat="1" ht="15" customHeight="1" thickBot="1" x14ac:dyDescent="0.3">
      <c r="A14" s="512"/>
      <c r="B14" s="507"/>
      <c r="C14" s="505"/>
      <c r="D14" s="53" t="s">
        <v>528</v>
      </c>
      <c r="E14" t="str">
        <f>"MRAOC" &amp; $C$11 &amp; "_" &amp;RIGHT(D14,1)</f>
        <v>MRAOC15_4</v>
      </c>
      <c r="F14" s="244"/>
      <c r="G14" s="254"/>
      <c r="H14" s="252"/>
      <c r="I14" s="254"/>
      <c r="J14" s="253"/>
      <c r="K14" s="253"/>
      <c r="L14" s="144" t="str">
        <f t="shared" si="2"/>
        <v/>
      </c>
      <c r="M14" s="237"/>
      <c r="N14" s="246" t="str">
        <f t="shared" si="5"/>
        <v/>
      </c>
      <c r="O14" s="238"/>
      <c r="P14" s="129"/>
      <c r="Q14" s="238"/>
      <c r="R14" s="147" t="str">
        <f>IF(G14&lt;&gt;"",G14&amp;"."&amp;H14&amp;"."&amp;I14&amp;"."&amp;J14&amp;"."&amp;K14,"")</f>
        <v/>
      </c>
      <c r="S14" s="238" t="str">
        <f t="shared" si="1"/>
        <v>:NAME</v>
      </c>
      <c r="T14" s="239"/>
      <c r="U14" s="239"/>
      <c r="V14" s="239"/>
      <c r="W14" s="239"/>
      <c r="X14" s="239"/>
      <c r="Y14" s="240"/>
      <c r="Z14" s="239"/>
      <c r="AD14" s="241"/>
      <c r="AE14" s="242"/>
      <c r="AG14" s="265"/>
    </row>
    <row r="15" spans="1:33" ht="15" customHeight="1" thickBot="1" x14ac:dyDescent="0.3">
      <c r="A15" s="510" t="s">
        <v>558</v>
      </c>
      <c r="B15" s="506" t="s">
        <v>178</v>
      </c>
      <c r="C15" s="503">
        <v>16</v>
      </c>
      <c r="D15" s="26" t="s">
        <v>525</v>
      </c>
      <c r="E15" t="str">
        <f>"MRAOC" &amp; $C$15 &amp; "_" &amp;RIGHT(D15,1)</f>
        <v>MRAOC16_1</v>
      </c>
      <c r="F15" s="234"/>
      <c r="G15" s="255"/>
      <c r="H15" s="256"/>
      <c r="I15" s="255"/>
      <c r="J15" s="257"/>
      <c r="K15" s="257"/>
      <c r="L15" s="144" t="str">
        <f t="shared" si="2"/>
        <v/>
      </c>
      <c r="M15" s="245"/>
      <c r="N15" s="246" t="str">
        <f>IF(F15&lt;&gt;"",""&amp;$A$3&amp;"_"&amp;IF($C$15&lt;10,"0"&amp;$C$15,$C$15)&amp;".IO_"&amp;D15,"")</f>
        <v/>
      </c>
      <c r="O15" s="247"/>
      <c r="P15" s="248"/>
      <c r="Q15" s="247"/>
      <c r="R15" s="249" t="str">
        <f t="shared" ref="R15:R42" si="6">IF(G15&lt;&gt;"",G15&amp;"."&amp;H15&amp;"."&amp;I15&amp;"."&amp;J15&amp;"."&amp;K15,"")</f>
        <v/>
      </c>
      <c r="S15" s="247" t="str">
        <f t="shared" si="1"/>
        <v>:NAME</v>
      </c>
      <c r="T15" s="250"/>
      <c r="U15" s="250"/>
      <c r="V15" s="250"/>
      <c r="W15" s="250"/>
      <c r="X15" s="250"/>
      <c r="Y15" s="251"/>
      <c r="Z15" s="250"/>
      <c r="AD15" s="241"/>
      <c r="AE15" s="242"/>
      <c r="AG15" s="265"/>
    </row>
    <row r="16" spans="1:33" ht="15" customHeight="1" thickBot="1" x14ac:dyDescent="0.3">
      <c r="A16" s="511"/>
      <c r="B16" s="507"/>
      <c r="C16" s="504"/>
      <c r="D16" s="26" t="s">
        <v>526</v>
      </c>
      <c r="E16" t="str">
        <f>"MRAOC" &amp; $C$15 &amp; "_" &amp;RIGHT(D16,1)</f>
        <v>MRAOC16_2</v>
      </c>
      <c r="F16" s="234"/>
      <c r="G16" s="254"/>
      <c r="H16" s="252"/>
      <c r="I16" s="254"/>
      <c r="J16" s="253"/>
      <c r="K16" s="253"/>
      <c r="L16" s="144" t="str">
        <f t="shared" si="2"/>
        <v/>
      </c>
      <c r="M16" s="237"/>
      <c r="N16" s="246" t="str">
        <f t="shared" ref="N16:N18" si="7">IF(F16&lt;&gt;"",""&amp;$A$3&amp;"_"&amp;IF($C$15&lt;10,"0"&amp;$C$15,$C$15)&amp;".IO_"&amp;D16,"")</f>
        <v/>
      </c>
      <c r="O16" s="238"/>
      <c r="P16" s="129"/>
      <c r="Q16" s="238"/>
      <c r="R16" s="147" t="str">
        <f t="shared" si="6"/>
        <v/>
      </c>
      <c r="S16" s="238" t="str">
        <f t="shared" si="1"/>
        <v>:NAME</v>
      </c>
      <c r="T16" s="239"/>
      <c r="U16" s="239"/>
      <c r="V16" s="239"/>
      <c r="W16" s="239"/>
      <c r="X16" s="239"/>
      <c r="Y16" s="240"/>
      <c r="Z16" s="239"/>
      <c r="AD16" s="241"/>
      <c r="AE16" s="242"/>
      <c r="AG16" s="265"/>
    </row>
    <row r="17" spans="1:33" ht="15" customHeight="1" thickBot="1" x14ac:dyDescent="0.3">
      <c r="A17" s="511"/>
      <c r="B17" s="507"/>
      <c r="C17" s="504"/>
      <c r="D17" s="26" t="s">
        <v>527</v>
      </c>
      <c r="E17" t="str">
        <f>"MRAOC" &amp; $C$15 &amp; "_" &amp;RIGHT(D17,1)</f>
        <v>MRAOC16_3</v>
      </c>
      <c r="F17" s="234"/>
      <c r="G17" s="254"/>
      <c r="H17" s="252"/>
      <c r="I17" s="254"/>
      <c r="J17" s="253"/>
      <c r="K17" s="253"/>
      <c r="L17" s="144" t="str">
        <f t="shared" si="2"/>
        <v/>
      </c>
      <c r="M17" s="237"/>
      <c r="N17" s="246" t="str">
        <f t="shared" si="7"/>
        <v/>
      </c>
      <c r="O17" s="238"/>
      <c r="P17" s="129"/>
      <c r="Q17" s="238"/>
      <c r="R17" s="147" t="str">
        <f t="shared" si="6"/>
        <v/>
      </c>
      <c r="S17" s="238" t="str">
        <f t="shared" si="1"/>
        <v>:NAME</v>
      </c>
      <c r="T17" s="239"/>
      <c r="U17" s="239"/>
      <c r="V17" s="239"/>
      <c r="W17" s="239"/>
      <c r="X17" s="239"/>
      <c r="Y17" s="240"/>
      <c r="Z17" s="239"/>
      <c r="AD17" s="241"/>
      <c r="AE17" s="242"/>
      <c r="AG17" s="265"/>
    </row>
    <row r="18" spans="1:33" s="54" customFormat="1" ht="15.75" customHeight="1" thickBot="1" x14ac:dyDescent="0.3">
      <c r="A18" s="512"/>
      <c r="B18" s="507"/>
      <c r="C18" s="505"/>
      <c r="D18" s="53" t="s">
        <v>528</v>
      </c>
      <c r="E18" t="str">
        <f>"MRAOC" &amp; $C$15 &amp; "_" &amp;RIGHT(D18,1)</f>
        <v>MRAOC16_4</v>
      </c>
      <c r="F18" s="244"/>
      <c r="G18" s="254"/>
      <c r="H18" s="252"/>
      <c r="I18" s="254"/>
      <c r="J18" s="253"/>
      <c r="K18" s="253"/>
      <c r="L18" s="144" t="str">
        <f t="shared" si="2"/>
        <v/>
      </c>
      <c r="M18" s="237"/>
      <c r="N18" s="246" t="str">
        <f t="shared" si="7"/>
        <v/>
      </c>
      <c r="O18" s="238"/>
      <c r="P18" s="129"/>
      <c r="Q18" s="238"/>
      <c r="R18" s="147" t="str">
        <f t="shared" si="6"/>
        <v/>
      </c>
      <c r="S18" s="238" t="str">
        <f t="shared" si="1"/>
        <v>:NAME</v>
      </c>
      <c r="T18" s="239"/>
      <c r="U18" s="239"/>
      <c r="V18" s="239"/>
      <c r="W18" s="239"/>
      <c r="X18" s="239"/>
      <c r="Y18" s="240"/>
      <c r="Z18" s="239"/>
      <c r="AD18" s="241"/>
      <c r="AE18" s="242"/>
      <c r="AG18" s="265"/>
    </row>
    <row r="19" spans="1:33" ht="15" customHeight="1" thickBot="1" x14ac:dyDescent="0.3">
      <c r="A19" s="510" t="s">
        <v>558</v>
      </c>
      <c r="B19" s="506" t="s">
        <v>178</v>
      </c>
      <c r="C19" s="503">
        <v>17</v>
      </c>
      <c r="D19" s="26" t="s">
        <v>525</v>
      </c>
      <c r="E19" t="str">
        <f>"MRAOC" &amp; $C$19 &amp; "_" &amp;RIGHT(D19,1)</f>
        <v>MRAOC17_1</v>
      </c>
      <c r="F19" s="234"/>
      <c r="G19" s="255"/>
      <c r="H19" s="256"/>
      <c r="I19" s="255"/>
      <c r="J19" s="257"/>
      <c r="K19" s="257"/>
      <c r="L19" s="144" t="str">
        <f t="shared" si="2"/>
        <v/>
      </c>
      <c r="M19" s="245"/>
      <c r="N19" s="246" t="str">
        <f>IF(F19&lt;&gt;"",""&amp;$A$3&amp;"_"&amp;IF($C$19&lt;10,"0"&amp;$C$19,$C$19)&amp;".IO_"&amp;D19,"")</f>
        <v/>
      </c>
      <c r="O19" s="247"/>
      <c r="P19" s="248"/>
      <c r="Q19" s="247"/>
      <c r="R19" s="249" t="str">
        <f t="shared" si="6"/>
        <v/>
      </c>
      <c r="S19" s="247" t="str">
        <f t="shared" si="1"/>
        <v>:NAME</v>
      </c>
      <c r="T19" s="250"/>
      <c r="U19" s="250"/>
      <c r="V19" s="250"/>
      <c r="W19" s="250"/>
      <c r="X19" s="250"/>
      <c r="Y19" s="251"/>
      <c r="Z19" s="250"/>
      <c r="AD19" s="241"/>
      <c r="AE19" s="242"/>
      <c r="AG19" s="265"/>
    </row>
    <row r="20" spans="1:33" ht="15" customHeight="1" thickBot="1" x14ac:dyDescent="0.3">
      <c r="A20" s="511"/>
      <c r="B20" s="507"/>
      <c r="C20" s="504"/>
      <c r="D20" s="26" t="s">
        <v>526</v>
      </c>
      <c r="E20" t="str">
        <f>"MRAOC" &amp; $C$19 &amp; "_" &amp;RIGHT(D20,1)</f>
        <v>MRAOC17_2</v>
      </c>
      <c r="F20" s="234"/>
      <c r="G20" s="254"/>
      <c r="H20" s="252"/>
      <c r="I20" s="254"/>
      <c r="J20" s="253"/>
      <c r="K20" s="253"/>
      <c r="L20" s="144" t="str">
        <f t="shared" si="2"/>
        <v/>
      </c>
      <c r="M20" s="237"/>
      <c r="N20" s="246" t="str">
        <f t="shared" ref="N20:N22" si="8">IF(F20&lt;&gt;"",""&amp;$A$3&amp;"_"&amp;IF($C$19&lt;10,"0"&amp;$C$19,$C$19)&amp;".IO_"&amp;D20,"")</f>
        <v/>
      </c>
      <c r="O20" s="238"/>
      <c r="P20" s="129"/>
      <c r="Q20" s="238"/>
      <c r="R20" s="147" t="str">
        <f t="shared" si="6"/>
        <v/>
      </c>
      <c r="S20" s="238" t="str">
        <f t="shared" si="1"/>
        <v>:NAME</v>
      </c>
      <c r="T20" s="239"/>
      <c r="U20" s="239"/>
      <c r="V20" s="239"/>
      <c r="W20" s="239"/>
      <c r="X20" s="239"/>
      <c r="Y20" s="240"/>
      <c r="Z20" s="239"/>
      <c r="AD20" s="241"/>
      <c r="AE20" s="242"/>
      <c r="AG20" s="265"/>
    </row>
    <row r="21" spans="1:33" ht="15" customHeight="1" thickBot="1" x14ac:dyDescent="0.3">
      <c r="A21" s="511"/>
      <c r="B21" s="507"/>
      <c r="C21" s="504"/>
      <c r="D21" s="26" t="s">
        <v>527</v>
      </c>
      <c r="E21" t="str">
        <f>"MRAOC" &amp; $C$19 &amp; "_" &amp;RIGHT(D21,1)</f>
        <v>MRAOC17_3</v>
      </c>
      <c r="F21" s="234"/>
      <c r="G21" s="254"/>
      <c r="H21" s="252"/>
      <c r="I21" s="254"/>
      <c r="J21" s="253"/>
      <c r="K21" s="253"/>
      <c r="L21" s="144" t="str">
        <f t="shared" si="2"/>
        <v/>
      </c>
      <c r="M21" s="237"/>
      <c r="N21" s="246" t="str">
        <f t="shared" si="8"/>
        <v/>
      </c>
      <c r="O21" s="238"/>
      <c r="P21" s="129"/>
      <c r="Q21" s="238"/>
      <c r="R21" s="147" t="str">
        <f t="shared" si="6"/>
        <v/>
      </c>
      <c r="S21" s="238" t="str">
        <f t="shared" si="1"/>
        <v>:NAME</v>
      </c>
      <c r="T21" s="239"/>
      <c r="U21" s="239"/>
      <c r="V21" s="239"/>
      <c r="W21" s="239"/>
      <c r="X21" s="239"/>
      <c r="Y21" s="240"/>
      <c r="Z21" s="239"/>
      <c r="AD21" s="241"/>
      <c r="AE21" s="242"/>
      <c r="AG21" s="265"/>
    </row>
    <row r="22" spans="1:33" s="54" customFormat="1" ht="15.75" customHeight="1" thickBot="1" x14ac:dyDescent="0.3">
      <c r="A22" s="512"/>
      <c r="B22" s="507"/>
      <c r="C22" s="505"/>
      <c r="D22" s="53" t="s">
        <v>528</v>
      </c>
      <c r="E22" t="str">
        <f>"MRAOC" &amp; $C$19 &amp; "_" &amp;RIGHT(D22,1)</f>
        <v>MRAOC17_4</v>
      </c>
      <c r="F22" s="244"/>
      <c r="G22" s="254"/>
      <c r="H22" s="252"/>
      <c r="I22" s="254"/>
      <c r="J22" s="253"/>
      <c r="K22" s="253"/>
      <c r="L22" s="144" t="str">
        <f t="shared" si="2"/>
        <v/>
      </c>
      <c r="M22" s="237"/>
      <c r="N22" s="246" t="str">
        <f t="shared" si="8"/>
        <v/>
      </c>
      <c r="O22" s="238"/>
      <c r="P22" s="129"/>
      <c r="Q22" s="238"/>
      <c r="R22" s="147" t="str">
        <f t="shared" si="6"/>
        <v/>
      </c>
      <c r="S22" s="238" t="str">
        <f t="shared" si="1"/>
        <v>:NAME</v>
      </c>
      <c r="T22" s="239"/>
      <c r="U22" s="239"/>
      <c r="V22" s="239"/>
      <c r="W22" s="239"/>
      <c r="X22" s="239"/>
      <c r="Y22" s="240"/>
      <c r="Z22" s="239"/>
      <c r="AD22" s="241"/>
      <c r="AE22" s="242"/>
      <c r="AG22" s="265"/>
    </row>
    <row r="23" spans="1:33" ht="15" customHeight="1" thickBot="1" x14ac:dyDescent="0.3">
      <c r="A23" s="510" t="s">
        <v>558</v>
      </c>
      <c r="B23" s="506" t="s">
        <v>178</v>
      </c>
      <c r="C23" s="503">
        <v>18</v>
      </c>
      <c r="D23" s="26" t="s">
        <v>525</v>
      </c>
      <c r="E23" t="str">
        <f>"MRAOC" &amp; $C$23 &amp; "_" &amp;RIGHT(D23,1)</f>
        <v>MRAOC18_1</v>
      </c>
      <c r="F23" s="234"/>
      <c r="G23" s="255"/>
      <c r="H23" s="256"/>
      <c r="I23" s="255"/>
      <c r="J23" s="257"/>
      <c r="K23" s="257"/>
      <c r="L23" s="144" t="str">
        <f t="shared" si="2"/>
        <v/>
      </c>
      <c r="M23" s="245"/>
      <c r="N23" s="246" t="str">
        <f>IF(F23&lt;&gt;"",""&amp;$A$3&amp;"_"&amp;IF($C$23&lt;10,"0"&amp;$C$23,$C$23)&amp;".IO_"&amp;D23,"")</f>
        <v/>
      </c>
      <c r="O23" s="247"/>
      <c r="P23" s="248"/>
      <c r="Q23" s="247"/>
      <c r="R23" s="249" t="str">
        <f t="shared" si="6"/>
        <v/>
      </c>
      <c r="S23" s="247" t="str">
        <f t="shared" si="1"/>
        <v>:NAME</v>
      </c>
      <c r="T23" s="250"/>
      <c r="U23" s="250"/>
      <c r="V23" s="250"/>
      <c r="W23" s="250"/>
      <c r="X23" s="250"/>
      <c r="Y23" s="251"/>
      <c r="Z23" s="250"/>
      <c r="AD23" s="241"/>
      <c r="AE23" s="242"/>
      <c r="AG23" s="265"/>
    </row>
    <row r="24" spans="1:33" ht="15" customHeight="1" thickBot="1" x14ac:dyDescent="0.3">
      <c r="A24" s="511"/>
      <c r="B24" s="507"/>
      <c r="C24" s="504"/>
      <c r="D24" s="26" t="s">
        <v>526</v>
      </c>
      <c r="E24" t="str">
        <f>"MRAOC" &amp; $C$23 &amp; "_" &amp;RIGHT(D24,1)</f>
        <v>MRAOC18_2</v>
      </c>
      <c r="F24" s="234"/>
      <c r="G24" s="254"/>
      <c r="H24" s="252"/>
      <c r="I24" s="254"/>
      <c r="J24" s="253"/>
      <c r="K24" s="253"/>
      <c r="L24" s="144" t="str">
        <f t="shared" si="2"/>
        <v/>
      </c>
      <c r="M24" s="237"/>
      <c r="N24" s="246" t="str">
        <f t="shared" ref="N24:N26" si="9">IF(F24&lt;&gt;"",""&amp;$A$3&amp;"_"&amp;IF($C$23&lt;10,"0"&amp;$C$23,$C$23)&amp;".IO_"&amp;D24,"")</f>
        <v/>
      </c>
      <c r="O24" s="238"/>
      <c r="P24" s="129"/>
      <c r="Q24" s="238"/>
      <c r="R24" s="147" t="str">
        <f t="shared" si="6"/>
        <v/>
      </c>
      <c r="S24" s="238" t="str">
        <f t="shared" si="1"/>
        <v>:NAME</v>
      </c>
      <c r="T24" s="239"/>
      <c r="U24" s="239"/>
      <c r="V24" s="239"/>
      <c r="W24" s="239"/>
      <c r="X24" s="239"/>
      <c r="Y24" s="240"/>
      <c r="Z24" s="239"/>
      <c r="AD24" s="241"/>
      <c r="AE24" s="242"/>
      <c r="AG24" s="265"/>
    </row>
    <row r="25" spans="1:33" ht="15" customHeight="1" thickBot="1" x14ac:dyDescent="0.3">
      <c r="A25" s="511"/>
      <c r="B25" s="507"/>
      <c r="C25" s="504"/>
      <c r="D25" s="26" t="s">
        <v>527</v>
      </c>
      <c r="E25" t="str">
        <f>"MRAOC" &amp; $C$23 &amp; "_" &amp;RIGHT(D25,1)</f>
        <v>MRAOC18_3</v>
      </c>
      <c r="F25" s="234"/>
      <c r="G25" s="254"/>
      <c r="H25" s="252"/>
      <c r="I25" s="254"/>
      <c r="J25" s="253"/>
      <c r="K25" s="253"/>
      <c r="L25" s="144" t="str">
        <f t="shared" si="2"/>
        <v/>
      </c>
      <c r="M25" s="237"/>
      <c r="N25" s="246" t="str">
        <f t="shared" si="9"/>
        <v/>
      </c>
      <c r="O25" s="238"/>
      <c r="P25" s="129"/>
      <c r="Q25" s="238"/>
      <c r="R25" s="147" t="str">
        <f t="shared" si="6"/>
        <v/>
      </c>
      <c r="S25" s="238" t="str">
        <f t="shared" si="1"/>
        <v>:NAME</v>
      </c>
      <c r="T25" s="239"/>
      <c r="U25" s="239"/>
      <c r="V25" s="239"/>
      <c r="W25" s="239"/>
      <c r="X25" s="239"/>
      <c r="Y25" s="240"/>
      <c r="Z25" s="239"/>
      <c r="AD25" s="241"/>
      <c r="AE25" s="242"/>
      <c r="AG25" s="265"/>
    </row>
    <row r="26" spans="1:33" s="54" customFormat="1" ht="15.75" customHeight="1" thickBot="1" x14ac:dyDescent="0.3">
      <c r="A26" s="512"/>
      <c r="B26" s="507"/>
      <c r="C26" s="505"/>
      <c r="D26" s="53" t="s">
        <v>528</v>
      </c>
      <c r="E26" t="str">
        <f>"MRAOC" &amp; $C$23 &amp; "_" &amp;RIGHT(D26,1)</f>
        <v>MRAOC18_4</v>
      </c>
      <c r="F26" s="244"/>
      <c r="G26" s="254"/>
      <c r="H26" s="252"/>
      <c r="I26" s="254"/>
      <c r="J26" s="253"/>
      <c r="K26" s="253"/>
      <c r="L26" s="144" t="str">
        <f t="shared" si="2"/>
        <v/>
      </c>
      <c r="M26" s="237"/>
      <c r="N26" s="246" t="str">
        <f t="shared" si="9"/>
        <v/>
      </c>
      <c r="O26" s="238"/>
      <c r="P26" s="129"/>
      <c r="Q26" s="238"/>
      <c r="R26" s="147" t="str">
        <f t="shared" si="6"/>
        <v/>
      </c>
      <c r="S26" s="238" t="str">
        <f t="shared" si="1"/>
        <v>:NAME</v>
      </c>
      <c r="T26" s="239"/>
      <c r="U26" s="239"/>
      <c r="V26" s="239"/>
      <c r="W26" s="239"/>
      <c r="X26" s="239"/>
      <c r="Y26" s="240"/>
      <c r="Z26" s="239"/>
      <c r="AD26" s="241"/>
      <c r="AE26" s="242"/>
      <c r="AG26" s="265"/>
    </row>
    <row r="27" spans="1:33" ht="15" customHeight="1" thickBot="1" x14ac:dyDescent="0.3">
      <c r="A27" s="510" t="s">
        <v>558</v>
      </c>
      <c r="B27" s="506" t="s">
        <v>178</v>
      </c>
      <c r="C27" s="503">
        <v>19</v>
      </c>
      <c r="D27" s="26" t="s">
        <v>525</v>
      </c>
      <c r="E27" t="str">
        <f>"MRAOC" &amp; $C$27 &amp; "_" &amp;RIGHT(D27,1)</f>
        <v>MRAOC19_1</v>
      </c>
      <c r="F27" s="234"/>
      <c r="G27" s="255"/>
      <c r="H27" s="256"/>
      <c r="I27" s="255"/>
      <c r="J27" s="257"/>
      <c r="K27" s="257"/>
      <c r="L27" s="144" t="str">
        <f t="shared" si="2"/>
        <v/>
      </c>
      <c r="M27" s="245"/>
      <c r="N27" s="246" t="str">
        <f>IF(F27&lt;&gt;"",""&amp;$A$3&amp;"_"&amp;IF($C$27&lt;10,"0"&amp;$C$27,$C$27)&amp;".IO_"&amp;D27,"")</f>
        <v/>
      </c>
      <c r="O27" s="247"/>
      <c r="P27" s="248"/>
      <c r="Q27" s="247"/>
      <c r="R27" s="249" t="str">
        <f t="shared" si="6"/>
        <v/>
      </c>
      <c r="S27" s="247" t="str">
        <f t="shared" si="1"/>
        <v>:NAME</v>
      </c>
      <c r="T27" s="250"/>
      <c r="U27" s="250"/>
      <c r="V27" s="250"/>
      <c r="W27" s="250"/>
      <c r="X27" s="250"/>
      <c r="Y27" s="251"/>
      <c r="Z27" s="250"/>
      <c r="AD27" s="241"/>
      <c r="AE27" s="242"/>
      <c r="AG27" s="265"/>
    </row>
    <row r="28" spans="1:33" ht="15" customHeight="1" thickBot="1" x14ac:dyDescent="0.3">
      <c r="A28" s="511"/>
      <c r="B28" s="507"/>
      <c r="C28" s="504"/>
      <c r="D28" s="26" t="s">
        <v>526</v>
      </c>
      <c r="E28" t="str">
        <f>"MRAOC" &amp; $C$27 &amp; "_" &amp;RIGHT(D28,1)</f>
        <v>MRAOC19_2</v>
      </c>
      <c r="F28" s="234"/>
      <c r="G28" s="254"/>
      <c r="H28" s="252"/>
      <c r="I28" s="254"/>
      <c r="J28" s="253"/>
      <c r="K28" s="253"/>
      <c r="L28" s="144" t="str">
        <f t="shared" si="2"/>
        <v/>
      </c>
      <c r="M28" s="237"/>
      <c r="N28" s="246" t="str">
        <f t="shared" ref="N28:N30" si="10">IF(F28&lt;&gt;"",""&amp;$A$3&amp;"_"&amp;IF($C$27&lt;10,"0"&amp;$C$27,$C$27)&amp;".IO_"&amp;D28,"")</f>
        <v/>
      </c>
      <c r="O28" s="238"/>
      <c r="P28" s="129"/>
      <c r="Q28" s="238"/>
      <c r="R28" s="147" t="str">
        <f t="shared" si="6"/>
        <v/>
      </c>
      <c r="S28" s="238" t="str">
        <f t="shared" si="1"/>
        <v>:NAME</v>
      </c>
      <c r="T28" s="239"/>
      <c r="U28" s="239"/>
      <c r="V28" s="239"/>
      <c r="W28" s="239"/>
      <c r="X28" s="239"/>
      <c r="Y28" s="240"/>
      <c r="Z28" s="239"/>
      <c r="AD28" s="241"/>
      <c r="AE28" s="242"/>
      <c r="AG28" s="265"/>
    </row>
    <row r="29" spans="1:33" ht="15" customHeight="1" thickBot="1" x14ac:dyDescent="0.3">
      <c r="A29" s="511"/>
      <c r="B29" s="507"/>
      <c r="C29" s="504"/>
      <c r="D29" s="26" t="s">
        <v>527</v>
      </c>
      <c r="E29" t="str">
        <f>"MRAOC" &amp; $C$27 &amp; "_" &amp;RIGHT(D29,1)</f>
        <v>MRAOC19_3</v>
      </c>
      <c r="F29" s="234"/>
      <c r="G29" s="254"/>
      <c r="H29" s="252"/>
      <c r="I29" s="254"/>
      <c r="J29" s="253"/>
      <c r="K29" s="253"/>
      <c r="L29" s="144" t="str">
        <f t="shared" si="2"/>
        <v/>
      </c>
      <c r="M29" s="237"/>
      <c r="N29" s="246" t="str">
        <f t="shared" si="10"/>
        <v/>
      </c>
      <c r="O29" s="238"/>
      <c r="P29" s="129"/>
      <c r="Q29" s="238"/>
      <c r="R29" s="147" t="str">
        <f t="shared" si="6"/>
        <v/>
      </c>
      <c r="S29" s="238" t="str">
        <f t="shared" si="1"/>
        <v>:NAME</v>
      </c>
      <c r="T29" s="239"/>
      <c r="U29" s="239"/>
      <c r="V29" s="239"/>
      <c r="W29" s="239"/>
      <c r="X29" s="239"/>
      <c r="Y29" s="240"/>
      <c r="Z29" s="239"/>
      <c r="AD29" s="241"/>
      <c r="AE29" s="242"/>
      <c r="AG29" s="265"/>
    </row>
    <row r="30" spans="1:33" s="54" customFormat="1" ht="15.75" customHeight="1" thickBot="1" x14ac:dyDescent="0.3">
      <c r="A30" s="512"/>
      <c r="B30" s="507"/>
      <c r="C30" s="505"/>
      <c r="D30" s="53" t="s">
        <v>528</v>
      </c>
      <c r="E30" t="str">
        <f>"MRAOC" &amp; $C$27 &amp; "_" &amp;RIGHT(D30,1)</f>
        <v>MRAOC19_4</v>
      </c>
      <c r="F30" s="244"/>
      <c r="G30" s="254"/>
      <c r="H30" s="252"/>
      <c r="I30" s="254"/>
      <c r="J30" s="253"/>
      <c r="K30" s="253"/>
      <c r="L30" s="144" t="str">
        <f t="shared" si="2"/>
        <v/>
      </c>
      <c r="M30" s="237"/>
      <c r="N30" s="246" t="str">
        <f t="shared" si="10"/>
        <v/>
      </c>
      <c r="O30" s="238"/>
      <c r="P30" s="129"/>
      <c r="Q30" s="238"/>
      <c r="R30" s="147" t="str">
        <f t="shared" si="6"/>
        <v/>
      </c>
      <c r="S30" s="238" t="str">
        <f t="shared" si="1"/>
        <v>:NAME</v>
      </c>
      <c r="T30" s="239"/>
      <c r="U30" s="239"/>
      <c r="V30" s="239"/>
      <c r="W30" s="239"/>
      <c r="X30" s="239"/>
      <c r="Y30" s="240"/>
      <c r="Z30" s="239"/>
      <c r="AD30" s="241"/>
      <c r="AE30" s="242"/>
      <c r="AG30" s="265"/>
    </row>
    <row r="31" spans="1:33" ht="15" customHeight="1" thickBot="1" x14ac:dyDescent="0.3">
      <c r="A31" s="510" t="s">
        <v>558</v>
      </c>
      <c r="B31" s="506" t="s">
        <v>178</v>
      </c>
      <c r="C31" s="503">
        <v>20</v>
      </c>
      <c r="D31" s="26" t="s">
        <v>525</v>
      </c>
      <c r="E31" t="str">
        <f>"MRAOC" &amp; $C$31 &amp; "_" &amp;RIGHT(D31,1)</f>
        <v>MRAOC20_1</v>
      </c>
      <c r="F31" s="234"/>
      <c r="G31" s="255"/>
      <c r="H31" s="256"/>
      <c r="I31" s="255"/>
      <c r="J31" s="257"/>
      <c r="K31" s="257"/>
      <c r="L31" s="144" t="str">
        <f t="shared" si="2"/>
        <v/>
      </c>
      <c r="M31" s="245"/>
      <c r="N31" s="246" t="str">
        <f>IF(F31&lt;&gt;"",""&amp;$A$3&amp;"_"&amp;IF($C$31&lt;10,"0"&amp;$C$31,$C$31)&amp;".IO_"&amp;D31,"")</f>
        <v/>
      </c>
      <c r="O31" s="247"/>
      <c r="P31" s="248"/>
      <c r="Q31" s="247"/>
      <c r="R31" s="249" t="str">
        <f t="shared" si="6"/>
        <v/>
      </c>
      <c r="S31" s="247" t="str">
        <f t="shared" si="1"/>
        <v>:NAME</v>
      </c>
      <c r="T31" s="250"/>
      <c r="U31" s="250"/>
      <c r="V31" s="250"/>
      <c r="W31" s="250"/>
      <c r="X31" s="250"/>
      <c r="Y31" s="251"/>
      <c r="Z31" s="250"/>
      <c r="AD31" s="241"/>
      <c r="AE31" s="242"/>
      <c r="AG31" s="265"/>
    </row>
    <row r="32" spans="1:33" ht="15" customHeight="1" thickBot="1" x14ac:dyDescent="0.3">
      <c r="A32" s="511"/>
      <c r="B32" s="507"/>
      <c r="C32" s="504"/>
      <c r="D32" s="26" t="s">
        <v>526</v>
      </c>
      <c r="E32" t="str">
        <f>"MRAOC" &amp; $C$31 &amp; "_" &amp;RIGHT(D32,1)</f>
        <v>MRAOC20_2</v>
      </c>
      <c r="F32" s="234"/>
      <c r="G32" s="254"/>
      <c r="H32" s="252"/>
      <c r="I32" s="254"/>
      <c r="J32" s="253"/>
      <c r="K32" s="253"/>
      <c r="L32" s="144" t="str">
        <f t="shared" si="2"/>
        <v/>
      </c>
      <c r="M32" s="237"/>
      <c r="N32" s="246" t="str">
        <f t="shared" ref="N32:N34" si="11">IF(F32&lt;&gt;"",""&amp;$A$3&amp;"_"&amp;IF($C$31&lt;10,"0"&amp;$C$31,$C$31)&amp;".IO_"&amp;D32,"")</f>
        <v/>
      </c>
      <c r="O32" s="238"/>
      <c r="P32" s="129"/>
      <c r="Q32" s="238"/>
      <c r="R32" s="147" t="str">
        <f t="shared" si="6"/>
        <v/>
      </c>
      <c r="S32" s="238" t="str">
        <f t="shared" si="1"/>
        <v>:NAME</v>
      </c>
      <c r="T32" s="239"/>
      <c r="U32" s="239"/>
      <c r="V32" s="239"/>
      <c r="W32" s="239"/>
      <c r="X32" s="239"/>
      <c r="Y32" s="240"/>
      <c r="Z32" s="239"/>
      <c r="AD32" s="241"/>
      <c r="AE32" s="242"/>
      <c r="AG32" s="265"/>
    </row>
    <row r="33" spans="1:33" ht="15" customHeight="1" thickBot="1" x14ac:dyDescent="0.3">
      <c r="A33" s="511"/>
      <c r="B33" s="507"/>
      <c r="C33" s="504"/>
      <c r="D33" s="26" t="s">
        <v>527</v>
      </c>
      <c r="E33" t="str">
        <f>"MRAOC" &amp; $C$31 &amp; "_" &amp;RIGHT(D33,1)</f>
        <v>MRAOC20_3</v>
      </c>
      <c r="F33" s="234"/>
      <c r="G33" s="254"/>
      <c r="H33" s="252"/>
      <c r="I33" s="254"/>
      <c r="J33" s="253"/>
      <c r="K33" s="253"/>
      <c r="L33" s="144" t="str">
        <f t="shared" si="2"/>
        <v/>
      </c>
      <c r="M33" s="237"/>
      <c r="N33" s="246" t="str">
        <f t="shared" si="11"/>
        <v/>
      </c>
      <c r="O33" s="238"/>
      <c r="P33" s="129"/>
      <c r="Q33" s="238"/>
      <c r="R33" s="147" t="str">
        <f t="shared" si="6"/>
        <v/>
      </c>
      <c r="S33" s="238" t="str">
        <f t="shared" si="1"/>
        <v>:NAME</v>
      </c>
      <c r="T33" s="239"/>
      <c r="U33" s="239"/>
      <c r="V33" s="239"/>
      <c r="W33" s="239"/>
      <c r="X33" s="239"/>
      <c r="Y33" s="240"/>
      <c r="Z33" s="239"/>
      <c r="AD33" s="241"/>
      <c r="AE33" s="242"/>
      <c r="AG33" s="265"/>
    </row>
    <row r="34" spans="1:33" s="54" customFormat="1" ht="15.75" customHeight="1" thickBot="1" x14ac:dyDescent="0.3">
      <c r="A34" s="512"/>
      <c r="B34" s="507"/>
      <c r="C34" s="505"/>
      <c r="D34" s="53" t="s">
        <v>528</v>
      </c>
      <c r="E34" t="str">
        <f>"MRAOC" &amp; $C$31 &amp; "_" &amp;RIGHT(D34,1)</f>
        <v>MRAOC20_4</v>
      </c>
      <c r="F34" s="244"/>
      <c r="G34" s="254"/>
      <c r="H34" s="252"/>
      <c r="I34" s="254"/>
      <c r="J34" s="253"/>
      <c r="K34" s="253"/>
      <c r="L34" s="144" t="str">
        <f t="shared" si="2"/>
        <v/>
      </c>
      <c r="M34" s="237"/>
      <c r="N34" s="246" t="str">
        <f t="shared" si="11"/>
        <v/>
      </c>
      <c r="O34" s="238"/>
      <c r="P34" s="129"/>
      <c r="Q34" s="238"/>
      <c r="R34" s="147" t="str">
        <f t="shared" si="6"/>
        <v/>
      </c>
      <c r="S34" s="238" t="str">
        <f t="shared" si="1"/>
        <v>:NAME</v>
      </c>
      <c r="T34" s="239"/>
      <c r="U34" s="239"/>
      <c r="V34" s="239"/>
      <c r="W34" s="239"/>
      <c r="X34" s="239"/>
      <c r="Y34" s="240"/>
      <c r="Z34" s="239"/>
      <c r="AD34" s="241"/>
      <c r="AE34" s="242"/>
      <c r="AG34" s="265"/>
    </row>
    <row r="35" spans="1:33" ht="15" customHeight="1" thickBot="1" x14ac:dyDescent="0.3">
      <c r="A35" s="510" t="s">
        <v>558</v>
      </c>
      <c r="B35" s="506" t="s">
        <v>178</v>
      </c>
      <c r="C35" s="503">
        <v>21</v>
      </c>
      <c r="D35" s="26" t="s">
        <v>525</v>
      </c>
      <c r="E35" t="str">
        <f>"MRAOC" &amp; $C$35 &amp; "_" &amp;RIGHT(D35,1)</f>
        <v>MRAOC21_1</v>
      </c>
      <c r="F35" s="234"/>
      <c r="G35" s="255"/>
      <c r="H35" s="256"/>
      <c r="I35" s="255"/>
      <c r="J35" s="257"/>
      <c r="K35" s="257"/>
      <c r="L35" s="144" t="str">
        <f t="shared" si="2"/>
        <v/>
      </c>
      <c r="M35" s="245"/>
      <c r="N35" s="246" t="str">
        <f>IF(F35&lt;&gt;"",""&amp;$A$3&amp;"_"&amp;IF($C$35&lt;10,"0"&amp;$C$35,$C$35)&amp;".IO_"&amp;D35,"")</f>
        <v/>
      </c>
      <c r="O35" s="247"/>
      <c r="P35" s="248"/>
      <c r="Q35" s="247"/>
      <c r="R35" s="249" t="str">
        <f t="shared" si="6"/>
        <v/>
      </c>
      <c r="S35" s="247" t="str">
        <f t="shared" si="1"/>
        <v>:NAME</v>
      </c>
      <c r="T35" s="250"/>
      <c r="U35" s="250"/>
      <c r="V35" s="250"/>
      <c r="W35" s="250"/>
      <c r="X35" s="250"/>
      <c r="Y35" s="251"/>
      <c r="Z35" s="250"/>
      <c r="AD35" s="241"/>
      <c r="AE35" s="242"/>
      <c r="AG35" s="265"/>
    </row>
    <row r="36" spans="1:33" ht="15" customHeight="1" thickBot="1" x14ac:dyDescent="0.3">
      <c r="A36" s="511"/>
      <c r="B36" s="507"/>
      <c r="C36" s="504"/>
      <c r="D36" s="26" t="s">
        <v>526</v>
      </c>
      <c r="E36" t="str">
        <f>"MRAOC" &amp; $C$35 &amp; "_" &amp;RIGHT(D36,1)</f>
        <v>MRAOC21_2</v>
      </c>
      <c r="F36" s="234"/>
      <c r="G36" s="254"/>
      <c r="H36" s="252"/>
      <c r="I36" s="254"/>
      <c r="J36" s="253"/>
      <c r="K36" s="253"/>
      <c r="L36" s="144" t="str">
        <f t="shared" si="2"/>
        <v/>
      </c>
      <c r="M36" s="237"/>
      <c r="N36" s="246" t="str">
        <f t="shared" ref="N36:N38" si="12">IF(F36&lt;&gt;"",""&amp;$A$3&amp;"_"&amp;IF($C$35&lt;10,"0"&amp;$C$35,$C$35)&amp;".IO_"&amp;D36,"")</f>
        <v/>
      </c>
      <c r="O36" s="238"/>
      <c r="P36" s="129"/>
      <c r="Q36" s="238"/>
      <c r="R36" s="147" t="str">
        <f t="shared" si="6"/>
        <v/>
      </c>
      <c r="S36" s="238" t="str">
        <f t="shared" si="1"/>
        <v>:NAME</v>
      </c>
      <c r="T36" s="239"/>
      <c r="U36" s="239"/>
      <c r="V36" s="239"/>
      <c r="W36" s="239"/>
      <c r="X36" s="239"/>
      <c r="Y36" s="240"/>
      <c r="Z36" s="239"/>
      <c r="AD36" s="241"/>
      <c r="AE36" s="242"/>
      <c r="AG36" s="265"/>
    </row>
    <row r="37" spans="1:33" ht="15" customHeight="1" thickBot="1" x14ac:dyDescent="0.3">
      <c r="A37" s="511"/>
      <c r="B37" s="507"/>
      <c r="C37" s="504"/>
      <c r="D37" s="26" t="s">
        <v>527</v>
      </c>
      <c r="E37" t="str">
        <f>"MRAOC" &amp; $C$35 &amp; "_" &amp;RIGHT(D37,1)</f>
        <v>MRAOC21_3</v>
      </c>
      <c r="F37" s="234"/>
      <c r="G37" s="254"/>
      <c r="H37" s="252"/>
      <c r="I37" s="254"/>
      <c r="J37" s="253"/>
      <c r="K37" s="253"/>
      <c r="L37" s="144" t="str">
        <f t="shared" si="2"/>
        <v/>
      </c>
      <c r="M37" s="237"/>
      <c r="N37" s="246" t="str">
        <f t="shared" si="12"/>
        <v/>
      </c>
      <c r="O37" s="238"/>
      <c r="P37" s="129"/>
      <c r="Q37" s="238"/>
      <c r="R37" s="147" t="str">
        <f t="shared" si="6"/>
        <v/>
      </c>
      <c r="S37" s="238" t="str">
        <f t="shared" si="1"/>
        <v>:NAME</v>
      </c>
      <c r="T37" s="239"/>
      <c r="U37" s="239"/>
      <c r="V37" s="239"/>
      <c r="W37" s="239"/>
      <c r="X37" s="239"/>
      <c r="Y37" s="240"/>
      <c r="Z37" s="239"/>
      <c r="AD37" s="241"/>
      <c r="AE37" s="242"/>
      <c r="AG37" s="265"/>
    </row>
    <row r="38" spans="1:33" s="54" customFormat="1" ht="15.75" customHeight="1" thickBot="1" x14ac:dyDescent="0.3">
      <c r="A38" s="512"/>
      <c r="B38" s="507"/>
      <c r="C38" s="505"/>
      <c r="D38" s="53" t="s">
        <v>528</v>
      </c>
      <c r="E38" t="str">
        <f>"MRAOC" &amp; $C$35 &amp; "_" &amp;RIGHT(D38,1)</f>
        <v>MRAOC21_4</v>
      </c>
      <c r="F38" s="244"/>
      <c r="G38" s="254"/>
      <c r="H38" s="252"/>
      <c r="I38" s="254"/>
      <c r="J38" s="253"/>
      <c r="K38" s="253"/>
      <c r="L38" s="144" t="str">
        <f t="shared" si="2"/>
        <v/>
      </c>
      <c r="M38" s="237"/>
      <c r="N38" s="246" t="str">
        <f t="shared" si="12"/>
        <v/>
      </c>
      <c r="O38" s="238"/>
      <c r="P38" s="129"/>
      <c r="Q38" s="238"/>
      <c r="R38" s="147" t="str">
        <f t="shared" si="6"/>
        <v/>
      </c>
      <c r="S38" s="238" t="str">
        <f t="shared" si="1"/>
        <v>:NAME</v>
      </c>
      <c r="T38" s="239"/>
      <c r="U38" s="239"/>
      <c r="V38" s="239"/>
      <c r="W38" s="239"/>
      <c r="X38" s="239"/>
      <c r="Y38" s="240"/>
      <c r="Z38" s="239"/>
      <c r="AD38" s="241"/>
      <c r="AE38" s="242"/>
      <c r="AG38" s="265"/>
    </row>
    <row r="39" spans="1:33" ht="15" customHeight="1" thickBot="1" x14ac:dyDescent="0.3">
      <c r="A39" s="510" t="s">
        <v>558</v>
      </c>
      <c r="B39" s="506" t="s">
        <v>178</v>
      </c>
      <c r="C39" s="503">
        <v>22</v>
      </c>
      <c r="D39" s="26" t="s">
        <v>525</v>
      </c>
      <c r="E39" t="str">
        <f>"MRAOC" &amp; $C$39 &amp; "_" &amp;RIGHT(D39,1)</f>
        <v>MRAOC22_1</v>
      </c>
      <c r="F39" s="234"/>
      <c r="G39" s="255"/>
      <c r="H39" s="256"/>
      <c r="I39" s="255"/>
      <c r="J39" s="257"/>
      <c r="K39" s="257"/>
      <c r="L39" s="144" t="str">
        <f t="shared" si="2"/>
        <v/>
      </c>
      <c r="M39" s="245"/>
      <c r="N39" s="246" t="str">
        <f>IF(F39&lt;&gt;"",""&amp;$A$3&amp;"_"&amp;IF($C$39&lt;10,"0"&amp;$C$39,$C$39)&amp;".IO_"&amp;D39,"")</f>
        <v/>
      </c>
      <c r="O39" s="247"/>
      <c r="P39" s="248"/>
      <c r="Q39" s="247"/>
      <c r="R39" s="249" t="str">
        <f t="shared" si="6"/>
        <v/>
      </c>
      <c r="S39" s="247" t="str">
        <f t="shared" si="1"/>
        <v>:NAME</v>
      </c>
      <c r="T39" s="250"/>
      <c r="U39" s="250"/>
      <c r="V39" s="250"/>
      <c r="W39" s="250"/>
      <c r="X39" s="250"/>
      <c r="Y39" s="251"/>
      <c r="Z39" s="250"/>
      <c r="AD39" s="241"/>
      <c r="AE39" s="242"/>
      <c r="AG39" s="265"/>
    </row>
    <row r="40" spans="1:33" ht="15" customHeight="1" thickBot="1" x14ac:dyDescent="0.3">
      <c r="A40" s="511"/>
      <c r="B40" s="507"/>
      <c r="C40" s="504"/>
      <c r="D40" s="26" t="s">
        <v>526</v>
      </c>
      <c r="E40" t="str">
        <f>"MRAOC" &amp; $C$39 &amp; "_" &amp;RIGHT(D40,1)</f>
        <v>MRAOC22_2</v>
      </c>
      <c r="F40" s="234"/>
      <c r="G40" s="254"/>
      <c r="H40" s="252"/>
      <c r="I40" s="254"/>
      <c r="J40" s="253"/>
      <c r="K40" s="253"/>
      <c r="L40" s="144" t="str">
        <f t="shared" si="2"/>
        <v/>
      </c>
      <c r="M40" s="237"/>
      <c r="N40" s="246" t="str">
        <f t="shared" ref="N40:N43" si="13">IF(F40&lt;&gt;"",""&amp;$A$3&amp;"_"&amp;IF($C$39&lt;10,"0"&amp;$C$39,$C$39)&amp;".IO_"&amp;D40,"")</f>
        <v/>
      </c>
      <c r="O40" s="238"/>
      <c r="P40" s="129"/>
      <c r="Q40" s="238"/>
      <c r="R40" s="147" t="str">
        <f t="shared" si="6"/>
        <v/>
      </c>
      <c r="S40" s="238" t="str">
        <f t="shared" si="1"/>
        <v>:NAME</v>
      </c>
      <c r="T40" s="239"/>
      <c r="U40" s="239"/>
      <c r="V40" s="239"/>
      <c r="W40" s="239"/>
      <c r="X40" s="239"/>
      <c r="Y40" s="240"/>
      <c r="Z40" s="239"/>
      <c r="AD40" s="241"/>
      <c r="AE40" s="242"/>
      <c r="AG40" s="265"/>
    </row>
    <row r="41" spans="1:33" ht="15" customHeight="1" thickBot="1" x14ac:dyDescent="0.3">
      <c r="A41" s="511"/>
      <c r="B41" s="507"/>
      <c r="C41" s="504"/>
      <c r="D41" s="26" t="s">
        <v>527</v>
      </c>
      <c r="E41" t="str">
        <f>"MRAOC" &amp; $C$39 &amp; "_" &amp;RIGHT(D41,1)</f>
        <v>MRAOC22_3</v>
      </c>
      <c r="F41" s="234"/>
      <c r="G41" s="254"/>
      <c r="H41" s="252"/>
      <c r="I41" s="254"/>
      <c r="J41" s="253"/>
      <c r="K41" s="253"/>
      <c r="L41" s="144" t="str">
        <f t="shared" si="2"/>
        <v/>
      </c>
      <c r="M41" s="237"/>
      <c r="N41" s="246" t="str">
        <f t="shared" si="13"/>
        <v/>
      </c>
      <c r="O41" s="238"/>
      <c r="P41" s="129"/>
      <c r="Q41" s="238"/>
      <c r="R41" s="147" t="str">
        <f t="shared" si="6"/>
        <v/>
      </c>
      <c r="S41" s="238" t="str">
        <f t="shared" si="1"/>
        <v>:NAME</v>
      </c>
      <c r="T41" s="239"/>
      <c r="U41" s="239"/>
      <c r="V41" s="239"/>
      <c r="W41" s="239"/>
      <c r="X41" s="239"/>
      <c r="Y41" s="240"/>
      <c r="Z41" s="239"/>
      <c r="AD41" s="241"/>
      <c r="AE41" s="242"/>
      <c r="AG41" s="265"/>
    </row>
    <row r="42" spans="1:33" s="54" customFormat="1" ht="15" customHeight="1" thickBot="1" x14ac:dyDescent="0.3">
      <c r="A42" s="512"/>
      <c r="B42" s="507"/>
      <c r="C42" s="505"/>
      <c r="D42" s="53" t="s">
        <v>528</v>
      </c>
      <c r="E42" t="str">
        <f>"MRAOC" &amp; $C$39 &amp; "_" &amp;RIGHT(D42,1)</f>
        <v>MRAOC22_4</v>
      </c>
      <c r="F42" s="244"/>
      <c r="G42" s="254"/>
      <c r="H42" s="252"/>
      <c r="I42" s="254"/>
      <c r="J42" s="253"/>
      <c r="K42" s="253"/>
      <c r="L42" s="144" t="str">
        <f t="shared" si="2"/>
        <v/>
      </c>
      <c r="M42" s="237"/>
      <c r="N42" s="246" t="str">
        <f t="shared" si="13"/>
        <v/>
      </c>
      <c r="O42" s="238"/>
      <c r="P42" s="129"/>
      <c r="Q42" s="238"/>
      <c r="R42" s="147" t="str">
        <f t="shared" si="6"/>
        <v/>
      </c>
      <c r="S42" s="238" t="str">
        <f t="shared" si="1"/>
        <v>:NAME</v>
      </c>
      <c r="T42" s="239"/>
      <c r="U42" s="239"/>
      <c r="V42" s="239"/>
      <c r="W42" s="239"/>
      <c r="X42" s="239"/>
      <c r="Y42" s="240"/>
      <c r="Z42" s="239"/>
      <c r="AD42" s="241"/>
      <c r="AE42" s="242"/>
      <c r="AG42" s="265"/>
    </row>
    <row r="43" spans="1:33" x14ac:dyDescent="0.25">
      <c r="F43" s="234"/>
      <c r="G43" s="258"/>
      <c r="H43" s="258"/>
      <c r="I43" s="258"/>
      <c r="J43" s="258"/>
      <c r="K43" s="258"/>
      <c r="L43" s="140"/>
      <c r="N43" s="127" t="str">
        <f t="shared" si="13"/>
        <v/>
      </c>
      <c r="O43" s="259"/>
      <c r="P43" s="98"/>
      <c r="Q43" s="259"/>
      <c r="R43" s="100"/>
      <c r="S43" s="259"/>
      <c r="T43" s="259"/>
      <c r="U43" s="260"/>
      <c r="V43" s="260"/>
      <c r="W43" s="260"/>
      <c r="X43" s="260"/>
      <c r="Y43" s="260"/>
      <c r="Z43" s="261"/>
      <c r="AD43" s="262"/>
      <c r="AE43" s="263"/>
      <c r="AG43" s="265"/>
    </row>
  </sheetData>
  <mergeCells count="31">
    <mergeCell ref="A35:A38"/>
    <mergeCell ref="B35:B38"/>
    <mergeCell ref="C35:C38"/>
    <mergeCell ref="A39:A42"/>
    <mergeCell ref="B39:B42"/>
    <mergeCell ref="C39:C42"/>
    <mergeCell ref="A27:A30"/>
    <mergeCell ref="B27:B30"/>
    <mergeCell ref="C27:C30"/>
    <mergeCell ref="A31:A34"/>
    <mergeCell ref="B31:B34"/>
    <mergeCell ref="C31:C34"/>
    <mergeCell ref="A19:A22"/>
    <mergeCell ref="B19:B22"/>
    <mergeCell ref="C19:C22"/>
    <mergeCell ref="A23:A26"/>
    <mergeCell ref="B23:B26"/>
    <mergeCell ref="C23:C26"/>
    <mergeCell ref="A11:A14"/>
    <mergeCell ref="B11:B14"/>
    <mergeCell ref="C11:C14"/>
    <mergeCell ref="A15:A18"/>
    <mergeCell ref="B15:B18"/>
    <mergeCell ref="C15:C18"/>
    <mergeCell ref="A1:E1"/>
    <mergeCell ref="A3:A6"/>
    <mergeCell ref="B3:B6"/>
    <mergeCell ref="C3:C6"/>
    <mergeCell ref="A7:A10"/>
    <mergeCell ref="B7:B10"/>
    <mergeCell ref="C7:C10"/>
  </mergeCells>
  <phoneticPr fontId="18" type="noConversion"/>
  <dataValidations count="4">
    <dataValidation type="list" allowBlank="1" showInputMessage="1" showErrorMessage="1" sqref="Q3:Q42" xr:uid="{CB2070FA-A709-4BCA-9873-EB362D28C42A}">
      <formula1>INDIRECT(M3)</formula1>
    </dataValidation>
    <dataValidation type="list" allowBlank="1" showInputMessage="1" showErrorMessage="1" sqref="M1 M3:M42" xr:uid="{FD67411E-8EA9-40FA-9C92-BB704550A55B}">
      <formula1>Objecte</formula1>
    </dataValidation>
    <dataValidation type="list" allowBlank="1" showInputMessage="1" showErrorMessage="1" sqref="AD3:AD42" xr:uid="{533D4D1D-2664-47A7-838D-6F6CE84D4284}">
      <formula1>INDIRECT(G3)</formula1>
    </dataValidation>
    <dataValidation type="list" allowBlank="1" showInputMessage="1" showErrorMessage="1" sqref="AE3:AE42" xr:uid="{8BFF91C3-722E-4265-9B59-C99D7A666A8B}">
      <formula1>INDIRECT(AD3)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1">
    <tabColor rgb="FF01FFFF"/>
  </sheetPr>
  <dimension ref="A1:AE594"/>
  <sheetViews>
    <sheetView workbookViewId="0">
      <selection activeCell="S41" sqref="S41"/>
    </sheetView>
  </sheetViews>
  <sheetFormatPr baseColWidth="10" defaultRowHeight="15" x14ac:dyDescent="0.25"/>
  <cols>
    <col min="1" max="2" width="5.140625" style="106" bestFit="1" customWidth="1"/>
    <col min="3" max="3" width="6.42578125" style="106" bestFit="1" customWidth="1"/>
    <col min="4" max="4" width="6.42578125" style="139" customWidth="1"/>
    <col min="5" max="5" width="1.85546875" style="102" customWidth="1"/>
    <col min="6" max="6" width="53.140625" style="108" bestFit="1" customWidth="1"/>
    <col min="7" max="7" width="15.28515625" style="108" customWidth="1"/>
    <col min="8" max="8" width="14.140625" style="108" bestFit="1" customWidth="1"/>
    <col min="9" max="9" width="13" style="108" bestFit="1" customWidth="1"/>
    <col min="10" max="10" width="5.28515625" style="108" bestFit="1" customWidth="1"/>
    <col min="11" max="11" width="13.85546875" style="108" customWidth="1"/>
    <col min="12" max="12" width="26.85546875" style="154" customWidth="1"/>
    <col min="13" max="13" width="11.42578125" style="108" customWidth="1"/>
    <col min="14" max="14" width="17.85546875" style="155" customWidth="1"/>
    <col min="15" max="15" width="3" style="108" customWidth="1"/>
    <col min="16" max="16" width="13.42578125" style="156" customWidth="1"/>
    <col min="17" max="17" width="13" style="108" customWidth="1"/>
    <col min="18" max="18" width="18.28515625" style="119" customWidth="1"/>
    <col min="19" max="19" width="32.42578125" style="108" customWidth="1"/>
    <col min="20" max="20" width="11.42578125" style="108" customWidth="1"/>
    <col min="21" max="23" width="11.42578125" style="101" customWidth="1"/>
    <col min="24" max="25" width="11.42578125" style="101"/>
    <col min="26" max="26" width="11.42578125" style="109"/>
    <col min="27" max="27" width="11.42578125" style="106" customWidth="1"/>
    <col min="28" max="29" width="11.42578125" style="101" customWidth="1"/>
    <col min="30" max="30" width="11.42578125" style="141" customWidth="1"/>
    <col min="31" max="31" width="11.42578125" style="142" customWidth="1"/>
    <col min="32" max="16384" width="11.42578125" style="106"/>
  </cols>
  <sheetData>
    <row r="1" spans="1:31" s="114" customFormat="1" ht="30" customHeight="1" x14ac:dyDescent="0.25">
      <c r="E1" s="117"/>
      <c r="F1" s="133" t="s">
        <v>54</v>
      </c>
      <c r="G1" s="157" t="s">
        <v>176</v>
      </c>
      <c r="H1" s="163"/>
      <c r="I1" s="163"/>
      <c r="J1" s="163"/>
      <c r="K1" s="134"/>
      <c r="L1" s="135" t="str">
        <f>"DMS-NAME "</f>
        <v xml:space="preserve">DMS-NAME </v>
      </c>
      <c r="M1" s="136" t="s">
        <v>52</v>
      </c>
      <c r="N1" s="137" t="s">
        <v>60</v>
      </c>
      <c r="O1" s="136"/>
      <c r="P1" s="118" t="s">
        <v>61</v>
      </c>
      <c r="Q1" s="136" t="s">
        <v>144</v>
      </c>
      <c r="R1" s="138" t="s">
        <v>127</v>
      </c>
      <c r="S1" s="121" t="s">
        <v>208</v>
      </c>
      <c r="T1" s="121"/>
      <c r="U1" s="122"/>
      <c r="V1" s="122"/>
      <c r="W1" s="122"/>
      <c r="X1" s="122" t="s">
        <v>46</v>
      </c>
      <c r="Y1" s="122" t="s">
        <v>47</v>
      </c>
      <c r="Z1" s="120" t="s">
        <v>48</v>
      </c>
      <c r="AB1" s="122"/>
      <c r="AC1" s="122"/>
      <c r="AD1" s="123"/>
      <c r="AE1" s="124"/>
    </row>
    <row r="2" spans="1:31" ht="15.75" thickBot="1" x14ac:dyDescent="0.3">
      <c r="A2" s="110" t="s">
        <v>213</v>
      </c>
      <c r="B2" s="110" t="s">
        <v>212</v>
      </c>
      <c r="C2" s="24" t="s">
        <v>210</v>
      </c>
      <c r="D2" s="139" t="s">
        <v>211</v>
      </c>
      <c r="F2" s="103"/>
      <c r="G2" s="104"/>
      <c r="H2" s="104"/>
      <c r="I2" s="104"/>
      <c r="J2" s="104"/>
      <c r="K2" s="104" t="s">
        <v>466</v>
      </c>
      <c r="L2" s="140"/>
      <c r="M2" s="101"/>
      <c r="N2" s="127"/>
      <c r="O2" s="95"/>
      <c r="P2" s="98"/>
      <c r="Q2" s="95"/>
      <c r="R2" s="128"/>
      <c r="S2" s="95"/>
      <c r="T2" s="95"/>
      <c r="U2" s="96"/>
      <c r="V2" s="96"/>
      <c r="W2" s="96"/>
      <c r="X2" s="96"/>
      <c r="Y2" s="96"/>
      <c r="Z2" s="97"/>
    </row>
    <row r="3" spans="1:31" ht="15.75" customHeight="1" x14ac:dyDescent="0.25">
      <c r="A3" s="513" t="s">
        <v>177</v>
      </c>
      <c r="B3" s="513" t="s">
        <v>178</v>
      </c>
      <c r="C3" s="515">
        <v>1</v>
      </c>
      <c r="D3" s="21" t="s">
        <v>179</v>
      </c>
      <c r="F3" s="125" t="s">
        <v>229</v>
      </c>
      <c r="G3" s="158" t="s">
        <v>174</v>
      </c>
      <c r="H3" s="126" t="s">
        <v>175</v>
      </c>
      <c r="I3" s="158" t="s">
        <v>129</v>
      </c>
      <c r="J3" s="143" t="s">
        <v>136</v>
      </c>
      <c r="K3" s="143"/>
      <c r="L3" s="144" t="str">
        <f>IF(G3&lt;&gt;"",$G$1&amp;":"&amp;G3&amp;":"&amp;H3&amp;":"&amp;I3&amp;":"&amp;(IF(K3&lt;&gt;"",J3&amp;":"&amp;K3,J3)),"")</f>
        <v>P063A:L_:RLT01:M01:Y01</v>
      </c>
      <c r="M3" s="145"/>
      <c r="N3" s="146" t="str">
        <f t="shared" ref="N3:N20" si="0">IF(F3&lt;&gt;"",""&amp;$A$3&amp;"_"&amp;IF($C$3&lt;10,"0"&amp;$C$3,$C$3)&amp;".IO_"&amp;K3&amp;IF(K3&lt;&gt;"","_"&amp;D3,D3),"")</f>
        <v>ESCO_01.IO_A00</v>
      </c>
      <c r="O3" s="107"/>
      <c r="P3" s="129"/>
      <c r="Q3" s="107"/>
      <c r="R3" s="147" t="str">
        <f>IF(G3&lt;&gt;"",G3&amp;"."&amp;H3&amp;"."&amp;I3&amp;"."&amp;J3,"")</f>
        <v>L_.RLT01.M01.Y01</v>
      </c>
      <c r="S3" s="107" t="str">
        <f t="shared" ref="S3:S31" si="1">L3&amp;"NAME"</f>
        <v>P063A:L_:RLT01:M01:Y01NAME</v>
      </c>
      <c r="T3" s="130"/>
      <c r="U3" s="130"/>
      <c r="V3" s="130"/>
      <c r="W3" s="130"/>
      <c r="X3" s="130"/>
      <c r="Y3" s="131"/>
      <c r="Z3" s="130"/>
    </row>
    <row r="4" spans="1:31" x14ac:dyDescent="0.25">
      <c r="A4" s="514"/>
      <c r="B4" s="514"/>
      <c r="C4" s="516"/>
      <c r="D4" s="21" t="s">
        <v>180</v>
      </c>
      <c r="F4" s="125" t="s">
        <v>230</v>
      </c>
      <c r="G4" s="158" t="s">
        <v>174</v>
      </c>
      <c r="H4" s="126" t="s">
        <v>175</v>
      </c>
      <c r="I4" s="158" t="s">
        <v>130</v>
      </c>
      <c r="J4" s="143" t="s">
        <v>136</v>
      </c>
      <c r="K4" s="143"/>
      <c r="L4" s="144" t="str">
        <f t="shared" ref="L4:L33" si="2">IF(G4&lt;&gt;"",$G$1&amp;":"&amp;G4&amp;":"&amp;H4&amp;":"&amp;I4&amp;":"&amp;(IF(K4&lt;&gt;"",J4&amp;":"&amp;K4,J4)),"")</f>
        <v>P063A:L_:RLT01:M02:Y01</v>
      </c>
      <c r="M4" s="145"/>
      <c r="N4" s="146" t="str">
        <f t="shared" si="0"/>
        <v>ESCO_01.IO_A01</v>
      </c>
      <c r="O4" s="107"/>
      <c r="P4" s="129"/>
      <c r="Q4" s="107"/>
      <c r="R4" s="147" t="str">
        <f t="shared" ref="R4:R33" si="3">IF(G4&lt;&gt;"",G4&amp;"."&amp;H4&amp;"."&amp;I4&amp;"."&amp;J4,"")</f>
        <v>L_.RLT01.M02.Y01</v>
      </c>
      <c r="S4" s="107" t="str">
        <f t="shared" si="1"/>
        <v>P063A:L_:RLT01:M02:Y01NAME</v>
      </c>
      <c r="T4" s="130"/>
      <c r="U4" s="130"/>
      <c r="V4" s="130"/>
      <c r="W4" s="130"/>
      <c r="X4" s="130"/>
      <c r="Y4" s="131"/>
      <c r="Z4" s="130"/>
    </row>
    <row r="5" spans="1:31" x14ac:dyDescent="0.25">
      <c r="A5" s="514"/>
      <c r="B5" s="514"/>
      <c r="C5" s="516"/>
      <c r="D5" s="21" t="s">
        <v>181</v>
      </c>
      <c r="F5" s="125"/>
      <c r="G5" s="158"/>
      <c r="H5" s="126"/>
      <c r="I5" s="158"/>
      <c r="J5" s="143"/>
      <c r="K5" s="143"/>
      <c r="L5" s="144" t="str">
        <f t="shared" si="2"/>
        <v/>
      </c>
      <c r="M5" s="145"/>
      <c r="N5" s="146" t="str">
        <f t="shared" si="0"/>
        <v/>
      </c>
      <c r="O5" s="107"/>
      <c r="P5" s="129"/>
      <c r="Q5" s="107"/>
      <c r="R5" s="147" t="str">
        <f t="shared" si="3"/>
        <v/>
      </c>
      <c r="S5" s="107" t="str">
        <f t="shared" si="1"/>
        <v>NAME</v>
      </c>
      <c r="T5" s="130"/>
      <c r="U5" s="130"/>
      <c r="V5" s="130"/>
      <c r="W5" s="130"/>
      <c r="X5" s="130"/>
      <c r="Y5" s="131"/>
      <c r="Z5" s="130"/>
    </row>
    <row r="6" spans="1:31" x14ac:dyDescent="0.25">
      <c r="A6" s="514"/>
      <c r="B6" s="514"/>
      <c r="C6" s="516"/>
      <c r="D6" s="21" t="s">
        <v>182</v>
      </c>
      <c r="F6" s="125"/>
      <c r="G6" s="158"/>
      <c r="H6" s="126"/>
      <c r="I6" s="158"/>
      <c r="J6" s="143"/>
      <c r="K6" s="143"/>
      <c r="L6" s="144" t="str">
        <f t="shared" si="2"/>
        <v/>
      </c>
      <c r="M6" s="145"/>
      <c r="N6" s="146" t="str">
        <f t="shared" si="0"/>
        <v/>
      </c>
      <c r="O6" s="107"/>
      <c r="P6" s="129"/>
      <c r="Q6" s="107"/>
      <c r="R6" s="147" t="str">
        <f t="shared" si="3"/>
        <v/>
      </c>
      <c r="S6" s="107" t="str">
        <f t="shared" si="1"/>
        <v>NAME</v>
      </c>
      <c r="T6" s="130"/>
      <c r="U6" s="130"/>
      <c r="V6" s="130"/>
      <c r="W6" s="130"/>
      <c r="X6" s="130"/>
      <c r="Y6" s="131"/>
      <c r="Z6" s="130"/>
    </row>
    <row r="7" spans="1:31" x14ac:dyDescent="0.25">
      <c r="A7" s="514"/>
      <c r="B7" s="514"/>
      <c r="C7" s="516"/>
      <c r="D7" s="21" t="s">
        <v>183</v>
      </c>
      <c r="F7" s="125"/>
      <c r="G7" s="158"/>
      <c r="H7" s="126"/>
      <c r="I7" s="158"/>
      <c r="J7" s="143"/>
      <c r="K7" s="143"/>
      <c r="L7" s="144" t="str">
        <f t="shared" si="2"/>
        <v/>
      </c>
      <c r="M7" s="145"/>
      <c r="N7" s="146" t="str">
        <f t="shared" si="0"/>
        <v/>
      </c>
      <c r="O7" s="107"/>
      <c r="P7" s="129"/>
      <c r="Q7" s="107"/>
      <c r="R7" s="147" t="str">
        <f t="shared" si="3"/>
        <v/>
      </c>
      <c r="S7" s="107" t="str">
        <f t="shared" si="1"/>
        <v>NAME</v>
      </c>
      <c r="T7" s="130"/>
      <c r="U7" s="130"/>
      <c r="V7" s="130"/>
      <c r="W7" s="130"/>
      <c r="X7" s="130"/>
      <c r="Y7" s="131"/>
      <c r="Z7" s="130"/>
    </row>
    <row r="8" spans="1:31" x14ac:dyDescent="0.25">
      <c r="A8" s="514"/>
      <c r="B8" s="514"/>
      <c r="C8" s="516"/>
      <c r="D8" s="21" t="s">
        <v>184</v>
      </c>
      <c r="F8" s="125"/>
      <c r="G8" s="158"/>
      <c r="H8" s="126"/>
      <c r="I8" s="158"/>
      <c r="J8" s="143"/>
      <c r="K8" s="143"/>
      <c r="L8" s="144" t="str">
        <f t="shared" si="2"/>
        <v/>
      </c>
      <c r="M8" s="145"/>
      <c r="N8" s="146" t="str">
        <f t="shared" si="0"/>
        <v/>
      </c>
      <c r="O8" s="107"/>
      <c r="P8" s="129"/>
      <c r="Q8" s="107"/>
      <c r="R8" s="147" t="str">
        <f t="shared" si="3"/>
        <v/>
      </c>
      <c r="S8" s="107" t="str">
        <f t="shared" si="1"/>
        <v>NAME</v>
      </c>
      <c r="T8" s="130"/>
      <c r="U8" s="130"/>
      <c r="V8" s="130"/>
      <c r="W8" s="130"/>
      <c r="X8" s="130"/>
      <c r="Y8" s="131"/>
      <c r="Z8" s="130"/>
    </row>
    <row r="9" spans="1:31" x14ac:dyDescent="0.25">
      <c r="A9" s="514"/>
      <c r="B9" s="514"/>
      <c r="C9" s="516"/>
      <c r="D9" s="21" t="s">
        <v>185</v>
      </c>
      <c r="F9" s="125" t="s">
        <v>231</v>
      </c>
      <c r="G9" s="158" t="s">
        <v>174</v>
      </c>
      <c r="H9" s="126" t="s">
        <v>175</v>
      </c>
      <c r="I9" s="158" t="s">
        <v>136</v>
      </c>
      <c r="J9" s="143" t="s">
        <v>126</v>
      </c>
      <c r="K9" s="143"/>
      <c r="L9" s="144" t="str">
        <f t="shared" si="2"/>
        <v>P063A:L_:RLT01:Y01:SB1</v>
      </c>
      <c r="M9" s="145"/>
      <c r="N9" s="146" t="str">
        <f t="shared" si="0"/>
        <v>ESCO_01.IO_R0</v>
      </c>
      <c r="O9" s="107"/>
      <c r="P9" s="129"/>
      <c r="Q9" s="107"/>
      <c r="R9" s="147" t="str">
        <f t="shared" si="3"/>
        <v>L_.RLT01.Y01.SB1</v>
      </c>
      <c r="S9" s="107" t="str">
        <f t="shared" si="1"/>
        <v>P063A:L_:RLT01:Y01:SB1NAME</v>
      </c>
      <c r="T9" s="130"/>
      <c r="U9" s="130"/>
      <c r="V9" s="130"/>
      <c r="W9" s="130"/>
      <c r="X9" s="130"/>
      <c r="Y9" s="131"/>
      <c r="Z9" s="130"/>
    </row>
    <row r="10" spans="1:31" x14ac:dyDescent="0.25">
      <c r="A10" s="514"/>
      <c r="B10" s="514"/>
      <c r="C10" s="516"/>
      <c r="D10" s="21" t="s">
        <v>186</v>
      </c>
      <c r="F10" s="125" t="s">
        <v>232</v>
      </c>
      <c r="G10" s="158" t="s">
        <v>174</v>
      </c>
      <c r="H10" s="126" t="s">
        <v>175</v>
      </c>
      <c r="I10" s="158" t="s">
        <v>129</v>
      </c>
      <c r="J10" s="143" t="s">
        <v>126</v>
      </c>
      <c r="K10" s="143"/>
      <c r="L10" s="144" t="str">
        <f t="shared" si="2"/>
        <v>P063A:L_:RLT01:M01:SB1</v>
      </c>
      <c r="M10" s="145"/>
      <c r="N10" s="146" t="str">
        <f t="shared" si="0"/>
        <v>ESCO_01.IO_R1</v>
      </c>
      <c r="O10" s="107"/>
      <c r="P10" s="129"/>
      <c r="Q10" s="107"/>
      <c r="R10" s="147" t="str">
        <f t="shared" si="3"/>
        <v>L_.RLT01.M01.SB1</v>
      </c>
      <c r="S10" s="107" t="str">
        <f t="shared" si="1"/>
        <v>P063A:L_:RLT01:M01:SB1NAME</v>
      </c>
      <c r="T10" s="130"/>
      <c r="U10" s="130"/>
      <c r="V10" s="130"/>
      <c r="W10" s="130"/>
      <c r="X10" s="130"/>
      <c r="Y10" s="131"/>
      <c r="Z10" s="130"/>
    </row>
    <row r="11" spans="1:31" x14ac:dyDescent="0.25">
      <c r="A11" s="514"/>
      <c r="B11" s="514"/>
      <c r="C11" s="516"/>
      <c r="D11" s="21" t="s">
        <v>187</v>
      </c>
      <c r="F11" s="125" t="s">
        <v>233</v>
      </c>
      <c r="G11" s="158" t="s">
        <v>174</v>
      </c>
      <c r="H11" s="126" t="s">
        <v>175</v>
      </c>
      <c r="I11" s="158" t="s">
        <v>130</v>
      </c>
      <c r="J11" s="143" t="s">
        <v>126</v>
      </c>
      <c r="K11" s="143"/>
      <c r="L11" s="144" t="str">
        <f t="shared" si="2"/>
        <v>P063A:L_:RLT01:M02:SB1</v>
      </c>
      <c r="M11" s="145"/>
      <c r="N11" s="146" t="str">
        <f t="shared" si="0"/>
        <v>ESCO_01.IO_R2</v>
      </c>
      <c r="O11" s="107"/>
      <c r="P11" s="129"/>
      <c r="Q11" s="107"/>
      <c r="R11" s="147" t="str">
        <f t="shared" si="3"/>
        <v>L_.RLT01.M02.SB1</v>
      </c>
      <c r="S11" s="107" t="str">
        <f t="shared" si="1"/>
        <v>P063A:L_:RLT01:M02:SB1NAME</v>
      </c>
      <c r="T11" s="130"/>
      <c r="U11" s="130"/>
      <c r="V11" s="130"/>
      <c r="W11" s="130"/>
      <c r="X11" s="130"/>
      <c r="Y11" s="131"/>
      <c r="Z11" s="130"/>
    </row>
    <row r="12" spans="1:31" x14ac:dyDescent="0.25">
      <c r="A12" s="514"/>
      <c r="B12" s="514"/>
      <c r="C12" s="516"/>
      <c r="D12" s="21" t="s">
        <v>188</v>
      </c>
      <c r="F12" s="125" t="s">
        <v>234</v>
      </c>
      <c r="G12" s="158" t="s">
        <v>174</v>
      </c>
      <c r="H12" s="126" t="s">
        <v>175</v>
      </c>
      <c r="I12" s="158" t="s">
        <v>235</v>
      </c>
      <c r="J12" s="143" t="s">
        <v>126</v>
      </c>
      <c r="K12" s="143"/>
      <c r="L12" s="144" t="str">
        <f t="shared" si="2"/>
        <v>P063A:L_:RLT01:Y02:SB1</v>
      </c>
      <c r="M12" s="145"/>
      <c r="N12" s="146" t="str">
        <f t="shared" si="0"/>
        <v>ESCO_01.IO_R3</v>
      </c>
      <c r="O12" s="107"/>
      <c r="P12" s="129"/>
      <c r="Q12" s="107"/>
      <c r="R12" s="147" t="str">
        <f t="shared" si="3"/>
        <v>L_.RLT01.Y02.SB1</v>
      </c>
      <c r="S12" s="107" t="str">
        <f t="shared" si="1"/>
        <v>P063A:L_:RLT01:Y02:SB1NAME</v>
      </c>
      <c r="T12" s="130"/>
      <c r="U12" s="130"/>
      <c r="V12" s="130"/>
      <c r="W12" s="130"/>
      <c r="X12" s="130"/>
      <c r="Y12" s="131"/>
      <c r="Z12" s="130"/>
    </row>
    <row r="13" spans="1:31" x14ac:dyDescent="0.25">
      <c r="A13" s="514"/>
      <c r="B13" s="514"/>
      <c r="C13" s="516"/>
      <c r="D13" s="21" t="s">
        <v>189</v>
      </c>
      <c r="F13" s="125" t="s">
        <v>236</v>
      </c>
      <c r="G13" s="158" t="s">
        <v>174</v>
      </c>
      <c r="H13" s="126" t="s">
        <v>175</v>
      </c>
      <c r="I13" s="158" t="s">
        <v>132</v>
      </c>
      <c r="J13" s="143" t="s">
        <v>126</v>
      </c>
      <c r="K13" s="143"/>
      <c r="L13" s="144" t="str">
        <f t="shared" si="2"/>
        <v>P063A:L_:RLT01:SM1:SB1</v>
      </c>
      <c r="M13" s="145"/>
      <c r="N13" s="146" t="str">
        <f t="shared" si="0"/>
        <v>ESCO_01.IO_R4</v>
      </c>
      <c r="O13" s="107"/>
      <c r="P13" s="129"/>
      <c r="Q13" s="107"/>
      <c r="R13" s="147" t="str">
        <f t="shared" si="3"/>
        <v>L_.RLT01.SM1.SB1</v>
      </c>
      <c r="S13" s="107" t="str">
        <f t="shared" si="1"/>
        <v>P063A:L_:RLT01:SM1:SB1NAME</v>
      </c>
      <c r="T13" s="130"/>
      <c r="U13" s="130"/>
      <c r="V13" s="130"/>
      <c r="W13" s="130"/>
      <c r="X13" s="130"/>
      <c r="Y13" s="131"/>
      <c r="Z13" s="130"/>
    </row>
    <row r="14" spans="1:31" x14ac:dyDescent="0.25">
      <c r="A14" s="514"/>
      <c r="B14" s="514"/>
      <c r="C14" s="516"/>
      <c r="D14" s="21" t="s">
        <v>190</v>
      </c>
      <c r="F14" s="125"/>
      <c r="G14" s="158"/>
      <c r="H14" s="126"/>
      <c r="I14" s="158"/>
      <c r="J14" s="143"/>
      <c r="K14" s="143"/>
      <c r="L14" s="144" t="str">
        <f t="shared" si="2"/>
        <v/>
      </c>
      <c r="M14" s="145"/>
      <c r="N14" s="146" t="str">
        <f t="shared" si="0"/>
        <v/>
      </c>
      <c r="O14" s="107"/>
      <c r="P14" s="129"/>
      <c r="Q14" s="107"/>
      <c r="R14" s="147" t="str">
        <f t="shared" si="3"/>
        <v/>
      </c>
      <c r="S14" s="107" t="str">
        <f t="shared" si="1"/>
        <v>NAME</v>
      </c>
      <c r="T14" s="130"/>
      <c r="U14" s="130"/>
      <c r="V14" s="130"/>
      <c r="W14" s="130"/>
      <c r="X14" s="130"/>
      <c r="Y14" s="131"/>
      <c r="Z14" s="130"/>
    </row>
    <row r="15" spans="1:31" x14ac:dyDescent="0.25">
      <c r="A15" s="514"/>
      <c r="B15" s="514"/>
      <c r="C15" s="516"/>
      <c r="D15" s="21" t="s">
        <v>191</v>
      </c>
      <c r="F15" s="125"/>
      <c r="G15" s="158"/>
      <c r="H15" s="126"/>
      <c r="I15" s="158"/>
      <c r="J15" s="143"/>
      <c r="K15" s="143"/>
      <c r="L15" s="144" t="str">
        <f t="shared" si="2"/>
        <v/>
      </c>
      <c r="M15" s="145"/>
      <c r="N15" s="146" t="str">
        <f t="shared" si="0"/>
        <v/>
      </c>
      <c r="O15" s="107"/>
      <c r="P15" s="129"/>
      <c r="Q15" s="107"/>
      <c r="R15" s="147" t="str">
        <f t="shared" si="3"/>
        <v/>
      </c>
      <c r="S15" s="107" t="str">
        <f t="shared" si="1"/>
        <v>NAME</v>
      </c>
      <c r="T15" s="130"/>
      <c r="U15" s="130"/>
      <c r="V15" s="130"/>
      <c r="W15" s="130"/>
      <c r="X15" s="130"/>
      <c r="Y15" s="131"/>
      <c r="Z15" s="130"/>
    </row>
    <row r="16" spans="1:31" x14ac:dyDescent="0.25">
      <c r="A16" s="514"/>
      <c r="B16" s="514"/>
      <c r="C16" s="516"/>
      <c r="D16" s="21" t="s">
        <v>192</v>
      </c>
      <c r="F16" s="148" t="s">
        <v>209</v>
      </c>
      <c r="G16" s="158" t="s">
        <v>174</v>
      </c>
      <c r="H16" s="126" t="s">
        <v>175</v>
      </c>
      <c r="I16" s="158" t="s">
        <v>138</v>
      </c>
      <c r="J16" s="143" t="s">
        <v>137</v>
      </c>
      <c r="K16" s="143" t="s">
        <v>465</v>
      </c>
      <c r="L16" s="144" t="str">
        <f t="shared" si="2"/>
        <v>P063A:L_:RLT01:B01:MW1:T3</v>
      </c>
      <c r="M16" s="145"/>
      <c r="N16" s="146" t="str">
        <f t="shared" si="0"/>
        <v>ESCO_01.IO_T3_XI0</v>
      </c>
      <c r="O16" s="107"/>
      <c r="P16" s="129"/>
      <c r="Q16" s="107"/>
      <c r="R16" s="147" t="str">
        <f t="shared" si="3"/>
        <v>L_.RLT01.B01.MW1</v>
      </c>
      <c r="S16" s="107" t="str">
        <f t="shared" si="1"/>
        <v>P063A:L_:RLT01:B01:MW1:T3NAME</v>
      </c>
      <c r="T16" s="130"/>
      <c r="U16" s="130"/>
      <c r="V16" s="130"/>
      <c r="W16" s="130"/>
      <c r="X16" s="130"/>
      <c r="Y16" s="131"/>
      <c r="Z16" s="130"/>
    </row>
    <row r="17" spans="1:26" x14ac:dyDescent="0.25">
      <c r="A17" s="514"/>
      <c r="B17" s="514"/>
      <c r="C17" s="516"/>
      <c r="D17" s="21" t="s">
        <v>193</v>
      </c>
      <c r="F17" s="148" t="s">
        <v>214</v>
      </c>
      <c r="G17" s="158" t="s">
        <v>174</v>
      </c>
      <c r="H17" s="126" t="s">
        <v>175</v>
      </c>
      <c r="I17" s="158" t="s">
        <v>139</v>
      </c>
      <c r="J17" s="143" t="s">
        <v>137</v>
      </c>
      <c r="K17" s="143" t="s">
        <v>465</v>
      </c>
      <c r="L17" s="144" t="str">
        <f t="shared" si="2"/>
        <v>P063A:L_:RLT01:B02:MW1:T3</v>
      </c>
      <c r="M17" s="145"/>
      <c r="N17" s="146" t="str">
        <f t="shared" si="0"/>
        <v>ESCO_01.IO_T3_XI1</v>
      </c>
      <c r="O17" s="107"/>
      <c r="P17" s="129"/>
      <c r="Q17" s="107"/>
      <c r="R17" s="147" t="str">
        <f t="shared" si="3"/>
        <v>L_.RLT01.B02.MW1</v>
      </c>
      <c r="S17" s="107" t="str">
        <f t="shared" si="1"/>
        <v>P063A:L_:RLT01:B02:MW1:T3NAME</v>
      </c>
      <c r="T17" s="130"/>
      <c r="U17" s="130"/>
      <c r="V17" s="130"/>
      <c r="W17" s="130"/>
      <c r="X17" s="130"/>
      <c r="Y17" s="131"/>
      <c r="Z17" s="130"/>
    </row>
    <row r="18" spans="1:26" x14ac:dyDescent="0.25">
      <c r="A18" s="514"/>
      <c r="B18" s="514"/>
      <c r="C18" s="516"/>
      <c r="D18" s="21" t="s">
        <v>194</v>
      </c>
      <c r="F18" s="148" t="s">
        <v>472</v>
      </c>
      <c r="G18" s="158" t="s">
        <v>174</v>
      </c>
      <c r="H18" s="126" t="s">
        <v>175</v>
      </c>
      <c r="I18" s="158" t="s">
        <v>140</v>
      </c>
      <c r="J18" s="143" t="s">
        <v>137</v>
      </c>
      <c r="K18" s="143" t="s">
        <v>465</v>
      </c>
      <c r="L18" s="144" t="str">
        <f t="shared" si="2"/>
        <v>P063A:L_:RLT01:B03:MW1:T3</v>
      </c>
      <c r="M18" s="145"/>
      <c r="N18" s="146" t="str">
        <f t="shared" si="0"/>
        <v>ESCO_01.IO_T3_XI2</v>
      </c>
      <c r="O18" s="107"/>
      <c r="P18" s="129"/>
      <c r="Q18" s="107"/>
      <c r="R18" s="147" t="str">
        <f t="shared" si="3"/>
        <v>L_.RLT01.B03.MW1</v>
      </c>
      <c r="S18" s="107" t="str">
        <f t="shared" si="1"/>
        <v>P063A:L_:RLT01:B03:MW1:T3NAME</v>
      </c>
      <c r="T18" s="130"/>
      <c r="U18" s="130"/>
      <c r="V18" s="130"/>
      <c r="W18" s="130"/>
      <c r="X18" s="130"/>
      <c r="Y18" s="131"/>
      <c r="Z18" s="130"/>
    </row>
    <row r="19" spans="1:26" x14ac:dyDescent="0.25">
      <c r="A19" s="514"/>
      <c r="B19" s="514"/>
      <c r="C19" s="516"/>
      <c r="D19" s="21" t="s">
        <v>195</v>
      </c>
      <c r="F19" s="148" t="s">
        <v>215</v>
      </c>
      <c r="G19" s="158" t="s">
        <v>174</v>
      </c>
      <c r="H19" s="126" t="s">
        <v>175</v>
      </c>
      <c r="I19" s="158" t="s">
        <v>141</v>
      </c>
      <c r="J19" s="143" t="s">
        <v>137</v>
      </c>
      <c r="K19" s="143" t="s">
        <v>465</v>
      </c>
      <c r="L19" s="144" t="str">
        <f t="shared" si="2"/>
        <v>P063A:L_:RLT01:B04:MW1:T3</v>
      </c>
      <c r="M19" s="145"/>
      <c r="N19" s="146" t="str">
        <f t="shared" si="0"/>
        <v>ESCO_01.IO_T3_XI3</v>
      </c>
      <c r="O19" s="107"/>
      <c r="P19" s="129"/>
      <c r="Q19" s="107"/>
      <c r="R19" s="147" t="str">
        <f t="shared" si="3"/>
        <v>L_.RLT01.B04.MW1</v>
      </c>
      <c r="S19" s="107" t="str">
        <f t="shared" si="1"/>
        <v>P063A:L_:RLT01:B04:MW1:T3NAME</v>
      </c>
      <c r="T19" s="130"/>
      <c r="U19" s="130"/>
      <c r="V19" s="130"/>
      <c r="W19" s="130"/>
      <c r="X19" s="130"/>
      <c r="Y19" s="131"/>
      <c r="Z19" s="130"/>
    </row>
    <row r="20" spans="1:26" x14ac:dyDescent="0.25">
      <c r="A20" s="514"/>
      <c r="B20" s="514"/>
      <c r="C20" s="516"/>
      <c r="D20" s="21" t="s">
        <v>196</v>
      </c>
      <c r="F20" s="148" t="s">
        <v>216</v>
      </c>
      <c r="G20" s="158" t="s">
        <v>174</v>
      </c>
      <c r="H20" s="126" t="s">
        <v>175</v>
      </c>
      <c r="I20" s="158" t="s">
        <v>142</v>
      </c>
      <c r="J20" s="143" t="s">
        <v>137</v>
      </c>
      <c r="K20" s="143" t="s">
        <v>465</v>
      </c>
      <c r="L20" s="144" t="str">
        <f t="shared" si="2"/>
        <v>P063A:L_:RLT01:B05:MW1:T3</v>
      </c>
      <c r="M20" s="145"/>
      <c r="N20" s="146" t="str">
        <f t="shared" si="0"/>
        <v>ESCO_01.IO_T3_XI4</v>
      </c>
      <c r="O20" s="107"/>
      <c r="P20" s="129"/>
      <c r="Q20" s="107"/>
      <c r="R20" s="147" t="str">
        <f t="shared" si="3"/>
        <v>L_.RLT01.B05.MW1</v>
      </c>
      <c r="S20" s="107" t="str">
        <f t="shared" si="1"/>
        <v>P063A:L_:RLT01:B05:MW1:T3NAME</v>
      </c>
      <c r="T20" s="130"/>
      <c r="U20" s="130"/>
      <c r="V20" s="130"/>
      <c r="W20" s="130"/>
      <c r="X20" s="130"/>
      <c r="Y20" s="131"/>
      <c r="Z20" s="130"/>
    </row>
    <row r="21" spans="1:26" x14ac:dyDescent="0.25">
      <c r="A21" s="514"/>
      <c r="B21" s="514"/>
      <c r="C21" s="516"/>
      <c r="D21" s="21" t="s">
        <v>197</v>
      </c>
      <c r="F21" s="125" t="s">
        <v>217</v>
      </c>
      <c r="G21" s="158" t="s">
        <v>174</v>
      </c>
      <c r="H21" s="126" t="s">
        <v>175</v>
      </c>
      <c r="I21" s="158" t="s">
        <v>143</v>
      </c>
      <c r="J21" s="143" t="s">
        <v>137</v>
      </c>
      <c r="K21" s="143"/>
      <c r="L21" s="144" t="str">
        <f t="shared" si="2"/>
        <v>P063A:L_:RLT01:B06:MW1</v>
      </c>
      <c r="M21" s="145"/>
      <c r="N21" s="146" t="str">
        <f>IF(F21&lt;&gt;"",""&amp;$A$3&amp;"_"&amp;IF($C$3&lt;10,"0"&amp;$C$3,$C$3)&amp;".IO_"&amp;K21&amp;IF(K21&lt;&gt;"","_"&amp;D21,D21),"")</f>
        <v>ESCO_01.IO_XI5</v>
      </c>
      <c r="O21" s="107"/>
      <c r="P21" s="129"/>
      <c r="Q21" s="107"/>
      <c r="R21" s="147" t="str">
        <f t="shared" si="3"/>
        <v>L_.RLT01.B06.MW1</v>
      </c>
      <c r="S21" s="107" t="str">
        <f t="shared" si="1"/>
        <v>P063A:L_:RLT01:B06:MW1NAME</v>
      </c>
      <c r="T21" s="130"/>
      <c r="U21" s="130"/>
      <c r="V21" s="130"/>
      <c r="W21" s="130"/>
      <c r="X21" s="130"/>
      <c r="Y21" s="131"/>
      <c r="Z21" s="130"/>
    </row>
    <row r="22" spans="1:26" x14ac:dyDescent="0.25">
      <c r="A22" s="514"/>
      <c r="B22" s="514"/>
      <c r="C22" s="516"/>
      <c r="D22" s="21" t="s">
        <v>198</v>
      </c>
      <c r="F22" s="125"/>
      <c r="G22" s="158"/>
      <c r="H22" s="126"/>
      <c r="I22" s="158"/>
      <c r="J22" s="143"/>
      <c r="K22" s="143"/>
      <c r="L22" s="144" t="str">
        <f t="shared" si="2"/>
        <v/>
      </c>
      <c r="M22" s="145"/>
      <c r="N22" s="146" t="str">
        <f t="shared" ref="N22:N31" si="4">IF(F22&lt;&gt;"",""&amp;$A$3&amp;"_"&amp;IF($C$3&lt;10,"0"&amp;$C$3,$C$3)&amp;".IO_"&amp;K22&amp;IF(K22&lt;&gt;"","_"&amp;D22,D22),"")</f>
        <v/>
      </c>
      <c r="O22" s="107"/>
      <c r="P22" s="129"/>
      <c r="Q22" s="107"/>
      <c r="R22" s="147" t="str">
        <f t="shared" si="3"/>
        <v/>
      </c>
      <c r="S22" s="107" t="str">
        <f t="shared" si="1"/>
        <v>NAME</v>
      </c>
      <c r="T22" s="130"/>
      <c r="U22" s="130"/>
      <c r="V22" s="130"/>
      <c r="W22" s="130"/>
      <c r="X22" s="130"/>
      <c r="Y22" s="131"/>
      <c r="Z22" s="130"/>
    </row>
    <row r="23" spans="1:26" x14ac:dyDescent="0.25">
      <c r="A23" s="514"/>
      <c r="B23" s="514"/>
      <c r="C23" s="516"/>
      <c r="D23" s="21" t="s">
        <v>199</v>
      </c>
      <c r="F23" s="125"/>
      <c r="G23" s="158"/>
      <c r="H23" s="126"/>
      <c r="I23" s="158"/>
      <c r="J23" s="143"/>
      <c r="K23" s="143"/>
      <c r="L23" s="144" t="str">
        <f t="shared" si="2"/>
        <v/>
      </c>
      <c r="M23" s="145"/>
      <c r="N23" s="146" t="str">
        <f t="shared" si="4"/>
        <v/>
      </c>
      <c r="O23" s="107"/>
      <c r="P23" s="129"/>
      <c r="Q23" s="107"/>
      <c r="R23" s="147" t="str">
        <f t="shared" si="3"/>
        <v/>
      </c>
      <c r="S23" s="107" t="str">
        <f t="shared" si="1"/>
        <v>NAME</v>
      </c>
      <c r="T23" s="130"/>
      <c r="U23" s="130"/>
      <c r="V23" s="130"/>
      <c r="W23" s="130"/>
      <c r="X23" s="130"/>
      <c r="Y23" s="131"/>
      <c r="Z23" s="130"/>
    </row>
    <row r="24" spans="1:26" x14ac:dyDescent="0.25">
      <c r="A24" s="514"/>
      <c r="B24" s="514"/>
      <c r="C24" s="516"/>
      <c r="D24" s="21" t="s">
        <v>200</v>
      </c>
      <c r="F24" s="125" t="s">
        <v>218</v>
      </c>
      <c r="G24" s="158" t="s">
        <v>174</v>
      </c>
      <c r="H24" s="126" t="s">
        <v>175</v>
      </c>
      <c r="I24" s="158" t="s">
        <v>129</v>
      </c>
      <c r="J24" s="143" t="s">
        <v>132</v>
      </c>
      <c r="K24" s="143"/>
      <c r="L24" s="144" t="str">
        <f t="shared" si="2"/>
        <v>P063A:L_:RLT01:M01:SM1</v>
      </c>
      <c r="M24" s="145"/>
      <c r="N24" s="146" t="str">
        <f t="shared" si="4"/>
        <v>ESCO_01.IO_DI0</v>
      </c>
      <c r="O24" s="107"/>
      <c r="P24" s="129"/>
      <c r="Q24" s="107"/>
      <c r="R24" s="147" t="str">
        <f t="shared" si="3"/>
        <v>L_.RLT01.M01.SM1</v>
      </c>
      <c r="S24" s="107" t="str">
        <f t="shared" si="1"/>
        <v>P063A:L_:RLT01:M01:SM1NAME</v>
      </c>
      <c r="T24" s="130"/>
      <c r="U24" s="130"/>
      <c r="V24" s="130"/>
      <c r="W24" s="130"/>
      <c r="X24" s="130"/>
      <c r="Y24" s="131"/>
      <c r="Z24" s="130"/>
    </row>
    <row r="25" spans="1:26" x14ac:dyDescent="0.25">
      <c r="A25" s="514"/>
      <c r="B25" s="514"/>
      <c r="C25" s="516"/>
      <c r="D25" s="21" t="s">
        <v>201</v>
      </c>
      <c r="F25" s="125" t="s">
        <v>219</v>
      </c>
      <c r="G25" s="158" t="s">
        <v>174</v>
      </c>
      <c r="H25" s="126" t="s">
        <v>175</v>
      </c>
      <c r="I25" s="158" t="s">
        <v>130</v>
      </c>
      <c r="J25" s="143" t="s">
        <v>132</v>
      </c>
      <c r="K25" s="143"/>
      <c r="L25" s="144" t="str">
        <f t="shared" si="2"/>
        <v>P063A:L_:RLT01:M02:SM1</v>
      </c>
      <c r="M25" s="145"/>
      <c r="N25" s="146" t="str">
        <f t="shared" si="4"/>
        <v>ESCO_01.IO_DI1</v>
      </c>
      <c r="O25" s="107"/>
      <c r="P25" s="129"/>
      <c r="Q25" s="107"/>
      <c r="R25" s="147" t="str">
        <f t="shared" si="3"/>
        <v>L_.RLT01.M02.SM1</v>
      </c>
      <c r="S25" s="107" t="str">
        <f t="shared" si="1"/>
        <v>P063A:L_:RLT01:M02:SM1NAME</v>
      </c>
      <c r="T25" s="130"/>
      <c r="U25" s="130"/>
      <c r="V25" s="130"/>
      <c r="W25" s="130"/>
      <c r="X25" s="130"/>
      <c r="Y25" s="131"/>
      <c r="Z25" s="130"/>
    </row>
    <row r="26" spans="1:26" x14ac:dyDescent="0.25">
      <c r="A26" s="514"/>
      <c r="B26" s="514"/>
      <c r="C26" s="516"/>
      <c r="D26" s="21" t="s">
        <v>202</v>
      </c>
      <c r="F26" s="125" t="s">
        <v>221</v>
      </c>
      <c r="G26" s="158" t="s">
        <v>174</v>
      </c>
      <c r="H26" s="126" t="s">
        <v>175</v>
      </c>
      <c r="I26" s="158" t="s">
        <v>220</v>
      </c>
      <c r="J26" s="143" t="s">
        <v>133</v>
      </c>
      <c r="K26" s="143"/>
      <c r="L26" s="144" t="str">
        <f t="shared" si="2"/>
        <v>P063A:L_:RLT01:T01:RM1</v>
      </c>
      <c r="M26" s="145"/>
      <c r="N26" s="146" t="str">
        <f t="shared" si="4"/>
        <v>ESCO_01.IO_DI2</v>
      </c>
      <c r="O26" s="107"/>
      <c r="P26" s="129"/>
      <c r="Q26" s="107"/>
      <c r="R26" s="147" t="str">
        <f t="shared" si="3"/>
        <v>L_.RLT01.T01.RM1</v>
      </c>
      <c r="S26" s="107" t="str">
        <f t="shared" si="1"/>
        <v>P063A:L_:RLT01:T01:RM1NAME</v>
      </c>
      <c r="T26" s="130"/>
      <c r="U26" s="130"/>
      <c r="V26" s="130"/>
      <c r="W26" s="130"/>
      <c r="X26" s="130"/>
      <c r="Y26" s="131"/>
      <c r="Z26" s="130"/>
    </row>
    <row r="27" spans="1:26" x14ac:dyDescent="0.25">
      <c r="A27" s="514"/>
      <c r="B27" s="514"/>
      <c r="C27" s="516"/>
      <c r="D27" s="21" t="s">
        <v>203</v>
      </c>
      <c r="F27" s="125" t="s">
        <v>222</v>
      </c>
      <c r="G27" s="158" t="s">
        <v>174</v>
      </c>
      <c r="H27" s="126" t="s">
        <v>175</v>
      </c>
      <c r="I27" s="158" t="s">
        <v>136</v>
      </c>
      <c r="J27" s="143" t="s">
        <v>133</v>
      </c>
      <c r="K27" s="143"/>
      <c r="L27" s="144" t="str">
        <f t="shared" si="2"/>
        <v>P063A:L_:RLT01:Y01:RM1</v>
      </c>
      <c r="M27" s="145"/>
      <c r="N27" s="146" t="str">
        <f t="shared" si="4"/>
        <v>ESCO_01.IO_DI3</v>
      </c>
      <c r="O27" s="107"/>
      <c r="P27" s="129"/>
      <c r="Q27" s="107"/>
      <c r="R27" s="147" t="str">
        <f t="shared" si="3"/>
        <v>L_.RLT01.Y01.RM1</v>
      </c>
      <c r="S27" s="107" t="str">
        <f t="shared" si="1"/>
        <v>P063A:L_:RLT01:Y01:RM1NAME</v>
      </c>
      <c r="T27" s="130"/>
      <c r="U27" s="130"/>
      <c r="V27" s="130"/>
      <c r="W27" s="130"/>
      <c r="X27" s="130"/>
      <c r="Y27" s="131"/>
      <c r="Z27" s="130"/>
    </row>
    <row r="28" spans="1:26" x14ac:dyDescent="0.25">
      <c r="A28" s="514"/>
      <c r="B28" s="514"/>
      <c r="C28" s="516"/>
      <c r="D28" s="21" t="s">
        <v>204</v>
      </c>
      <c r="F28" s="125" t="s">
        <v>223</v>
      </c>
      <c r="G28" s="158" t="s">
        <v>174</v>
      </c>
      <c r="H28" s="126" t="s">
        <v>175</v>
      </c>
      <c r="I28" s="158" t="s">
        <v>134</v>
      </c>
      <c r="J28" s="143" t="s">
        <v>132</v>
      </c>
      <c r="K28" s="143"/>
      <c r="L28" s="144" t="str">
        <f t="shared" si="2"/>
        <v>P063A:L_:RLT01:F01:SM1</v>
      </c>
      <c r="M28" s="145"/>
      <c r="N28" s="146" t="str">
        <f t="shared" si="4"/>
        <v>ESCO_01.IO_DI4</v>
      </c>
      <c r="O28" s="107"/>
      <c r="P28" s="129"/>
      <c r="Q28" s="107"/>
      <c r="R28" s="147" t="str">
        <f t="shared" si="3"/>
        <v>L_.RLT01.F01.SM1</v>
      </c>
      <c r="S28" s="107" t="str">
        <f t="shared" si="1"/>
        <v>P063A:L_:RLT01:F01:SM1NAME</v>
      </c>
      <c r="T28" s="130"/>
      <c r="U28" s="130"/>
      <c r="V28" s="130"/>
      <c r="W28" s="130"/>
      <c r="X28" s="130"/>
      <c r="Y28" s="131"/>
      <c r="Z28" s="130"/>
    </row>
    <row r="29" spans="1:26" x14ac:dyDescent="0.25">
      <c r="A29" s="514"/>
      <c r="B29" s="514"/>
      <c r="C29" s="516"/>
      <c r="D29" s="21" t="s">
        <v>205</v>
      </c>
      <c r="F29" s="125" t="s">
        <v>224</v>
      </c>
      <c r="G29" s="158" t="s">
        <v>174</v>
      </c>
      <c r="H29" s="126" t="s">
        <v>175</v>
      </c>
      <c r="I29" s="158" t="s">
        <v>135</v>
      </c>
      <c r="J29" s="143" t="s">
        <v>132</v>
      </c>
      <c r="K29" s="143"/>
      <c r="L29" s="144" t="str">
        <f t="shared" si="2"/>
        <v>P063A:L_:RLT01:F02:SM1</v>
      </c>
      <c r="M29" s="145"/>
      <c r="N29" s="146" t="str">
        <f t="shared" si="4"/>
        <v>ESCO_01.IO_DI5</v>
      </c>
      <c r="O29" s="107"/>
      <c r="P29" s="129"/>
      <c r="Q29" s="107"/>
      <c r="R29" s="147" t="str">
        <f t="shared" si="3"/>
        <v>L_.RLT01.F02.SM1</v>
      </c>
      <c r="S29" s="107" t="str">
        <f t="shared" si="1"/>
        <v>P063A:L_:RLT01:F02:SM1NAME</v>
      </c>
      <c r="T29" s="130"/>
      <c r="U29" s="130"/>
      <c r="V29" s="130"/>
      <c r="W29" s="130"/>
      <c r="X29" s="130"/>
      <c r="Y29" s="131"/>
      <c r="Z29" s="130"/>
    </row>
    <row r="30" spans="1:26" x14ac:dyDescent="0.25">
      <c r="A30" s="514"/>
      <c r="B30" s="514"/>
      <c r="C30" s="516"/>
      <c r="D30" s="21" t="s">
        <v>206</v>
      </c>
      <c r="F30" s="125" t="s">
        <v>225</v>
      </c>
      <c r="G30" s="158" t="s">
        <v>174</v>
      </c>
      <c r="H30" s="126" t="s">
        <v>175</v>
      </c>
      <c r="I30" s="158" t="s">
        <v>227</v>
      </c>
      <c r="J30" s="143" t="s">
        <v>132</v>
      </c>
      <c r="K30" s="143"/>
      <c r="L30" s="144" t="str">
        <f t="shared" si="2"/>
        <v>P063A:L_:RLT01:F03:SM1</v>
      </c>
      <c r="M30" s="145"/>
      <c r="N30" s="146" t="str">
        <f t="shared" si="4"/>
        <v>ESCO_01.IO_DI6</v>
      </c>
      <c r="O30" s="107"/>
      <c r="P30" s="129"/>
      <c r="Q30" s="107"/>
      <c r="R30" s="147" t="str">
        <f t="shared" si="3"/>
        <v>L_.RLT01.F03.SM1</v>
      </c>
      <c r="S30" s="107" t="str">
        <f t="shared" si="1"/>
        <v>P063A:L_:RLT01:F03:SM1NAME</v>
      </c>
      <c r="T30" s="130"/>
      <c r="U30" s="130"/>
      <c r="V30" s="130"/>
      <c r="W30" s="130"/>
      <c r="X30" s="130"/>
      <c r="Y30" s="131"/>
      <c r="Z30" s="130"/>
    </row>
    <row r="31" spans="1:26" x14ac:dyDescent="0.25">
      <c r="A31" s="514"/>
      <c r="B31" s="514"/>
      <c r="C31" s="516"/>
      <c r="D31" s="21" t="s">
        <v>207</v>
      </c>
      <c r="F31" s="125" t="s">
        <v>226</v>
      </c>
      <c r="G31" s="158" t="s">
        <v>174</v>
      </c>
      <c r="H31" s="126" t="s">
        <v>175</v>
      </c>
      <c r="I31" s="158" t="s">
        <v>228</v>
      </c>
      <c r="J31" s="143" t="s">
        <v>132</v>
      </c>
      <c r="K31" s="126"/>
      <c r="L31" s="144" t="str">
        <f t="shared" si="2"/>
        <v>P063A:L_:RLT01:F04:SM1</v>
      </c>
      <c r="M31" s="145"/>
      <c r="N31" s="146" t="str">
        <f t="shared" si="4"/>
        <v>ESCO_01.IO_DI7</v>
      </c>
      <c r="O31" s="107"/>
      <c r="P31" s="132"/>
      <c r="Q31" s="107"/>
      <c r="R31" s="147" t="str">
        <f t="shared" si="3"/>
        <v>L_.RLT01.F04.SM1</v>
      </c>
      <c r="S31" s="107" t="str">
        <f t="shared" si="1"/>
        <v>P063A:L_:RLT01:F04:SM1NAME</v>
      </c>
      <c r="T31" s="130"/>
      <c r="U31" s="130"/>
      <c r="V31" s="130"/>
      <c r="W31" s="130"/>
      <c r="X31" s="130"/>
      <c r="Y31" s="107"/>
      <c r="Z31" s="130"/>
    </row>
    <row r="32" spans="1:26" x14ac:dyDescent="0.25">
      <c r="F32" s="103"/>
      <c r="G32" s="104"/>
      <c r="H32" s="104"/>
      <c r="I32" s="104"/>
      <c r="J32" s="104"/>
      <c r="K32" s="104"/>
      <c r="L32" s="140"/>
      <c r="M32" s="101"/>
      <c r="N32" s="149"/>
      <c r="O32" s="95"/>
      <c r="P32" s="98"/>
      <c r="Q32" s="95"/>
      <c r="R32" s="128"/>
      <c r="S32" s="95"/>
      <c r="T32" s="95"/>
      <c r="U32" s="96"/>
      <c r="V32" s="96"/>
      <c r="W32" s="96"/>
      <c r="X32" s="96"/>
      <c r="Y32" s="96"/>
      <c r="Z32" s="97"/>
    </row>
    <row r="33" spans="6:26" x14ac:dyDescent="0.25">
      <c r="F33" s="103"/>
      <c r="G33" s="159" t="s">
        <v>128</v>
      </c>
      <c r="H33" s="104" t="s">
        <v>131</v>
      </c>
      <c r="I33" s="159" t="s">
        <v>473</v>
      </c>
      <c r="J33" s="166" t="s">
        <v>132</v>
      </c>
      <c r="K33" s="104"/>
      <c r="L33" s="144" t="str">
        <f t="shared" si="2"/>
        <v>P063A:A_:A001:MOD:SM1</v>
      </c>
      <c r="M33" s="101"/>
      <c r="N33" s="127"/>
      <c r="O33" s="95"/>
      <c r="P33" s="98"/>
      <c r="Q33" s="95"/>
      <c r="R33" s="147" t="str">
        <f t="shared" si="3"/>
        <v>A_.A001.MOD.SM1</v>
      </c>
      <c r="S33" s="95"/>
      <c r="T33" s="95"/>
      <c r="U33" s="96"/>
      <c r="V33" s="96"/>
      <c r="W33" s="96"/>
      <c r="X33" s="96"/>
      <c r="Y33" s="96"/>
      <c r="Z33" s="97"/>
    </row>
    <row r="34" spans="6:26" x14ac:dyDescent="0.25">
      <c r="F34" s="103"/>
      <c r="G34" s="104"/>
      <c r="H34" s="104"/>
      <c r="I34" s="104"/>
      <c r="J34" s="104"/>
      <c r="K34" s="104"/>
      <c r="L34" s="144" t="str">
        <f t="shared" ref="L34" si="5">IF(G34&lt;&gt;"",$G$1&amp;":"&amp;G34&amp;":"&amp;H34&amp;":"&amp;I34&amp;":"&amp;(IF(K34&lt;&gt;"",J34&amp;":"&amp;K34,J34)),"")</f>
        <v/>
      </c>
      <c r="M34" s="101"/>
      <c r="N34" s="127"/>
      <c r="O34" s="95"/>
      <c r="P34" s="98"/>
      <c r="Q34" s="95"/>
      <c r="R34" s="128"/>
      <c r="S34" s="95"/>
      <c r="T34" s="95"/>
      <c r="U34" s="96"/>
      <c r="V34" s="96"/>
      <c r="W34" s="96"/>
      <c r="X34" s="96"/>
      <c r="Y34" s="96"/>
      <c r="Z34" s="97"/>
    </row>
    <row r="35" spans="6:26" x14ac:dyDescent="0.25">
      <c r="F35" s="150" t="s">
        <v>467</v>
      </c>
      <c r="G35" s="104"/>
      <c r="H35" s="104"/>
      <c r="I35" s="104"/>
      <c r="J35" s="104"/>
      <c r="K35" s="104"/>
      <c r="L35" s="140"/>
      <c r="M35" s="101"/>
      <c r="N35" s="127"/>
      <c r="O35" s="95"/>
      <c r="P35" s="98"/>
      <c r="Q35" s="95"/>
      <c r="R35" s="128"/>
      <c r="S35" s="95"/>
      <c r="T35" s="95"/>
      <c r="U35" s="96"/>
      <c r="V35" s="96"/>
      <c r="W35" s="96"/>
      <c r="X35" s="96"/>
      <c r="Y35" s="96"/>
      <c r="Z35" s="97"/>
    </row>
    <row r="36" spans="6:26" x14ac:dyDescent="0.25">
      <c r="F36" s="150" t="s">
        <v>468</v>
      </c>
      <c r="G36" s="160"/>
      <c r="H36" s="160"/>
      <c r="I36" s="160"/>
      <c r="J36" s="104"/>
      <c r="K36" s="104"/>
      <c r="L36" s="140"/>
      <c r="M36" s="101"/>
      <c r="N36" s="127"/>
      <c r="O36" s="95"/>
      <c r="P36" s="98"/>
      <c r="Q36" s="95"/>
      <c r="R36" s="128"/>
      <c r="S36" s="95"/>
      <c r="T36" s="95"/>
      <c r="U36" s="96"/>
      <c r="V36" s="96"/>
      <c r="W36" s="96"/>
      <c r="X36" s="96"/>
      <c r="Y36" s="96"/>
      <c r="Z36" s="97"/>
    </row>
    <row r="37" spans="6:26" x14ac:dyDescent="0.25">
      <c r="F37" s="150" t="s">
        <v>469</v>
      </c>
      <c r="G37" s="160"/>
      <c r="H37" s="160"/>
      <c r="I37" s="160"/>
      <c r="J37" s="104"/>
      <c r="K37" s="104"/>
      <c r="L37" s="140"/>
      <c r="M37" s="101"/>
      <c r="N37" s="127"/>
      <c r="O37" s="95"/>
      <c r="P37" s="98"/>
      <c r="Q37" s="95"/>
      <c r="R37" s="128"/>
      <c r="S37" s="95"/>
      <c r="T37" s="95"/>
      <c r="U37" s="96"/>
      <c r="V37" s="96"/>
      <c r="W37" s="96"/>
      <c r="X37" s="96"/>
      <c r="Y37" s="96"/>
      <c r="Z37" s="97"/>
    </row>
    <row r="38" spans="6:26" ht="15.75" thickBot="1" x14ac:dyDescent="0.3">
      <c r="F38" s="103" t="s">
        <v>863</v>
      </c>
      <c r="G38" s="104"/>
      <c r="H38" s="104"/>
      <c r="I38" s="104"/>
      <c r="J38" s="104"/>
      <c r="K38" s="104"/>
      <c r="L38" s="140"/>
      <c r="M38" s="105"/>
      <c r="N38" s="127"/>
      <c r="O38" s="95"/>
      <c r="P38" s="98"/>
      <c r="Q38" s="95"/>
      <c r="R38" s="128"/>
      <c r="S38" s="95"/>
      <c r="T38" s="95"/>
      <c r="U38" s="96"/>
      <c r="V38" s="96"/>
      <c r="W38" s="96"/>
      <c r="X38" s="96"/>
      <c r="Y38" s="96"/>
      <c r="Z38" s="97"/>
    </row>
    <row r="39" spans="6:26" ht="26.25" x14ac:dyDescent="0.25">
      <c r="F39" s="151" t="s">
        <v>237</v>
      </c>
      <c r="G39" s="126" t="s">
        <v>238</v>
      </c>
      <c r="H39" s="126" t="s">
        <v>239</v>
      </c>
      <c r="I39" s="126" t="s">
        <v>240</v>
      </c>
      <c r="J39" s="104"/>
      <c r="K39" s="104"/>
      <c r="L39" s="140"/>
      <c r="M39" s="101"/>
      <c r="N39" s="127"/>
      <c r="O39" s="95"/>
      <c r="P39" s="98"/>
      <c r="Q39" s="95"/>
      <c r="R39" s="128"/>
      <c r="S39" s="95"/>
      <c r="T39" s="95"/>
      <c r="U39" s="96"/>
      <c r="V39" s="96"/>
      <c r="W39" s="96"/>
      <c r="X39" s="96"/>
      <c r="Y39" s="96"/>
      <c r="Z39" s="97"/>
    </row>
    <row r="40" spans="6:26" x14ac:dyDescent="0.25">
      <c r="F40" s="151" t="s">
        <v>241</v>
      </c>
      <c r="G40" s="126" t="s">
        <v>242</v>
      </c>
      <c r="H40" s="126" t="s">
        <v>243</v>
      </c>
      <c r="I40" s="126" t="s">
        <v>244</v>
      </c>
      <c r="J40" s="126">
        <v>100</v>
      </c>
      <c r="K40" s="104"/>
      <c r="L40" s="140"/>
      <c r="M40" s="101"/>
      <c r="N40" s="127"/>
      <c r="O40" s="95"/>
      <c r="P40" s="98"/>
      <c r="Q40" s="95"/>
      <c r="R40" s="128"/>
      <c r="S40" s="95"/>
      <c r="T40" s="95"/>
      <c r="U40" s="96"/>
      <c r="V40" s="96"/>
      <c r="W40" s="96"/>
      <c r="X40" s="96"/>
      <c r="Y40" s="96"/>
      <c r="Z40" s="97"/>
    </row>
    <row r="41" spans="6:26" x14ac:dyDescent="0.25">
      <c r="F41" s="151" t="s">
        <v>245</v>
      </c>
      <c r="G41" s="126" t="s">
        <v>246</v>
      </c>
      <c r="H41" s="126" t="s">
        <v>247</v>
      </c>
      <c r="I41" s="126">
        <v>100.1</v>
      </c>
      <c r="J41" s="104"/>
      <c r="K41" s="104"/>
      <c r="L41" s="140"/>
      <c r="M41" s="101"/>
      <c r="N41" s="127"/>
      <c r="O41" s="95"/>
      <c r="P41" s="98"/>
      <c r="Q41" s="95"/>
      <c r="R41" s="128"/>
      <c r="S41" s="95"/>
      <c r="T41" s="95"/>
      <c r="U41" s="96"/>
      <c r="V41" s="96"/>
      <c r="W41" s="96"/>
      <c r="X41" s="96"/>
      <c r="Y41" s="96"/>
      <c r="Z41" s="97"/>
    </row>
    <row r="42" spans="6:26" x14ac:dyDescent="0.25">
      <c r="F42" s="151" t="s">
        <v>248</v>
      </c>
      <c r="G42" s="126" t="s">
        <v>249</v>
      </c>
      <c r="H42" s="126" t="s">
        <v>250</v>
      </c>
      <c r="I42" s="126">
        <v>100.2</v>
      </c>
      <c r="J42" s="104"/>
      <c r="K42" s="104"/>
      <c r="L42" s="140"/>
      <c r="M42" s="101"/>
      <c r="N42" s="127"/>
      <c r="O42" s="95"/>
      <c r="P42" s="98"/>
      <c r="Q42" s="95"/>
      <c r="R42" s="128"/>
      <c r="S42" s="95"/>
      <c r="T42" s="95"/>
      <c r="U42" s="96"/>
      <c r="V42" s="96"/>
      <c r="W42" s="96"/>
      <c r="X42" s="96"/>
      <c r="Y42" s="96"/>
      <c r="Z42" s="97"/>
    </row>
    <row r="43" spans="6:26" x14ac:dyDescent="0.25">
      <c r="F43" s="151" t="s">
        <v>251</v>
      </c>
      <c r="G43" s="126" t="s">
        <v>252</v>
      </c>
      <c r="H43" s="126" t="s">
        <v>253</v>
      </c>
      <c r="I43" s="126">
        <v>100.3</v>
      </c>
      <c r="J43" s="104"/>
      <c r="K43" s="104"/>
      <c r="L43" s="140"/>
      <c r="M43" s="101"/>
      <c r="N43" s="127"/>
      <c r="O43" s="95"/>
      <c r="P43" s="98"/>
      <c r="Q43" s="95"/>
      <c r="R43" s="128"/>
      <c r="S43" s="95"/>
      <c r="T43" s="95"/>
      <c r="U43" s="96"/>
      <c r="V43" s="96"/>
      <c r="W43" s="96"/>
      <c r="X43" s="96"/>
      <c r="Y43" s="96"/>
      <c r="Z43" s="97"/>
    </row>
    <row r="44" spans="6:26" x14ac:dyDescent="0.25">
      <c r="F44" s="151" t="s">
        <v>254</v>
      </c>
      <c r="G44" s="126" t="s">
        <v>255</v>
      </c>
      <c r="H44" s="126" t="s">
        <v>256</v>
      </c>
      <c r="I44" s="126">
        <v>100.4</v>
      </c>
      <c r="J44" s="104"/>
      <c r="K44" s="104"/>
      <c r="L44" s="140"/>
      <c r="M44" s="101"/>
      <c r="N44" s="127"/>
      <c r="O44" s="95"/>
      <c r="P44" s="98"/>
      <c r="Q44" s="95"/>
      <c r="R44" s="128"/>
      <c r="S44" s="95"/>
      <c r="T44" s="95"/>
      <c r="U44" s="96"/>
      <c r="V44" s="96"/>
      <c r="W44" s="96"/>
      <c r="X44" s="96"/>
      <c r="Y44" s="96"/>
      <c r="Z44" s="97"/>
    </row>
    <row r="45" spans="6:26" x14ac:dyDescent="0.25">
      <c r="F45" s="151" t="s">
        <v>257</v>
      </c>
      <c r="G45" s="126" t="s">
        <v>258</v>
      </c>
      <c r="H45" s="126" t="s">
        <v>259</v>
      </c>
      <c r="I45" s="126">
        <v>100.5</v>
      </c>
      <c r="J45" s="104"/>
      <c r="K45" s="104"/>
      <c r="L45" s="140"/>
      <c r="M45" s="101"/>
      <c r="N45" s="127"/>
      <c r="O45" s="95"/>
      <c r="P45" s="98"/>
      <c r="Q45" s="95"/>
      <c r="R45" s="128"/>
      <c r="S45" s="95"/>
      <c r="T45" s="95"/>
      <c r="U45" s="96"/>
      <c r="V45" s="96"/>
      <c r="W45" s="96"/>
      <c r="X45" s="96"/>
      <c r="Y45" s="96"/>
      <c r="Z45" s="97"/>
    </row>
    <row r="46" spans="6:26" x14ac:dyDescent="0.25">
      <c r="F46" s="151" t="s">
        <v>260</v>
      </c>
      <c r="G46" s="126" t="s">
        <v>261</v>
      </c>
      <c r="H46" s="126" t="s">
        <v>262</v>
      </c>
      <c r="I46" s="126">
        <v>100.6</v>
      </c>
      <c r="J46" s="104"/>
      <c r="K46" s="104"/>
      <c r="L46" s="140"/>
      <c r="M46" s="101"/>
      <c r="N46" s="127"/>
      <c r="O46" s="95"/>
      <c r="P46" s="98"/>
      <c r="Q46" s="95"/>
      <c r="R46" s="128"/>
      <c r="S46" s="95"/>
      <c r="T46" s="95"/>
      <c r="U46" s="96"/>
      <c r="V46" s="96"/>
      <c r="W46" s="96"/>
      <c r="X46" s="96"/>
      <c r="Y46" s="96"/>
      <c r="Z46" s="97"/>
    </row>
    <row r="47" spans="6:26" x14ac:dyDescent="0.25">
      <c r="F47" s="151" t="s">
        <v>263</v>
      </c>
      <c r="G47" s="126" t="s">
        <v>264</v>
      </c>
      <c r="H47" s="126" t="s">
        <v>265</v>
      </c>
      <c r="I47" s="126">
        <v>100.7</v>
      </c>
      <c r="J47" s="104"/>
      <c r="K47" s="104"/>
      <c r="L47" s="140"/>
      <c r="M47" s="101"/>
      <c r="N47" s="127"/>
      <c r="O47" s="95"/>
      <c r="P47" s="98"/>
      <c r="Q47" s="95"/>
      <c r="R47" s="128"/>
      <c r="S47" s="95"/>
      <c r="T47" s="95"/>
      <c r="U47" s="96"/>
      <c r="V47" s="96"/>
      <c r="W47" s="96"/>
      <c r="X47" s="96"/>
      <c r="Y47" s="96"/>
      <c r="Z47" s="97"/>
    </row>
    <row r="48" spans="6:26" x14ac:dyDescent="0.25">
      <c r="F48" s="151" t="s">
        <v>266</v>
      </c>
      <c r="G48" s="126" t="s">
        <v>267</v>
      </c>
      <c r="H48" s="126" t="s">
        <v>268</v>
      </c>
      <c r="I48" s="126" t="s">
        <v>269</v>
      </c>
      <c r="J48" s="126">
        <v>100</v>
      </c>
      <c r="K48" s="104"/>
      <c r="L48" s="140"/>
      <c r="M48" s="101"/>
      <c r="N48" s="127"/>
      <c r="O48" s="95"/>
      <c r="P48" s="98"/>
      <c r="Q48" s="95"/>
      <c r="R48" s="128"/>
      <c r="S48" s="95"/>
      <c r="T48" s="95"/>
      <c r="U48" s="96"/>
      <c r="V48" s="96"/>
      <c r="W48" s="96"/>
      <c r="X48" s="96"/>
      <c r="Y48" s="96"/>
      <c r="Z48" s="97"/>
    </row>
    <row r="49" spans="6:26" x14ac:dyDescent="0.25">
      <c r="F49" s="151" t="s">
        <v>270</v>
      </c>
      <c r="G49" s="126" t="s">
        <v>267</v>
      </c>
      <c r="H49" s="126" t="s">
        <v>268</v>
      </c>
      <c r="I49" s="126" t="s">
        <v>271</v>
      </c>
      <c r="J49" s="126" t="s">
        <v>272</v>
      </c>
      <c r="K49" s="104"/>
      <c r="L49" s="140"/>
      <c r="M49" s="101"/>
      <c r="N49" s="127"/>
      <c r="O49" s="95"/>
      <c r="P49" s="98"/>
      <c r="Q49" s="95"/>
      <c r="R49" s="128"/>
      <c r="S49" s="95"/>
      <c r="T49" s="95"/>
      <c r="U49" s="96"/>
      <c r="V49" s="96"/>
      <c r="W49" s="96"/>
      <c r="X49" s="96"/>
      <c r="Y49" s="96"/>
      <c r="Z49" s="97"/>
    </row>
    <row r="50" spans="6:26" x14ac:dyDescent="0.25">
      <c r="F50" s="103"/>
      <c r="G50" s="104"/>
      <c r="H50" s="104"/>
      <c r="I50" s="104"/>
      <c r="J50" s="104"/>
      <c r="K50" s="104"/>
      <c r="L50" s="140"/>
      <c r="M50" s="101"/>
      <c r="N50" s="127"/>
      <c r="O50" s="95"/>
      <c r="P50" s="98"/>
      <c r="Q50" s="95"/>
      <c r="R50" s="128"/>
      <c r="S50" s="95"/>
      <c r="T50" s="95"/>
      <c r="U50" s="96"/>
      <c r="V50" s="96"/>
      <c r="W50" s="96"/>
      <c r="X50" s="96"/>
      <c r="Y50" s="96"/>
      <c r="Z50" s="97"/>
    </row>
    <row r="51" spans="6:26" x14ac:dyDescent="0.25">
      <c r="F51" s="103" t="s">
        <v>371</v>
      </c>
      <c r="G51" s="104"/>
      <c r="H51" s="104"/>
      <c r="I51" s="104"/>
      <c r="J51" s="104"/>
      <c r="K51" s="104"/>
      <c r="L51" s="140"/>
      <c r="M51" s="101"/>
      <c r="N51" s="127"/>
      <c r="O51" s="95"/>
      <c r="P51" s="98"/>
      <c r="Q51" s="95"/>
      <c r="R51" s="128"/>
      <c r="S51" s="95"/>
      <c r="T51" s="95"/>
      <c r="U51" s="96"/>
      <c r="V51" s="96"/>
      <c r="W51" s="96"/>
      <c r="X51" s="96"/>
      <c r="Y51" s="96"/>
      <c r="Z51" s="97"/>
    </row>
    <row r="52" spans="6:26" x14ac:dyDescent="0.25">
      <c r="F52" s="103" t="s">
        <v>372</v>
      </c>
      <c r="G52" s="104"/>
      <c r="H52" s="104"/>
      <c r="I52" s="104"/>
      <c r="J52" s="104"/>
      <c r="K52" s="104"/>
      <c r="L52" s="140"/>
      <c r="M52" s="101"/>
      <c r="N52" s="127"/>
      <c r="O52" s="95"/>
      <c r="P52" s="98"/>
      <c r="Q52" s="95"/>
      <c r="R52" s="128"/>
      <c r="S52" s="95"/>
      <c r="T52" s="95"/>
      <c r="U52" s="96"/>
      <c r="V52" s="96"/>
      <c r="W52" s="96"/>
      <c r="X52" s="96"/>
      <c r="Y52" s="96"/>
      <c r="Z52" s="97"/>
    </row>
    <row r="53" spans="6:26" x14ac:dyDescent="0.25">
      <c r="F53" s="151" t="s">
        <v>273</v>
      </c>
      <c r="G53" s="104"/>
      <c r="H53" s="104"/>
      <c r="I53" s="104"/>
      <c r="J53" s="104"/>
      <c r="K53" s="104"/>
      <c r="L53" s="140"/>
      <c r="M53" s="101"/>
      <c r="N53" s="127"/>
      <c r="O53" s="95"/>
      <c r="P53" s="98"/>
      <c r="Q53" s="95"/>
      <c r="R53" s="128"/>
      <c r="S53" s="95"/>
      <c r="T53" s="95"/>
      <c r="U53" s="96"/>
      <c r="V53" s="96"/>
      <c r="W53" s="96"/>
      <c r="X53" s="96"/>
      <c r="Y53" s="96"/>
      <c r="Z53" s="97"/>
    </row>
    <row r="54" spans="6:26" x14ac:dyDescent="0.25">
      <c r="F54" s="151" t="s">
        <v>274</v>
      </c>
      <c r="G54" s="126" t="s">
        <v>275</v>
      </c>
      <c r="H54" s="126" t="s">
        <v>276</v>
      </c>
      <c r="I54" s="126" t="s">
        <v>277</v>
      </c>
      <c r="J54" s="126">
        <v>101</v>
      </c>
      <c r="K54" s="104"/>
      <c r="L54" s="140"/>
      <c r="M54" s="101"/>
      <c r="N54" s="127"/>
      <c r="O54" s="95"/>
      <c r="P54" s="98"/>
      <c r="Q54" s="95"/>
      <c r="R54" s="128"/>
      <c r="S54" s="95"/>
      <c r="T54" s="95"/>
      <c r="U54" s="96"/>
      <c r="V54" s="96"/>
      <c r="W54" s="96"/>
      <c r="X54" s="96"/>
      <c r="Y54" s="96"/>
      <c r="Z54" s="97"/>
    </row>
    <row r="55" spans="6:26" x14ac:dyDescent="0.25">
      <c r="F55" s="151" t="s">
        <v>278</v>
      </c>
      <c r="G55" s="126" t="s">
        <v>279</v>
      </c>
      <c r="H55" s="126" t="s">
        <v>280</v>
      </c>
      <c r="I55" s="126">
        <v>102</v>
      </c>
      <c r="J55" s="104"/>
      <c r="K55" s="104"/>
      <c r="L55" s="140"/>
      <c r="M55" s="101"/>
      <c r="N55" s="127"/>
      <c r="O55" s="95"/>
      <c r="P55" s="98"/>
      <c r="Q55" s="95"/>
      <c r="R55" s="128"/>
      <c r="S55" s="95"/>
      <c r="T55" s="95"/>
      <c r="U55" s="96"/>
      <c r="V55" s="96"/>
      <c r="W55" s="96"/>
      <c r="X55" s="96"/>
      <c r="Y55" s="96"/>
      <c r="Z55" s="97"/>
    </row>
    <row r="56" spans="6:26" x14ac:dyDescent="0.25">
      <c r="F56" s="151" t="s">
        <v>281</v>
      </c>
      <c r="G56" s="126" t="s">
        <v>282</v>
      </c>
      <c r="H56" s="126" t="s">
        <v>283</v>
      </c>
      <c r="I56" s="126">
        <v>103</v>
      </c>
      <c r="J56" s="104"/>
      <c r="K56" s="104"/>
      <c r="L56" s="140"/>
      <c r="M56" s="101"/>
      <c r="N56" s="127"/>
      <c r="O56" s="95"/>
      <c r="P56" s="98"/>
      <c r="Q56" s="95"/>
      <c r="R56" s="128"/>
      <c r="S56" s="95"/>
      <c r="T56" s="95"/>
      <c r="U56" s="96"/>
      <c r="V56" s="96"/>
      <c r="W56" s="96"/>
      <c r="X56" s="96"/>
      <c r="Y56" s="96"/>
      <c r="Z56" s="97"/>
    </row>
    <row r="57" spans="6:26" x14ac:dyDescent="0.25">
      <c r="F57" s="151" t="s">
        <v>284</v>
      </c>
      <c r="G57" s="126" t="s">
        <v>285</v>
      </c>
      <c r="H57" s="126" t="s">
        <v>286</v>
      </c>
      <c r="I57" s="126">
        <v>104</v>
      </c>
      <c r="J57" s="104"/>
      <c r="K57" s="104"/>
      <c r="L57" s="140"/>
      <c r="M57" s="101"/>
      <c r="N57" s="127"/>
      <c r="O57" s="95"/>
      <c r="P57" s="98"/>
      <c r="Q57" s="95"/>
      <c r="R57" s="128"/>
      <c r="S57" s="95"/>
      <c r="T57" s="95"/>
      <c r="U57" s="96"/>
      <c r="V57" s="96"/>
      <c r="W57" s="96"/>
      <c r="X57" s="96"/>
      <c r="Y57" s="96"/>
      <c r="Z57" s="97"/>
    </row>
    <row r="58" spans="6:26" x14ac:dyDescent="0.25">
      <c r="F58" s="151" t="s">
        <v>287</v>
      </c>
      <c r="G58" s="126" t="s">
        <v>288</v>
      </c>
      <c r="H58" s="126" t="s">
        <v>289</v>
      </c>
      <c r="I58" s="126">
        <v>105</v>
      </c>
      <c r="J58" s="104"/>
      <c r="K58" s="104"/>
      <c r="L58" s="140"/>
      <c r="M58" s="101"/>
      <c r="N58" s="127"/>
      <c r="O58" s="95"/>
      <c r="P58" s="98"/>
      <c r="Q58" s="95"/>
      <c r="R58" s="128"/>
      <c r="S58" s="95"/>
      <c r="T58" s="95"/>
      <c r="U58" s="96"/>
      <c r="V58" s="96"/>
      <c r="W58" s="96"/>
      <c r="X58" s="96"/>
      <c r="Y58" s="96"/>
      <c r="Z58" s="97"/>
    </row>
    <row r="59" spans="6:26" x14ac:dyDescent="0.25">
      <c r="F59" s="151" t="s">
        <v>290</v>
      </c>
      <c r="G59" s="126" t="s">
        <v>291</v>
      </c>
      <c r="H59" s="126" t="s">
        <v>292</v>
      </c>
      <c r="I59" s="126">
        <v>106</v>
      </c>
      <c r="J59" s="104"/>
      <c r="K59" s="104"/>
      <c r="L59" s="140"/>
      <c r="M59" s="101"/>
      <c r="N59" s="127"/>
      <c r="O59" s="95"/>
      <c r="P59" s="98"/>
      <c r="Q59" s="95"/>
      <c r="R59" s="128"/>
      <c r="S59" s="95"/>
      <c r="T59" s="95"/>
      <c r="U59" s="96"/>
      <c r="V59" s="96"/>
      <c r="W59" s="96"/>
      <c r="X59" s="96"/>
      <c r="Y59" s="96"/>
      <c r="Z59" s="97"/>
    </row>
    <row r="60" spans="6:26" x14ac:dyDescent="0.25">
      <c r="F60" s="151" t="s">
        <v>293</v>
      </c>
      <c r="G60" s="126" t="s">
        <v>294</v>
      </c>
      <c r="H60" s="126" t="s">
        <v>295</v>
      </c>
      <c r="I60" s="126">
        <v>107</v>
      </c>
      <c r="J60" s="104"/>
      <c r="K60" s="104"/>
      <c r="L60" s="140"/>
      <c r="M60" s="101"/>
      <c r="N60" s="127"/>
      <c r="O60" s="95"/>
      <c r="P60" s="98"/>
      <c r="Q60" s="95"/>
      <c r="R60" s="128"/>
      <c r="S60" s="95"/>
      <c r="T60" s="95"/>
      <c r="U60" s="96"/>
      <c r="V60" s="96"/>
      <c r="W60" s="96"/>
      <c r="X60" s="96"/>
      <c r="Y60" s="96"/>
      <c r="Z60" s="97"/>
    </row>
    <row r="61" spans="6:26" x14ac:dyDescent="0.25">
      <c r="F61" s="151" t="s">
        <v>296</v>
      </c>
      <c r="G61" s="126" t="s">
        <v>297</v>
      </c>
      <c r="H61" s="126" t="s">
        <v>298</v>
      </c>
      <c r="I61" s="126">
        <v>108</v>
      </c>
      <c r="J61" s="104"/>
      <c r="K61" s="104"/>
      <c r="L61" s="140"/>
      <c r="M61" s="101"/>
      <c r="N61" s="127"/>
      <c r="O61" s="95"/>
      <c r="P61" s="98"/>
      <c r="Q61" s="95"/>
      <c r="R61" s="128"/>
      <c r="S61" s="95"/>
      <c r="T61" s="95"/>
      <c r="U61" s="96"/>
      <c r="V61" s="96"/>
      <c r="W61" s="96"/>
      <c r="X61" s="96"/>
      <c r="Y61" s="96"/>
      <c r="Z61" s="97"/>
    </row>
    <row r="62" spans="6:26" x14ac:dyDescent="0.25">
      <c r="F62" s="151" t="s">
        <v>299</v>
      </c>
      <c r="G62" s="126" t="s">
        <v>275</v>
      </c>
      <c r="H62" s="126" t="s">
        <v>276</v>
      </c>
      <c r="I62" s="126" t="s">
        <v>300</v>
      </c>
      <c r="J62" s="126">
        <v>109</v>
      </c>
      <c r="K62" s="104"/>
      <c r="L62" s="140"/>
      <c r="M62" s="101"/>
      <c r="N62" s="127"/>
      <c r="O62" s="95"/>
      <c r="P62" s="98"/>
      <c r="Q62" s="95"/>
      <c r="R62" s="128"/>
      <c r="S62" s="95"/>
      <c r="T62" s="95"/>
      <c r="U62" s="96"/>
      <c r="V62" s="96"/>
      <c r="W62" s="96"/>
      <c r="X62" s="96"/>
      <c r="Y62" s="96"/>
      <c r="Z62" s="97"/>
    </row>
    <row r="63" spans="6:26" x14ac:dyDescent="0.25">
      <c r="F63" s="151" t="s">
        <v>278</v>
      </c>
      <c r="G63" s="126" t="s">
        <v>279</v>
      </c>
      <c r="H63" s="126" t="s">
        <v>301</v>
      </c>
      <c r="I63" s="126">
        <v>110</v>
      </c>
      <c r="J63" s="104"/>
      <c r="K63" s="104"/>
      <c r="L63" s="140"/>
      <c r="M63" s="101"/>
      <c r="N63" s="127"/>
      <c r="O63" s="95"/>
      <c r="P63" s="98"/>
      <c r="Q63" s="95"/>
      <c r="R63" s="128"/>
      <c r="S63" s="95"/>
      <c r="T63" s="95"/>
      <c r="U63" s="96"/>
      <c r="V63" s="96"/>
      <c r="W63" s="96"/>
      <c r="X63" s="96"/>
      <c r="Y63" s="96"/>
      <c r="Z63" s="97"/>
    </row>
    <row r="64" spans="6:26" x14ac:dyDescent="0.25">
      <c r="F64" s="151" t="s">
        <v>281</v>
      </c>
      <c r="G64" s="126" t="s">
        <v>282</v>
      </c>
      <c r="H64" s="126" t="s">
        <v>302</v>
      </c>
      <c r="I64" s="126">
        <v>111</v>
      </c>
      <c r="J64" s="104"/>
      <c r="K64" s="104"/>
      <c r="L64" s="140"/>
      <c r="M64" s="101"/>
      <c r="N64" s="127"/>
      <c r="O64" s="95"/>
      <c r="P64" s="98"/>
      <c r="Q64" s="95"/>
      <c r="R64" s="128"/>
      <c r="S64" s="95"/>
      <c r="T64" s="95"/>
      <c r="U64" s="96"/>
      <c r="V64" s="96"/>
      <c r="W64" s="96"/>
      <c r="X64" s="96"/>
      <c r="Y64" s="96"/>
      <c r="Z64" s="97"/>
    </row>
    <row r="65" spans="6:26" x14ac:dyDescent="0.25">
      <c r="F65" s="151" t="s">
        <v>284</v>
      </c>
      <c r="G65" s="126" t="s">
        <v>285</v>
      </c>
      <c r="H65" s="126" t="s">
        <v>303</v>
      </c>
      <c r="I65" s="126">
        <v>112</v>
      </c>
      <c r="J65" s="104"/>
      <c r="K65" s="104"/>
      <c r="L65" s="140"/>
      <c r="M65" s="101"/>
      <c r="N65" s="127"/>
      <c r="O65" s="95"/>
      <c r="P65" s="98"/>
      <c r="Q65" s="95"/>
      <c r="R65" s="128"/>
      <c r="S65" s="95"/>
      <c r="T65" s="95"/>
      <c r="U65" s="96"/>
      <c r="V65" s="96"/>
      <c r="W65" s="96"/>
      <c r="X65" s="96"/>
      <c r="Y65" s="96"/>
      <c r="Z65" s="97"/>
    </row>
    <row r="66" spans="6:26" x14ac:dyDescent="0.25">
      <c r="F66" s="151" t="s">
        <v>287</v>
      </c>
      <c r="G66" s="126" t="s">
        <v>288</v>
      </c>
      <c r="H66" s="126" t="s">
        <v>304</v>
      </c>
      <c r="I66" s="126">
        <v>113</v>
      </c>
      <c r="J66" s="104"/>
      <c r="K66" s="104"/>
      <c r="L66" s="140"/>
      <c r="M66" s="101"/>
      <c r="N66" s="127"/>
      <c r="O66" s="95"/>
      <c r="P66" s="98"/>
      <c r="Q66" s="95"/>
      <c r="R66" s="128"/>
      <c r="S66" s="95"/>
      <c r="T66" s="95"/>
      <c r="U66" s="96"/>
      <c r="V66" s="96"/>
      <c r="W66" s="96"/>
      <c r="X66" s="96"/>
      <c r="Y66" s="96"/>
      <c r="Z66" s="97"/>
    </row>
    <row r="67" spans="6:26" x14ac:dyDescent="0.25">
      <c r="F67" s="151" t="s">
        <v>290</v>
      </c>
      <c r="G67" s="126" t="s">
        <v>291</v>
      </c>
      <c r="H67" s="126" t="s">
        <v>305</v>
      </c>
      <c r="I67" s="126">
        <v>114</v>
      </c>
      <c r="J67" s="104"/>
      <c r="K67" s="104"/>
      <c r="L67" s="140"/>
      <c r="M67" s="101"/>
      <c r="N67" s="127"/>
      <c r="O67" s="95"/>
      <c r="P67" s="98"/>
      <c r="Q67" s="95"/>
      <c r="R67" s="128"/>
      <c r="S67" s="95"/>
      <c r="T67" s="95"/>
      <c r="U67" s="96"/>
      <c r="V67" s="96"/>
      <c r="W67" s="96"/>
      <c r="X67" s="96"/>
      <c r="Y67" s="96"/>
      <c r="Z67" s="97"/>
    </row>
    <row r="68" spans="6:26" x14ac:dyDescent="0.25">
      <c r="F68" s="151" t="s">
        <v>293</v>
      </c>
      <c r="G68" s="126" t="s">
        <v>294</v>
      </c>
      <c r="H68" s="126" t="s">
        <v>306</v>
      </c>
      <c r="I68" s="126">
        <v>115</v>
      </c>
      <c r="J68" s="104"/>
      <c r="K68" s="104"/>
      <c r="L68" s="140"/>
      <c r="M68" s="101"/>
      <c r="N68" s="127"/>
      <c r="O68" s="95"/>
      <c r="P68" s="98"/>
      <c r="Q68" s="95"/>
      <c r="R68" s="128"/>
      <c r="S68" s="95"/>
      <c r="T68" s="95"/>
      <c r="U68" s="96"/>
      <c r="V68" s="96"/>
      <c r="W68" s="96"/>
      <c r="X68" s="96"/>
      <c r="Y68" s="96"/>
      <c r="Z68" s="97"/>
    </row>
    <row r="69" spans="6:26" x14ac:dyDescent="0.25">
      <c r="F69" s="151" t="s">
        <v>296</v>
      </c>
      <c r="G69" s="126" t="s">
        <v>297</v>
      </c>
      <c r="H69" s="126" t="s">
        <v>307</v>
      </c>
      <c r="I69" s="126">
        <v>116</v>
      </c>
      <c r="J69" s="104"/>
      <c r="K69" s="104"/>
      <c r="L69" s="140"/>
      <c r="M69" s="101"/>
      <c r="N69" s="127"/>
      <c r="O69" s="95"/>
      <c r="P69" s="98"/>
      <c r="Q69" s="95"/>
      <c r="R69" s="128"/>
      <c r="S69" s="95"/>
      <c r="T69" s="95"/>
      <c r="U69" s="96"/>
      <c r="V69" s="96"/>
      <c r="W69" s="96"/>
      <c r="X69" s="96"/>
      <c r="Y69" s="96"/>
      <c r="Z69" s="97"/>
    </row>
    <row r="70" spans="6:26" x14ac:dyDescent="0.25">
      <c r="F70" s="151" t="s">
        <v>308</v>
      </c>
      <c r="G70" s="126" t="s">
        <v>275</v>
      </c>
      <c r="H70" s="126" t="s">
        <v>276</v>
      </c>
      <c r="I70" s="126" t="s">
        <v>309</v>
      </c>
      <c r="J70" s="126">
        <v>149</v>
      </c>
      <c r="K70" s="104"/>
      <c r="L70" s="140"/>
      <c r="M70" s="101"/>
      <c r="N70" s="127"/>
      <c r="O70" s="95"/>
      <c r="P70" s="98"/>
      <c r="Q70" s="95"/>
      <c r="R70" s="128"/>
      <c r="S70" s="95"/>
      <c r="T70" s="95"/>
      <c r="U70" s="96"/>
      <c r="V70" s="96"/>
      <c r="W70" s="96"/>
      <c r="X70" s="96"/>
      <c r="Y70" s="96"/>
      <c r="Z70" s="97"/>
    </row>
    <row r="71" spans="6:26" x14ac:dyDescent="0.25">
      <c r="F71" s="151" t="s">
        <v>278</v>
      </c>
      <c r="G71" s="126" t="s">
        <v>279</v>
      </c>
      <c r="H71" s="126" t="s">
        <v>310</v>
      </c>
      <c r="I71" s="126">
        <v>150</v>
      </c>
      <c r="J71" s="104"/>
      <c r="K71" s="104"/>
      <c r="L71" s="140"/>
      <c r="M71" s="101"/>
      <c r="N71" s="127"/>
      <c r="O71" s="95"/>
      <c r="P71" s="98"/>
      <c r="Q71" s="95"/>
      <c r="R71" s="128"/>
      <c r="S71" s="95"/>
      <c r="T71" s="95"/>
      <c r="U71" s="96"/>
      <c r="V71" s="96"/>
      <c r="W71" s="96"/>
      <c r="X71" s="96"/>
      <c r="Y71" s="96"/>
      <c r="Z71" s="97"/>
    </row>
    <row r="72" spans="6:26" x14ac:dyDescent="0.25">
      <c r="F72" s="151" t="s">
        <v>281</v>
      </c>
      <c r="G72" s="126" t="s">
        <v>282</v>
      </c>
      <c r="H72" s="126" t="s">
        <v>311</v>
      </c>
      <c r="I72" s="126">
        <v>151</v>
      </c>
      <c r="J72" s="104"/>
      <c r="K72" s="104"/>
      <c r="L72" s="140"/>
      <c r="M72" s="101"/>
      <c r="N72" s="127"/>
      <c r="O72" s="95"/>
      <c r="P72" s="98"/>
      <c r="Q72" s="95"/>
      <c r="R72" s="128"/>
      <c r="S72" s="95"/>
      <c r="T72" s="95"/>
      <c r="U72" s="96"/>
      <c r="V72" s="96"/>
      <c r="W72" s="96"/>
      <c r="X72" s="96"/>
      <c r="Y72" s="96"/>
      <c r="Z72" s="97"/>
    </row>
    <row r="73" spans="6:26" x14ac:dyDescent="0.25">
      <c r="F73" s="151" t="s">
        <v>284</v>
      </c>
      <c r="G73" s="126" t="s">
        <v>285</v>
      </c>
      <c r="H73" s="126" t="s">
        <v>312</v>
      </c>
      <c r="I73" s="126">
        <v>152</v>
      </c>
      <c r="J73" s="104"/>
      <c r="K73" s="104"/>
      <c r="L73" s="140"/>
      <c r="M73" s="101"/>
      <c r="N73" s="127"/>
      <c r="O73" s="95"/>
      <c r="P73" s="98"/>
      <c r="Q73" s="95"/>
      <c r="R73" s="128"/>
      <c r="S73" s="95"/>
      <c r="T73" s="95"/>
      <c r="U73" s="96"/>
      <c r="V73" s="96"/>
      <c r="W73" s="96"/>
      <c r="X73" s="96"/>
      <c r="Y73" s="96"/>
      <c r="Z73" s="97"/>
    </row>
    <row r="74" spans="6:26" x14ac:dyDescent="0.25">
      <c r="F74" s="151" t="s">
        <v>287</v>
      </c>
      <c r="G74" s="126" t="s">
        <v>288</v>
      </c>
      <c r="H74" s="126" t="s">
        <v>313</v>
      </c>
      <c r="I74" s="126">
        <v>153</v>
      </c>
      <c r="J74" s="104"/>
      <c r="K74" s="104"/>
      <c r="L74" s="140"/>
      <c r="M74" s="101"/>
      <c r="N74" s="127"/>
      <c r="O74" s="95"/>
      <c r="P74" s="98"/>
      <c r="Q74" s="95"/>
      <c r="R74" s="128"/>
      <c r="S74" s="95"/>
      <c r="T74" s="95"/>
      <c r="U74" s="96"/>
      <c r="V74" s="96"/>
      <c r="W74" s="96"/>
      <c r="X74" s="96"/>
      <c r="Y74" s="96"/>
      <c r="Z74" s="97"/>
    </row>
    <row r="75" spans="6:26" x14ac:dyDescent="0.25">
      <c r="F75" s="151" t="s">
        <v>290</v>
      </c>
      <c r="G75" s="126" t="s">
        <v>291</v>
      </c>
      <c r="H75" s="126" t="s">
        <v>314</v>
      </c>
      <c r="I75" s="126">
        <v>154</v>
      </c>
      <c r="J75" s="104"/>
      <c r="K75" s="104"/>
      <c r="L75" s="140"/>
      <c r="M75" s="101"/>
      <c r="N75" s="127"/>
      <c r="O75" s="95"/>
      <c r="P75" s="98"/>
      <c r="Q75" s="95"/>
      <c r="R75" s="128"/>
      <c r="S75" s="95"/>
      <c r="T75" s="95"/>
      <c r="U75" s="96"/>
      <c r="V75" s="96"/>
      <c r="W75" s="96"/>
      <c r="X75" s="96"/>
      <c r="Y75" s="96"/>
      <c r="Z75" s="97"/>
    </row>
    <row r="76" spans="6:26" x14ac:dyDescent="0.25">
      <c r="F76" s="151" t="s">
        <v>293</v>
      </c>
      <c r="G76" s="126" t="s">
        <v>294</v>
      </c>
      <c r="H76" s="126" t="s">
        <v>315</v>
      </c>
      <c r="I76" s="126">
        <v>155</v>
      </c>
      <c r="J76" s="104"/>
      <c r="K76" s="104"/>
      <c r="L76" s="140"/>
      <c r="M76" s="101"/>
      <c r="N76" s="127"/>
      <c r="O76" s="95"/>
      <c r="P76" s="98"/>
      <c r="Q76" s="95"/>
      <c r="R76" s="128"/>
      <c r="S76" s="95"/>
      <c r="T76" s="95"/>
      <c r="U76" s="96"/>
      <c r="V76" s="96"/>
      <c r="W76" s="96"/>
      <c r="X76" s="96"/>
      <c r="Y76" s="96"/>
      <c r="Z76" s="97"/>
    </row>
    <row r="77" spans="6:26" x14ac:dyDescent="0.25">
      <c r="F77" s="151" t="s">
        <v>296</v>
      </c>
      <c r="G77" s="126" t="s">
        <v>297</v>
      </c>
      <c r="H77" s="126" t="s">
        <v>316</v>
      </c>
      <c r="I77" s="126">
        <v>156</v>
      </c>
      <c r="J77" s="104"/>
      <c r="K77" s="104"/>
      <c r="L77" s="140"/>
      <c r="M77" s="101"/>
      <c r="N77" s="127"/>
      <c r="O77" s="95"/>
      <c r="P77" s="98"/>
      <c r="Q77" s="95"/>
      <c r="R77" s="128"/>
      <c r="S77" s="95"/>
      <c r="T77" s="95"/>
      <c r="U77" s="96"/>
      <c r="V77" s="96"/>
      <c r="W77" s="96"/>
      <c r="X77" s="96"/>
      <c r="Y77" s="96"/>
      <c r="Z77" s="97"/>
    </row>
    <row r="78" spans="6:26" x14ac:dyDescent="0.25">
      <c r="F78" s="151" t="s">
        <v>317</v>
      </c>
      <c r="G78" s="126" t="s">
        <v>318</v>
      </c>
      <c r="H78" s="126" t="s">
        <v>319</v>
      </c>
      <c r="I78" s="126" t="s">
        <v>320</v>
      </c>
      <c r="J78" s="126">
        <v>1</v>
      </c>
      <c r="K78" s="104"/>
      <c r="L78" s="140"/>
      <c r="M78" s="101"/>
      <c r="N78" s="127"/>
      <c r="O78" s="95"/>
      <c r="P78" s="98"/>
      <c r="Q78" s="95"/>
      <c r="R78" s="128"/>
      <c r="S78" s="95"/>
      <c r="T78" s="95"/>
      <c r="U78" s="96"/>
      <c r="V78" s="96"/>
      <c r="W78" s="96"/>
      <c r="X78" s="96"/>
      <c r="Y78" s="96"/>
      <c r="Z78" s="97"/>
    </row>
    <row r="79" spans="6:26" x14ac:dyDescent="0.25">
      <c r="F79" s="151" t="s">
        <v>321</v>
      </c>
      <c r="G79" s="126" t="s">
        <v>322</v>
      </c>
      <c r="H79" s="126" t="s">
        <v>323</v>
      </c>
      <c r="I79" s="126">
        <v>2</v>
      </c>
      <c r="J79" s="104"/>
      <c r="K79" s="104"/>
      <c r="L79" s="140"/>
      <c r="M79" s="101"/>
      <c r="N79" s="127"/>
      <c r="O79" s="95"/>
      <c r="P79" s="98"/>
      <c r="Q79" s="95"/>
      <c r="R79" s="128"/>
      <c r="S79" s="95"/>
      <c r="T79" s="95"/>
      <c r="U79" s="96"/>
      <c r="V79" s="96"/>
      <c r="W79" s="96"/>
      <c r="X79" s="96"/>
      <c r="Y79" s="96"/>
      <c r="Z79" s="97"/>
    </row>
    <row r="80" spans="6:26" x14ac:dyDescent="0.25">
      <c r="F80" s="151" t="s">
        <v>324</v>
      </c>
      <c r="G80" s="126" t="s">
        <v>325</v>
      </c>
      <c r="H80" s="126" t="s">
        <v>326</v>
      </c>
      <c r="I80" s="126">
        <v>3</v>
      </c>
      <c r="J80" s="104"/>
      <c r="K80" s="104"/>
      <c r="L80" s="140"/>
      <c r="M80" s="101"/>
      <c r="N80" s="127"/>
      <c r="O80" s="95"/>
      <c r="P80" s="98"/>
      <c r="Q80" s="95"/>
      <c r="R80" s="128"/>
      <c r="S80" s="95"/>
      <c r="T80" s="95"/>
      <c r="U80" s="96"/>
      <c r="V80" s="96"/>
      <c r="W80" s="96"/>
      <c r="X80" s="96"/>
      <c r="Y80" s="96"/>
      <c r="Z80" s="97"/>
    </row>
    <row r="81" spans="6:26" x14ac:dyDescent="0.25">
      <c r="F81" s="151" t="s">
        <v>327</v>
      </c>
      <c r="G81" s="126" t="s">
        <v>328</v>
      </c>
      <c r="H81" s="126" t="s">
        <v>329</v>
      </c>
      <c r="I81" s="126">
        <v>4</v>
      </c>
      <c r="J81" s="104"/>
      <c r="K81" s="104"/>
      <c r="L81" s="140"/>
      <c r="M81" s="101"/>
      <c r="N81" s="127"/>
      <c r="O81" s="95"/>
      <c r="P81" s="98"/>
      <c r="Q81" s="95"/>
      <c r="R81" s="128"/>
      <c r="S81" s="95"/>
      <c r="T81" s="95"/>
      <c r="U81" s="96"/>
      <c r="V81" s="96"/>
      <c r="W81" s="96"/>
      <c r="X81" s="96"/>
      <c r="Y81" s="96"/>
      <c r="Z81" s="97"/>
    </row>
    <row r="82" spans="6:26" x14ac:dyDescent="0.25">
      <c r="F82" s="151" t="s">
        <v>330</v>
      </c>
      <c r="G82" s="126" t="s">
        <v>331</v>
      </c>
      <c r="H82" s="126" t="s">
        <v>332</v>
      </c>
      <c r="I82" s="126">
        <v>5</v>
      </c>
      <c r="J82" s="104"/>
      <c r="K82" s="104"/>
      <c r="L82" s="140"/>
      <c r="M82" s="101"/>
      <c r="N82" s="127"/>
      <c r="O82" s="95"/>
      <c r="P82" s="98"/>
      <c r="Q82" s="95"/>
      <c r="R82" s="128"/>
      <c r="S82" s="95"/>
      <c r="T82" s="95"/>
      <c r="U82" s="96"/>
      <c r="V82" s="96"/>
      <c r="W82" s="96"/>
      <c r="X82" s="96"/>
      <c r="Y82" s="96"/>
      <c r="Z82" s="97"/>
    </row>
    <row r="83" spans="6:26" x14ac:dyDescent="0.25">
      <c r="F83" s="151" t="s">
        <v>333</v>
      </c>
      <c r="G83" s="126" t="s">
        <v>334</v>
      </c>
      <c r="H83" s="126" t="s">
        <v>335</v>
      </c>
      <c r="I83" s="126">
        <v>6</v>
      </c>
      <c r="J83" s="104"/>
      <c r="K83" s="104"/>
      <c r="L83" s="140"/>
      <c r="M83" s="101"/>
      <c r="N83" s="127"/>
      <c r="O83" s="95"/>
      <c r="P83" s="98"/>
      <c r="Q83" s="95"/>
      <c r="R83" s="128"/>
      <c r="S83" s="95"/>
      <c r="T83" s="95"/>
      <c r="U83" s="96"/>
      <c r="V83" s="96"/>
      <c r="W83" s="96"/>
      <c r="X83" s="96"/>
      <c r="Y83" s="96"/>
      <c r="Z83" s="97"/>
    </row>
    <row r="84" spans="6:26" x14ac:dyDescent="0.25">
      <c r="F84" s="151" t="s">
        <v>336</v>
      </c>
      <c r="G84" s="126" t="s">
        <v>337</v>
      </c>
      <c r="H84" s="126" t="s">
        <v>338</v>
      </c>
      <c r="I84" s="126" t="s">
        <v>339</v>
      </c>
      <c r="J84" s="126">
        <v>0</v>
      </c>
      <c r="K84" s="104"/>
      <c r="L84" s="140"/>
      <c r="M84" s="101"/>
      <c r="N84" s="127"/>
      <c r="O84" s="95"/>
      <c r="P84" s="98"/>
      <c r="Q84" s="95"/>
      <c r="R84" s="128"/>
      <c r="S84" s="95"/>
      <c r="T84" s="95"/>
      <c r="U84" s="96"/>
      <c r="V84" s="96"/>
      <c r="W84" s="96"/>
      <c r="X84" s="96"/>
      <c r="Y84" s="96"/>
      <c r="Z84" s="97"/>
    </row>
    <row r="85" spans="6:26" x14ac:dyDescent="0.25">
      <c r="F85" s="151" t="s">
        <v>340</v>
      </c>
      <c r="G85" s="126" t="s">
        <v>341</v>
      </c>
      <c r="H85" s="126" t="s">
        <v>342</v>
      </c>
      <c r="I85" s="126">
        <v>0.1</v>
      </c>
      <c r="J85" s="104"/>
      <c r="K85" s="104"/>
      <c r="L85" s="140"/>
      <c r="M85" s="101"/>
      <c r="N85" s="127"/>
      <c r="O85" s="95"/>
      <c r="P85" s="98"/>
      <c r="Q85" s="95"/>
      <c r="R85" s="128"/>
      <c r="S85" s="95"/>
      <c r="T85" s="95"/>
      <c r="U85" s="96"/>
      <c r="V85" s="96"/>
      <c r="W85" s="96"/>
      <c r="X85" s="96"/>
      <c r="Y85" s="96"/>
      <c r="Z85" s="97"/>
    </row>
    <row r="86" spans="6:26" x14ac:dyDescent="0.25">
      <c r="F86" s="151" t="s">
        <v>343</v>
      </c>
      <c r="G86" s="126" t="s">
        <v>344</v>
      </c>
      <c r="H86" s="126" t="s">
        <v>345</v>
      </c>
      <c r="I86" s="126">
        <v>0.2</v>
      </c>
      <c r="J86" s="104"/>
      <c r="K86" s="104"/>
      <c r="L86" s="140"/>
      <c r="M86" s="101"/>
      <c r="N86" s="127"/>
      <c r="O86" s="95"/>
      <c r="P86" s="98"/>
      <c r="Q86" s="95"/>
      <c r="R86" s="128"/>
      <c r="S86" s="95"/>
      <c r="T86" s="95"/>
      <c r="U86" s="96"/>
      <c r="V86" s="96"/>
      <c r="W86" s="96"/>
      <c r="X86" s="96"/>
      <c r="Y86" s="96"/>
      <c r="Z86" s="97"/>
    </row>
    <row r="87" spans="6:26" x14ac:dyDescent="0.25">
      <c r="F87" s="151" t="s">
        <v>346</v>
      </c>
      <c r="G87" s="126" t="s">
        <v>347</v>
      </c>
      <c r="H87" s="126" t="s">
        <v>348</v>
      </c>
      <c r="I87" s="126">
        <v>0.3</v>
      </c>
      <c r="J87" s="104"/>
      <c r="K87" s="104"/>
      <c r="L87" s="140"/>
      <c r="M87" s="101"/>
      <c r="N87" s="127"/>
      <c r="O87" s="95"/>
      <c r="P87" s="98"/>
      <c r="Q87" s="95"/>
      <c r="R87" s="128"/>
      <c r="S87" s="95"/>
      <c r="T87" s="95"/>
      <c r="U87" s="96"/>
      <c r="V87" s="96"/>
      <c r="W87" s="96"/>
      <c r="X87" s="96"/>
      <c r="Y87" s="96"/>
      <c r="Z87" s="97"/>
    </row>
    <row r="88" spans="6:26" x14ac:dyDescent="0.25">
      <c r="F88" s="151" t="s">
        <v>349</v>
      </c>
      <c r="G88" s="126" t="s">
        <v>350</v>
      </c>
      <c r="H88" s="126" t="s">
        <v>351</v>
      </c>
      <c r="I88" s="126">
        <v>0.4</v>
      </c>
      <c r="J88" s="104"/>
      <c r="K88" s="104"/>
      <c r="L88" s="140"/>
      <c r="M88" s="101"/>
      <c r="N88" s="127"/>
      <c r="O88" s="95"/>
      <c r="P88" s="98"/>
      <c r="Q88" s="95"/>
      <c r="R88" s="128"/>
      <c r="S88" s="95"/>
      <c r="T88" s="95"/>
      <c r="U88" s="96"/>
      <c r="V88" s="96"/>
      <c r="W88" s="96"/>
      <c r="X88" s="96"/>
      <c r="Y88" s="96"/>
      <c r="Z88" s="97"/>
    </row>
    <row r="89" spans="6:26" x14ac:dyDescent="0.25">
      <c r="F89" s="151" t="s">
        <v>352</v>
      </c>
      <c r="G89" s="126" t="s">
        <v>353</v>
      </c>
      <c r="H89" s="126" t="s">
        <v>354</v>
      </c>
      <c r="I89" s="126">
        <v>0.5</v>
      </c>
      <c r="J89" s="104"/>
      <c r="K89" s="104"/>
      <c r="L89" s="140"/>
      <c r="M89" s="101"/>
      <c r="N89" s="127"/>
      <c r="O89" s="95"/>
      <c r="P89" s="98"/>
      <c r="Q89" s="95"/>
      <c r="R89" s="128"/>
      <c r="S89" s="95"/>
      <c r="T89" s="95"/>
      <c r="U89" s="96"/>
      <c r="V89" s="96"/>
      <c r="W89" s="96"/>
      <c r="X89" s="96"/>
      <c r="Y89" s="96"/>
      <c r="Z89" s="97"/>
    </row>
    <row r="90" spans="6:26" x14ac:dyDescent="0.25">
      <c r="F90" s="151" t="s">
        <v>355</v>
      </c>
      <c r="G90" s="126" t="s">
        <v>356</v>
      </c>
      <c r="H90" s="126" t="s">
        <v>357</v>
      </c>
      <c r="I90" s="126">
        <v>0.6</v>
      </c>
      <c r="J90" s="104"/>
      <c r="K90" s="104"/>
      <c r="L90" s="140"/>
      <c r="M90" s="101"/>
      <c r="N90" s="127"/>
      <c r="O90" s="95"/>
      <c r="P90" s="98"/>
      <c r="Q90" s="95"/>
      <c r="R90" s="128"/>
      <c r="S90" s="95"/>
      <c r="T90" s="95"/>
      <c r="U90" s="96"/>
      <c r="V90" s="96"/>
      <c r="W90" s="96"/>
      <c r="X90" s="96"/>
      <c r="Y90" s="96"/>
      <c r="Z90" s="97"/>
    </row>
    <row r="91" spans="6:26" x14ac:dyDescent="0.25">
      <c r="F91" s="151" t="s">
        <v>266</v>
      </c>
      <c r="G91" s="126" t="s">
        <v>358</v>
      </c>
      <c r="H91" s="126" t="s">
        <v>359</v>
      </c>
      <c r="I91" s="126" t="s">
        <v>360</v>
      </c>
      <c r="J91" s="126">
        <v>0</v>
      </c>
      <c r="K91" s="104"/>
      <c r="L91" s="140"/>
      <c r="M91" s="101"/>
      <c r="N91" s="127"/>
      <c r="O91" s="95"/>
      <c r="P91" s="98"/>
      <c r="Q91" s="95"/>
      <c r="R91" s="128"/>
      <c r="S91" s="95"/>
      <c r="T91" s="95"/>
      <c r="U91" s="96"/>
      <c r="V91" s="96"/>
      <c r="W91" s="96"/>
      <c r="X91" s="96"/>
      <c r="Y91" s="96"/>
      <c r="Z91" s="97"/>
    </row>
    <row r="92" spans="6:26" x14ac:dyDescent="0.25">
      <c r="F92" s="151" t="s">
        <v>270</v>
      </c>
      <c r="G92" s="126" t="s">
        <v>358</v>
      </c>
      <c r="H92" s="126" t="s">
        <v>359</v>
      </c>
      <c r="I92" s="126" t="s">
        <v>361</v>
      </c>
      <c r="J92" s="126" t="s">
        <v>272</v>
      </c>
      <c r="K92" s="104"/>
      <c r="L92" s="140"/>
      <c r="M92" s="101"/>
      <c r="N92" s="127"/>
      <c r="O92" s="95"/>
      <c r="P92" s="98"/>
      <c r="Q92" s="95"/>
      <c r="R92" s="128"/>
      <c r="S92" s="95"/>
      <c r="T92" s="95"/>
      <c r="U92" s="96"/>
      <c r="V92" s="96"/>
      <c r="W92" s="96"/>
      <c r="X92" s="96"/>
      <c r="Y92" s="96"/>
      <c r="Z92" s="97"/>
    </row>
    <row r="93" spans="6:26" x14ac:dyDescent="0.25">
      <c r="F93" s="151" t="s">
        <v>362</v>
      </c>
      <c r="G93" s="126" t="s">
        <v>363</v>
      </c>
      <c r="H93" s="126">
        <v>8</v>
      </c>
      <c r="I93" s="104"/>
      <c r="J93" s="104"/>
      <c r="K93" s="104"/>
      <c r="L93" s="140"/>
      <c r="M93" s="101"/>
      <c r="N93" s="127"/>
      <c r="O93" s="95"/>
      <c r="P93" s="98"/>
      <c r="Q93" s="95"/>
      <c r="R93" s="128"/>
      <c r="S93" s="95"/>
      <c r="T93" s="95"/>
      <c r="U93" s="96"/>
      <c r="V93" s="96"/>
      <c r="W93" s="96"/>
      <c r="X93" s="96"/>
      <c r="Y93" s="96"/>
      <c r="Z93" s="97"/>
    </row>
    <row r="94" spans="6:26" x14ac:dyDescent="0.25">
      <c r="F94" s="151"/>
      <c r="G94" s="126"/>
      <c r="H94" s="126"/>
      <c r="I94" s="126"/>
      <c r="J94" s="104"/>
      <c r="K94" s="104"/>
      <c r="L94" s="140"/>
      <c r="M94" s="101"/>
      <c r="N94" s="127"/>
      <c r="O94" s="95"/>
      <c r="P94" s="98"/>
      <c r="Q94" s="95"/>
      <c r="R94" s="128"/>
      <c r="S94" s="95"/>
      <c r="T94" s="95"/>
      <c r="U94" s="96"/>
      <c r="V94" s="96"/>
      <c r="W94" s="96"/>
      <c r="X94" s="96"/>
      <c r="Y94" s="96"/>
      <c r="Z94" s="97"/>
    </row>
    <row r="95" spans="6:26" ht="26.25" x14ac:dyDescent="0.25">
      <c r="F95" s="151" t="s">
        <v>364</v>
      </c>
      <c r="G95" s="126" t="s">
        <v>365</v>
      </c>
      <c r="H95" s="164">
        <v>42248</v>
      </c>
      <c r="I95" s="126"/>
      <c r="J95" s="104"/>
      <c r="K95" s="104"/>
      <c r="L95" s="140"/>
      <c r="M95" s="101"/>
      <c r="N95" s="127"/>
      <c r="O95" s="95"/>
      <c r="P95" s="98"/>
      <c r="Q95" s="95"/>
      <c r="R95" s="128"/>
      <c r="S95" s="95"/>
      <c r="T95" s="95"/>
      <c r="U95" s="96"/>
      <c r="V95" s="96"/>
      <c r="W95" s="96"/>
      <c r="X95" s="96"/>
      <c r="Y95" s="96"/>
      <c r="Z95" s="97"/>
    </row>
    <row r="96" spans="6:26" x14ac:dyDescent="0.25">
      <c r="F96" s="151" t="s">
        <v>366</v>
      </c>
      <c r="G96" s="126" t="s">
        <v>367</v>
      </c>
      <c r="H96" s="126">
        <v>157</v>
      </c>
      <c r="I96" s="126"/>
      <c r="J96" s="104"/>
      <c r="K96" s="104"/>
      <c r="L96" s="140"/>
      <c r="M96" s="101"/>
      <c r="N96" s="127"/>
      <c r="O96" s="95"/>
      <c r="P96" s="98"/>
      <c r="Q96" s="95"/>
      <c r="R96" s="128"/>
      <c r="S96" s="95"/>
      <c r="T96" s="95"/>
      <c r="U96" s="96"/>
      <c r="V96" s="96"/>
      <c r="W96" s="96"/>
      <c r="X96" s="96"/>
      <c r="Y96" s="96"/>
      <c r="Z96" s="97"/>
    </row>
    <row r="97" spans="6:26" x14ac:dyDescent="0.25">
      <c r="F97" s="151" t="s">
        <v>368</v>
      </c>
      <c r="G97" s="126" t="s">
        <v>369</v>
      </c>
      <c r="H97" s="126" t="s">
        <v>370</v>
      </c>
      <c r="I97" s="126"/>
      <c r="J97" s="104"/>
      <c r="K97" s="104"/>
      <c r="L97" s="140"/>
      <c r="M97" s="101"/>
      <c r="N97" s="127"/>
      <c r="O97" s="95"/>
      <c r="P97" s="98"/>
      <c r="Q97" s="95"/>
      <c r="R97" s="128"/>
      <c r="S97" s="95"/>
      <c r="T97" s="95"/>
      <c r="U97" s="96"/>
      <c r="V97" s="96"/>
      <c r="W97" s="96"/>
      <c r="X97" s="96"/>
      <c r="Y97" s="96"/>
      <c r="Z97" s="97"/>
    </row>
    <row r="98" spans="6:26" x14ac:dyDescent="0.25">
      <c r="F98" s="150" t="s">
        <v>470</v>
      </c>
      <c r="G98" s="160"/>
      <c r="H98" s="160"/>
      <c r="I98" s="160"/>
      <c r="J98" s="160"/>
      <c r="K98" s="104"/>
      <c r="L98" s="140"/>
      <c r="M98" s="101"/>
      <c r="N98" s="127"/>
      <c r="O98" s="95"/>
      <c r="P98" s="98"/>
      <c r="Q98" s="95"/>
      <c r="R98" s="128"/>
      <c r="S98" s="95"/>
      <c r="T98" s="95"/>
      <c r="U98" s="96"/>
      <c r="V98" s="96"/>
      <c r="W98" s="96"/>
      <c r="X98" s="96"/>
      <c r="Y98" s="96"/>
      <c r="Z98" s="97"/>
    </row>
    <row r="99" spans="6:26" x14ac:dyDescent="0.25">
      <c r="F99" s="152" t="s">
        <v>471</v>
      </c>
      <c r="G99" s="161"/>
      <c r="H99" s="161"/>
      <c r="I99" s="161"/>
      <c r="J99" s="161"/>
      <c r="K99" s="104"/>
      <c r="L99" s="140"/>
      <c r="M99" s="101"/>
      <c r="N99" s="127"/>
      <c r="O99" s="95"/>
      <c r="P99" s="98"/>
      <c r="Q99" s="95"/>
      <c r="R99" s="128"/>
      <c r="S99" s="95"/>
      <c r="T99" s="95"/>
      <c r="U99" s="96"/>
      <c r="V99" s="96"/>
      <c r="W99" s="96"/>
      <c r="X99" s="96"/>
      <c r="Y99" s="96"/>
      <c r="Z99" s="97"/>
    </row>
    <row r="100" spans="6:26" x14ac:dyDescent="0.25">
      <c r="F100" s="103"/>
      <c r="G100" s="104"/>
      <c r="H100" s="104"/>
      <c r="I100" s="104"/>
      <c r="J100" s="104"/>
      <c r="K100" s="104"/>
      <c r="L100" s="140"/>
      <c r="M100" s="101"/>
      <c r="N100" s="127"/>
      <c r="O100" s="95"/>
      <c r="P100" s="98"/>
      <c r="Q100" s="95"/>
      <c r="R100" s="128"/>
      <c r="S100" s="95"/>
      <c r="T100" s="95"/>
      <c r="U100" s="96"/>
      <c r="V100" s="96"/>
      <c r="W100" s="96"/>
      <c r="X100" s="96"/>
      <c r="Y100" s="96"/>
      <c r="Z100" s="97"/>
    </row>
    <row r="101" spans="6:26" x14ac:dyDescent="0.25">
      <c r="F101" s="103"/>
      <c r="G101" s="104"/>
      <c r="H101" s="104"/>
      <c r="I101" s="104"/>
      <c r="J101" s="104"/>
      <c r="K101" s="104"/>
      <c r="L101" s="140"/>
      <c r="M101" s="101"/>
      <c r="N101" s="127"/>
      <c r="O101" s="95"/>
      <c r="P101" s="98"/>
      <c r="Q101" s="95"/>
      <c r="R101" s="128"/>
      <c r="S101" s="95"/>
      <c r="T101" s="95"/>
      <c r="U101" s="96"/>
      <c r="V101" s="96"/>
      <c r="W101" s="96"/>
      <c r="X101" s="96"/>
      <c r="Y101" s="96"/>
      <c r="Z101" s="97"/>
    </row>
    <row r="102" spans="6:26" x14ac:dyDescent="0.25">
      <c r="F102" s="103"/>
      <c r="G102" s="104"/>
      <c r="H102" s="104"/>
      <c r="I102" s="104"/>
      <c r="J102" s="104"/>
      <c r="K102" s="104"/>
      <c r="L102" s="140"/>
      <c r="M102" s="101"/>
      <c r="N102" s="127"/>
      <c r="O102" s="95"/>
      <c r="P102" s="98"/>
      <c r="Q102" s="95"/>
      <c r="R102" s="128"/>
      <c r="S102" s="95"/>
      <c r="T102" s="95"/>
      <c r="U102" s="96"/>
      <c r="V102" s="96"/>
      <c r="W102" s="96"/>
      <c r="X102" s="96"/>
      <c r="Y102" s="96"/>
      <c r="Z102" s="97"/>
    </row>
    <row r="103" spans="6:26" x14ac:dyDescent="0.25">
      <c r="F103" s="150" t="s">
        <v>373</v>
      </c>
      <c r="G103" s="104"/>
      <c r="H103" s="104"/>
      <c r="I103" s="104"/>
      <c r="J103" s="104"/>
      <c r="K103" s="104"/>
      <c r="L103" s="140"/>
      <c r="M103" s="101"/>
      <c r="N103" s="127"/>
      <c r="O103" s="95"/>
      <c r="P103" s="98"/>
      <c r="Q103" s="95"/>
      <c r="R103" s="128"/>
      <c r="S103" s="95"/>
      <c r="T103" s="95"/>
      <c r="U103" s="96"/>
      <c r="V103" s="96"/>
      <c r="W103" s="96"/>
      <c r="X103" s="96"/>
      <c r="Y103" s="96"/>
      <c r="Z103" s="97"/>
    </row>
    <row r="104" spans="6:26" x14ac:dyDescent="0.25">
      <c r="F104" s="152" t="s">
        <v>374</v>
      </c>
      <c r="G104" s="161"/>
      <c r="H104" s="161"/>
      <c r="I104" s="161"/>
      <c r="J104" s="104"/>
      <c r="K104" s="104"/>
      <c r="L104" s="140"/>
      <c r="M104" s="101"/>
      <c r="N104" s="127"/>
      <c r="O104" s="95"/>
      <c r="P104" s="98"/>
      <c r="Q104" s="95"/>
      <c r="R104" s="128"/>
      <c r="S104" s="95"/>
      <c r="T104" s="95"/>
      <c r="U104" s="96"/>
      <c r="V104" s="96"/>
      <c r="W104" s="96"/>
      <c r="X104" s="96"/>
      <c r="Y104" s="96"/>
      <c r="Z104" s="97"/>
    </row>
    <row r="105" spans="6:26" x14ac:dyDescent="0.25">
      <c r="F105" s="151" t="s">
        <v>375</v>
      </c>
      <c r="G105" s="126" t="s">
        <v>376</v>
      </c>
      <c r="H105" s="126" t="s">
        <v>377</v>
      </c>
      <c r="I105" s="126" t="s">
        <v>378</v>
      </c>
      <c r="J105" s="104"/>
      <c r="K105" s="104"/>
      <c r="L105" s="140"/>
      <c r="M105" s="101"/>
      <c r="N105" s="127"/>
      <c r="O105" s="95"/>
      <c r="P105" s="98"/>
      <c r="Q105" s="95"/>
      <c r="R105" s="128"/>
      <c r="S105" s="95"/>
      <c r="T105" s="95"/>
      <c r="U105" s="96"/>
      <c r="V105" s="96"/>
      <c r="W105" s="96"/>
      <c r="X105" s="96"/>
      <c r="Y105" s="96"/>
      <c r="Z105" s="97"/>
    </row>
    <row r="106" spans="6:26" x14ac:dyDescent="0.25">
      <c r="F106" s="151" t="s">
        <v>448</v>
      </c>
      <c r="G106" s="126" t="s">
        <v>379</v>
      </c>
      <c r="H106" s="165" t="s">
        <v>449</v>
      </c>
      <c r="I106" s="126" t="s">
        <v>380</v>
      </c>
      <c r="J106" s="104"/>
      <c r="K106" s="104"/>
      <c r="L106" s="140"/>
      <c r="M106" s="101"/>
      <c r="N106" s="127"/>
      <c r="O106" s="95"/>
      <c r="P106" s="98"/>
      <c r="Q106" s="95"/>
      <c r="R106" s="128"/>
      <c r="S106" s="95"/>
      <c r="T106" s="95"/>
      <c r="U106" s="96"/>
      <c r="V106" s="96"/>
      <c r="W106" s="96"/>
      <c r="X106" s="96"/>
      <c r="Y106" s="96"/>
      <c r="Z106" s="97"/>
    </row>
    <row r="107" spans="6:26" x14ac:dyDescent="0.25">
      <c r="F107" s="151" t="s">
        <v>450</v>
      </c>
      <c r="G107" s="126" t="s">
        <v>379</v>
      </c>
      <c r="H107" s="165" t="s">
        <v>451</v>
      </c>
      <c r="I107" s="126" t="s">
        <v>381</v>
      </c>
      <c r="J107" s="104"/>
      <c r="K107" s="104"/>
      <c r="L107" s="140"/>
      <c r="M107" s="101"/>
      <c r="N107" s="127"/>
      <c r="O107" s="95"/>
      <c r="P107" s="98"/>
      <c r="Q107" s="95"/>
      <c r="R107" s="128"/>
      <c r="S107" s="95"/>
      <c r="T107" s="95"/>
      <c r="U107" s="96"/>
      <c r="V107" s="96"/>
      <c r="W107" s="96"/>
      <c r="X107" s="96"/>
      <c r="Y107" s="96"/>
      <c r="Z107" s="97"/>
    </row>
    <row r="108" spans="6:26" x14ac:dyDescent="0.25">
      <c r="F108" s="151" t="s">
        <v>452</v>
      </c>
      <c r="G108" s="126" t="s">
        <v>382</v>
      </c>
      <c r="H108" s="165" t="s">
        <v>453</v>
      </c>
      <c r="I108" s="126" t="s">
        <v>383</v>
      </c>
      <c r="J108" s="104"/>
      <c r="K108" s="104"/>
      <c r="L108" s="140"/>
      <c r="M108" s="101"/>
      <c r="N108" s="127"/>
      <c r="O108" s="95"/>
      <c r="P108" s="98"/>
      <c r="Q108" s="95"/>
      <c r="R108" s="128"/>
      <c r="S108" s="95"/>
      <c r="T108" s="95"/>
      <c r="U108" s="96"/>
      <c r="V108" s="96"/>
      <c r="W108" s="96"/>
      <c r="X108" s="96"/>
      <c r="Y108" s="96"/>
      <c r="Z108" s="97"/>
    </row>
    <row r="109" spans="6:26" x14ac:dyDescent="0.25">
      <c r="F109" s="151" t="s">
        <v>454</v>
      </c>
      <c r="G109" s="126" t="s">
        <v>384</v>
      </c>
      <c r="H109" s="165" t="s">
        <v>455</v>
      </c>
      <c r="I109" s="126" t="s">
        <v>385</v>
      </c>
      <c r="J109" s="104"/>
      <c r="K109" s="104"/>
      <c r="L109" s="140"/>
      <c r="M109" s="101"/>
      <c r="N109" s="127"/>
      <c r="O109" s="95"/>
      <c r="P109" s="98"/>
      <c r="Q109" s="95"/>
      <c r="R109" s="128"/>
      <c r="S109" s="95"/>
      <c r="T109" s="95"/>
      <c r="U109" s="96"/>
      <c r="V109" s="96"/>
      <c r="W109" s="96"/>
      <c r="X109" s="96"/>
      <c r="Y109" s="96"/>
      <c r="Z109" s="97"/>
    </row>
    <row r="110" spans="6:26" x14ac:dyDescent="0.25">
      <c r="F110" s="151" t="s">
        <v>456</v>
      </c>
      <c r="G110" s="126" t="s">
        <v>386</v>
      </c>
      <c r="H110" s="165" t="s">
        <v>387</v>
      </c>
      <c r="I110" s="126" t="s">
        <v>388</v>
      </c>
      <c r="J110" s="104"/>
      <c r="K110" s="104"/>
      <c r="L110" s="140"/>
      <c r="M110" s="101"/>
      <c r="N110" s="127"/>
      <c r="O110" s="95"/>
      <c r="P110" s="98"/>
      <c r="Q110" s="95"/>
      <c r="R110" s="128"/>
      <c r="S110" s="95"/>
      <c r="T110" s="95"/>
      <c r="U110" s="96"/>
      <c r="V110" s="96"/>
      <c r="W110" s="96"/>
      <c r="X110" s="96"/>
      <c r="Y110" s="96"/>
      <c r="Z110" s="97"/>
    </row>
    <row r="111" spans="6:26" x14ac:dyDescent="0.25">
      <c r="F111" s="151" t="s">
        <v>457</v>
      </c>
      <c r="G111" s="126" t="s">
        <v>382</v>
      </c>
      <c r="H111" s="165" t="s">
        <v>389</v>
      </c>
      <c r="I111" s="126" t="s">
        <v>390</v>
      </c>
      <c r="J111" s="104"/>
      <c r="K111" s="104"/>
      <c r="L111" s="140"/>
      <c r="M111" s="101"/>
      <c r="N111" s="127"/>
      <c r="O111" s="95"/>
      <c r="P111" s="98"/>
      <c r="Q111" s="95"/>
      <c r="R111" s="128"/>
      <c r="S111" s="95"/>
      <c r="T111" s="95"/>
      <c r="U111" s="96"/>
      <c r="V111" s="96"/>
      <c r="W111" s="96"/>
      <c r="X111" s="96"/>
      <c r="Y111" s="96"/>
      <c r="Z111" s="97"/>
    </row>
    <row r="112" spans="6:26" x14ac:dyDescent="0.25">
      <c r="F112" s="151" t="s">
        <v>458</v>
      </c>
      <c r="G112" s="126" t="s">
        <v>384</v>
      </c>
      <c r="H112" s="165" t="s">
        <v>391</v>
      </c>
      <c r="I112" s="126" t="s">
        <v>392</v>
      </c>
      <c r="J112" s="104"/>
      <c r="K112" s="104"/>
      <c r="L112" s="140"/>
      <c r="M112" s="101"/>
      <c r="N112" s="127"/>
      <c r="O112" s="95"/>
      <c r="P112" s="98"/>
      <c r="Q112" s="95"/>
      <c r="R112" s="128"/>
      <c r="S112" s="95"/>
      <c r="T112" s="95"/>
      <c r="U112" s="96"/>
      <c r="V112" s="96"/>
      <c r="W112" s="96"/>
      <c r="X112" s="96"/>
      <c r="Y112" s="96"/>
      <c r="Z112" s="97"/>
    </row>
    <row r="113" spans="6:26" ht="26.25" x14ac:dyDescent="0.25">
      <c r="F113" s="151" t="s">
        <v>459</v>
      </c>
      <c r="G113" s="126" t="s">
        <v>379</v>
      </c>
      <c r="H113" s="165" t="s">
        <v>460</v>
      </c>
      <c r="I113" s="126" t="s">
        <v>393</v>
      </c>
      <c r="J113" s="104"/>
      <c r="K113" s="104"/>
      <c r="L113" s="140"/>
      <c r="M113" s="101"/>
      <c r="N113" s="127"/>
      <c r="O113" s="95"/>
      <c r="P113" s="98"/>
      <c r="Q113" s="95"/>
      <c r="R113" s="128"/>
      <c r="S113" s="95"/>
      <c r="T113" s="95"/>
      <c r="U113" s="96"/>
      <c r="V113" s="96"/>
      <c r="W113" s="96"/>
      <c r="X113" s="96"/>
      <c r="Y113" s="96"/>
      <c r="Z113" s="97"/>
    </row>
    <row r="114" spans="6:26" x14ac:dyDescent="0.25">
      <c r="F114" s="151" t="s">
        <v>461</v>
      </c>
      <c r="G114" s="126" t="s">
        <v>384</v>
      </c>
      <c r="H114" s="165" t="s">
        <v>394</v>
      </c>
      <c r="I114" s="126" t="s">
        <v>395</v>
      </c>
      <c r="J114" s="104"/>
      <c r="K114" s="104"/>
      <c r="L114" s="140"/>
      <c r="M114" s="101"/>
      <c r="N114" s="127"/>
      <c r="O114" s="95"/>
      <c r="P114" s="98"/>
      <c r="Q114" s="95"/>
      <c r="R114" s="128"/>
      <c r="S114" s="95"/>
      <c r="T114" s="95"/>
      <c r="U114" s="96"/>
      <c r="V114" s="96"/>
      <c r="W114" s="96"/>
      <c r="X114" s="96"/>
      <c r="Y114" s="96"/>
      <c r="Z114" s="97"/>
    </row>
    <row r="115" spans="6:26" x14ac:dyDescent="0.25">
      <c r="F115" s="153" t="s">
        <v>462</v>
      </c>
      <c r="G115" s="162"/>
      <c r="H115" s="162"/>
      <c r="I115" s="162"/>
      <c r="J115" s="104"/>
      <c r="K115" s="104"/>
      <c r="L115" s="140"/>
      <c r="M115" s="101"/>
      <c r="N115" s="127"/>
      <c r="O115" s="95"/>
      <c r="P115" s="98"/>
      <c r="Q115" s="95"/>
      <c r="R115" s="128"/>
      <c r="S115" s="95"/>
      <c r="T115" s="95"/>
      <c r="U115" s="96"/>
      <c r="V115" s="96"/>
      <c r="W115" s="96"/>
      <c r="X115" s="96"/>
      <c r="Y115" s="96"/>
      <c r="Z115" s="97"/>
    </row>
    <row r="116" spans="6:26" x14ac:dyDescent="0.25">
      <c r="F116" s="151" t="s">
        <v>375</v>
      </c>
      <c r="G116" s="126" t="s">
        <v>376</v>
      </c>
      <c r="H116" s="165" t="s">
        <v>377</v>
      </c>
      <c r="I116" s="126" t="s">
        <v>378</v>
      </c>
      <c r="J116" s="104"/>
      <c r="K116" s="104"/>
      <c r="L116" s="140"/>
      <c r="M116" s="101"/>
      <c r="N116" s="127"/>
      <c r="O116" s="95"/>
      <c r="P116" s="98"/>
      <c r="Q116" s="95"/>
      <c r="R116" s="128"/>
      <c r="S116" s="95"/>
      <c r="T116" s="95"/>
      <c r="U116" s="96"/>
      <c r="V116" s="96"/>
      <c r="W116" s="96"/>
      <c r="X116" s="96"/>
      <c r="Y116" s="96"/>
      <c r="Z116" s="97"/>
    </row>
    <row r="117" spans="6:26" x14ac:dyDescent="0.25">
      <c r="F117" s="151" t="s">
        <v>448</v>
      </c>
      <c r="G117" s="126" t="s">
        <v>379</v>
      </c>
      <c r="H117" s="165" t="s">
        <v>463</v>
      </c>
      <c r="I117" s="126" t="s">
        <v>393</v>
      </c>
      <c r="J117" s="104"/>
      <c r="K117" s="104"/>
      <c r="L117" s="140"/>
      <c r="M117" s="101"/>
      <c r="N117" s="127"/>
      <c r="O117" s="95"/>
      <c r="P117" s="98"/>
      <c r="Q117" s="95"/>
      <c r="R117" s="128"/>
      <c r="S117" s="95"/>
      <c r="T117" s="95"/>
      <c r="U117" s="96"/>
      <c r="V117" s="96"/>
      <c r="W117" s="96"/>
      <c r="X117" s="96"/>
      <c r="Y117" s="96"/>
      <c r="Z117" s="97"/>
    </row>
    <row r="118" spans="6:26" x14ac:dyDescent="0.25">
      <c r="F118" s="151" t="s">
        <v>450</v>
      </c>
      <c r="G118" s="126" t="s">
        <v>379</v>
      </c>
      <c r="H118" s="165" t="s">
        <v>464</v>
      </c>
      <c r="I118" s="126" t="s">
        <v>396</v>
      </c>
      <c r="J118" s="104"/>
      <c r="K118" s="104"/>
      <c r="L118" s="140"/>
      <c r="M118" s="101"/>
      <c r="N118" s="127"/>
      <c r="O118" s="95"/>
      <c r="P118" s="98"/>
      <c r="Q118" s="95"/>
      <c r="R118" s="128"/>
      <c r="S118" s="95"/>
      <c r="T118" s="95"/>
      <c r="U118" s="96"/>
      <c r="V118" s="96"/>
      <c r="W118" s="96"/>
      <c r="X118" s="96"/>
      <c r="Y118" s="96"/>
      <c r="Z118" s="97"/>
    </row>
    <row r="119" spans="6:26" x14ac:dyDescent="0.25">
      <c r="F119" s="151" t="s">
        <v>452</v>
      </c>
      <c r="G119" s="126" t="s">
        <v>382</v>
      </c>
      <c r="H119" s="165" t="s">
        <v>397</v>
      </c>
      <c r="I119" s="126" t="s">
        <v>398</v>
      </c>
      <c r="J119" s="104"/>
      <c r="K119" s="104"/>
      <c r="L119" s="140"/>
      <c r="M119" s="101"/>
      <c r="N119" s="127"/>
      <c r="O119" s="95"/>
      <c r="P119" s="98"/>
      <c r="Q119" s="95"/>
      <c r="R119" s="128"/>
      <c r="S119" s="95"/>
      <c r="T119" s="95"/>
      <c r="U119" s="96"/>
      <c r="V119" s="96"/>
      <c r="W119" s="96"/>
      <c r="X119" s="96"/>
      <c r="Y119" s="96"/>
      <c r="Z119" s="97"/>
    </row>
    <row r="120" spans="6:26" x14ac:dyDescent="0.25">
      <c r="F120" s="151" t="s">
        <v>454</v>
      </c>
      <c r="G120" s="126" t="s">
        <v>384</v>
      </c>
      <c r="H120" s="165" t="s">
        <v>399</v>
      </c>
      <c r="I120" s="126" t="s">
        <v>400</v>
      </c>
      <c r="J120" s="104"/>
      <c r="K120" s="104"/>
      <c r="L120" s="140"/>
      <c r="M120" s="101"/>
      <c r="N120" s="127"/>
      <c r="O120" s="95"/>
      <c r="P120" s="98"/>
      <c r="Q120" s="95"/>
      <c r="R120" s="128"/>
      <c r="S120" s="95"/>
      <c r="T120" s="95"/>
      <c r="U120" s="96"/>
      <c r="V120" s="96"/>
      <c r="W120" s="96"/>
      <c r="X120" s="96"/>
      <c r="Y120" s="96"/>
      <c r="Z120" s="97"/>
    </row>
    <row r="121" spans="6:26" x14ac:dyDescent="0.25">
      <c r="F121" s="151" t="s">
        <v>456</v>
      </c>
      <c r="G121" s="126" t="s">
        <v>386</v>
      </c>
      <c r="H121" s="165" t="s">
        <v>401</v>
      </c>
      <c r="I121" s="126" t="s">
        <v>402</v>
      </c>
      <c r="J121" s="104"/>
      <c r="K121" s="104"/>
      <c r="L121" s="140"/>
      <c r="M121" s="101"/>
      <c r="N121" s="127"/>
      <c r="O121" s="95"/>
      <c r="P121" s="98"/>
      <c r="Q121" s="95"/>
      <c r="R121" s="128"/>
      <c r="S121" s="95"/>
      <c r="T121" s="95"/>
      <c r="U121" s="96"/>
      <c r="V121" s="96"/>
      <c r="W121" s="96"/>
      <c r="X121" s="96"/>
      <c r="Y121" s="96"/>
      <c r="Z121" s="97"/>
    </row>
    <row r="122" spans="6:26" x14ac:dyDescent="0.25">
      <c r="F122" s="151" t="s">
        <v>457</v>
      </c>
      <c r="G122" s="126" t="s">
        <v>382</v>
      </c>
      <c r="H122" s="165" t="s">
        <v>403</v>
      </c>
      <c r="I122" s="126" t="s">
        <v>404</v>
      </c>
      <c r="J122" s="104"/>
      <c r="K122" s="104"/>
      <c r="L122" s="140"/>
      <c r="M122" s="101"/>
      <c r="N122" s="127"/>
      <c r="O122" s="95"/>
      <c r="P122" s="98"/>
      <c r="Q122" s="95"/>
      <c r="R122" s="128"/>
      <c r="S122" s="95"/>
      <c r="T122" s="95"/>
      <c r="U122" s="96"/>
      <c r="V122" s="96"/>
      <c r="W122" s="96"/>
      <c r="X122" s="96"/>
      <c r="Y122" s="96"/>
      <c r="Z122" s="97"/>
    </row>
    <row r="123" spans="6:26" x14ac:dyDescent="0.25">
      <c r="F123" s="151" t="s">
        <v>458</v>
      </c>
      <c r="G123" s="126" t="s">
        <v>384</v>
      </c>
      <c r="H123" s="165" t="s">
        <v>405</v>
      </c>
      <c r="I123" s="126" t="s">
        <v>406</v>
      </c>
      <c r="J123" s="104"/>
      <c r="K123" s="104"/>
      <c r="L123" s="140"/>
      <c r="M123" s="101"/>
      <c r="N123" s="127"/>
      <c r="O123" s="95"/>
      <c r="P123" s="98"/>
      <c r="Q123" s="95"/>
      <c r="R123" s="128"/>
      <c r="S123" s="95"/>
      <c r="T123" s="95"/>
      <c r="U123" s="96"/>
      <c r="V123" s="96"/>
      <c r="W123" s="96"/>
      <c r="X123" s="96"/>
      <c r="Y123" s="96"/>
      <c r="Z123" s="97"/>
    </row>
    <row r="124" spans="6:26" ht="26.25" x14ac:dyDescent="0.25">
      <c r="F124" s="151" t="s">
        <v>459</v>
      </c>
      <c r="G124" s="126" t="s">
        <v>379</v>
      </c>
      <c r="H124" s="165" t="s">
        <v>407</v>
      </c>
      <c r="I124" s="126" t="s">
        <v>408</v>
      </c>
      <c r="J124" s="104"/>
      <c r="K124" s="104"/>
      <c r="L124" s="140"/>
      <c r="M124" s="101"/>
      <c r="N124" s="127"/>
      <c r="O124" s="95"/>
      <c r="P124" s="98"/>
      <c r="Q124" s="95"/>
      <c r="R124" s="128"/>
      <c r="S124" s="95"/>
      <c r="T124" s="95"/>
      <c r="U124" s="96"/>
      <c r="V124" s="96"/>
      <c r="W124" s="96"/>
      <c r="X124" s="96"/>
      <c r="Y124" s="96"/>
      <c r="Z124" s="97"/>
    </row>
    <row r="125" spans="6:26" x14ac:dyDescent="0.25">
      <c r="F125" s="151" t="s">
        <v>461</v>
      </c>
      <c r="G125" s="126" t="s">
        <v>384</v>
      </c>
      <c r="H125" s="165" t="s">
        <v>409</v>
      </c>
      <c r="I125" s="126" t="s">
        <v>410</v>
      </c>
      <c r="J125" s="104"/>
      <c r="K125" s="104"/>
      <c r="L125" s="140"/>
      <c r="M125" s="101"/>
      <c r="N125" s="127"/>
      <c r="O125" s="95"/>
      <c r="P125" s="98"/>
      <c r="Q125" s="95"/>
      <c r="R125" s="128"/>
      <c r="S125" s="95"/>
      <c r="T125" s="95"/>
      <c r="U125" s="96"/>
      <c r="V125" s="96"/>
      <c r="W125" s="96"/>
      <c r="X125" s="96"/>
      <c r="Y125" s="96"/>
      <c r="Z125" s="97"/>
    </row>
    <row r="126" spans="6:26" x14ac:dyDescent="0.25">
      <c r="F126" s="153" t="s">
        <v>411</v>
      </c>
      <c r="G126" s="162"/>
      <c r="H126" s="162"/>
      <c r="I126" s="162"/>
      <c r="J126" s="104"/>
      <c r="K126" s="104"/>
      <c r="L126" s="140"/>
      <c r="M126" s="101"/>
      <c r="N126" s="127"/>
      <c r="O126" s="95"/>
      <c r="P126" s="98"/>
      <c r="Q126" s="95"/>
      <c r="R126" s="128"/>
      <c r="S126" s="95"/>
      <c r="T126" s="95"/>
      <c r="U126" s="96"/>
      <c r="V126" s="96"/>
      <c r="W126" s="96"/>
      <c r="X126" s="96"/>
      <c r="Y126" s="96"/>
      <c r="Z126" s="97"/>
    </row>
    <row r="127" spans="6:26" x14ac:dyDescent="0.25">
      <c r="F127" s="151" t="s">
        <v>375</v>
      </c>
      <c r="G127" s="126" t="s">
        <v>376</v>
      </c>
      <c r="H127" s="165" t="s">
        <v>377</v>
      </c>
      <c r="I127" s="126" t="s">
        <v>378</v>
      </c>
      <c r="J127" s="104"/>
      <c r="K127" s="104"/>
      <c r="L127" s="140"/>
      <c r="M127" s="101"/>
      <c r="N127" s="127"/>
      <c r="O127" s="95"/>
      <c r="P127" s="98"/>
      <c r="Q127" s="95"/>
      <c r="R127" s="128"/>
      <c r="S127" s="95"/>
      <c r="T127" s="95"/>
      <c r="U127" s="96"/>
      <c r="V127" s="96"/>
      <c r="W127" s="96"/>
      <c r="X127" s="96"/>
      <c r="Y127" s="96"/>
      <c r="Z127" s="97"/>
    </row>
    <row r="128" spans="6:26" x14ac:dyDescent="0.25">
      <c r="F128" s="151" t="s">
        <v>448</v>
      </c>
      <c r="G128" s="126" t="s">
        <v>379</v>
      </c>
      <c r="H128" s="165" t="s">
        <v>412</v>
      </c>
      <c r="I128" s="126" t="s">
        <v>413</v>
      </c>
      <c r="J128" s="104"/>
      <c r="K128" s="104"/>
      <c r="L128" s="140"/>
      <c r="M128" s="101"/>
      <c r="N128" s="127"/>
      <c r="O128" s="95"/>
      <c r="P128" s="98"/>
      <c r="Q128" s="95"/>
      <c r="R128" s="128"/>
      <c r="S128" s="95"/>
      <c r="T128" s="95"/>
      <c r="U128" s="96"/>
      <c r="V128" s="96"/>
      <c r="W128" s="96"/>
      <c r="X128" s="96"/>
      <c r="Y128" s="96"/>
      <c r="Z128" s="97"/>
    </row>
    <row r="129" spans="6:26" x14ac:dyDescent="0.25">
      <c r="F129" s="151" t="s">
        <v>450</v>
      </c>
      <c r="G129" s="126" t="s">
        <v>379</v>
      </c>
      <c r="H129" s="165" t="s">
        <v>414</v>
      </c>
      <c r="I129" s="126" t="s">
        <v>415</v>
      </c>
      <c r="J129" s="104"/>
      <c r="K129" s="104"/>
      <c r="L129" s="140"/>
      <c r="M129" s="101"/>
      <c r="N129" s="127"/>
      <c r="O129" s="95"/>
      <c r="P129" s="98"/>
      <c r="Q129" s="95"/>
      <c r="R129" s="128"/>
      <c r="S129" s="95"/>
      <c r="T129" s="95"/>
      <c r="U129" s="96"/>
      <c r="V129" s="96"/>
      <c r="W129" s="96"/>
      <c r="X129" s="96"/>
      <c r="Y129" s="96"/>
      <c r="Z129" s="97"/>
    </row>
    <row r="130" spans="6:26" x14ac:dyDescent="0.25">
      <c r="F130" s="151" t="s">
        <v>452</v>
      </c>
      <c r="G130" s="126" t="s">
        <v>382</v>
      </c>
      <c r="H130" s="165" t="s">
        <v>416</v>
      </c>
      <c r="I130" s="126" t="s">
        <v>417</v>
      </c>
      <c r="J130" s="104"/>
      <c r="K130" s="104"/>
      <c r="L130" s="140"/>
      <c r="M130" s="101"/>
      <c r="N130" s="127"/>
      <c r="O130" s="95"/>
      <c r="P130" s="98"/>
      <c r="Q130" s="95"/>
      <c r="R130" s="128"/>
      <c r="S130" s="95"/>
      <c r="T130" s="95"/>
      <c r="U130" s="96"/>
      <c r="V130" s="96"/>
      <c r="W130" s="96"/>
      <c r="X130" s="96"/>
      <c r="Y130" s="96"/>
      <c r="Z130" s="97"/>
    </row>
    <row r="131" spans="6:26" x14ac:dyDescent="0.25">
      <c r="F131" s="151" t="s">
        <v>454</v>
      </c>
      <c r="G131" s="126" t="s">
        <v>384</v>
      </c>
      <c r="H131" s="165" t="s">
        <v>418</v>
      </c>
      <c r="I131" s="126" t="s">
        <v>419</v>
      </c>
      <c r="J131" s="104"/>
      <c r="K131" s="104"/>
      <c r="L131" s="140"/>
      <c r="M131" s="101"/>
      <c r="N131" s="127"/>
      <c r="O131" s="95"/>
      <c r="P131" s="98"/>
      <c r="Q131" s="95"/>
      <c r="R131" s="128"/>
      <c r="S131" s="95"/>
      <c r="T131" s="95"/>
      <c r="U131" s="96"/>
      <c r="V131" s="96"/>
      <c r="W131" s="96"/>
      <c r="X131" s="96"/>
      <c r="Y131" s="96"/>
      <c r="Z131" s="97"/>
    </row>
    <row r="132" spans="6:26" x14ac:dyDescent="0.25">
      <c r="F132" s="151" t="s">
        <v>456</v>
      </c>
      <c r="G132" s="126" t="s">
        <v>386</v>
      </c>
      <c r="H132" s="165" t="s">
        <v>420</v>
      </c>
      <c r="I132" s="126" t="s">
        <v>421</v>
      </c>
      <c r="J132" s="104"/>
      <c r="K132" s="104"/>
      <c r="L132" s="140"/>
      <c r="M132" s="101"/>
      <c r="N132" s="127"/>
      <c r="O132" s="95"/>
      <c r="P132" s="98"/>
      <c r="Q132" s="95"/>
      <c r="R132" s="128"/>
      <c r="S132" s="95"/>
      <c r="T132" s="95"/>
      <c r="U132" s="96"/>
      <c r="V132" s="96"/>
      <c r="W132" s="96"/>
      <c r="X132" s="96"/>
      <c r="Y132" s="96"/>
      <c r="Z132" s="97"/>
    </row>
    <row r="133" spans="6:26" x14ac:dyDescent="0.25">
      <c r="F133" s="151" t="s">
        <v>457</v>
      </c>
      <c r="G133" s="126" t="s">
        <v>382</v>
      </c>
      <c r="H133" s="165" t="s">
        <v>422</v>
      </c>
      <c r="I133" s="126" t="s">
        <v>423</v>
      </c>
      <c r="J133" s="104"/>
      <c r="K133" s="104"/>
      <c r="L133" s="140"/>
      <c r="M133" s="101"/>
      <c r="N133" s="127"/>
      <c r="O133" s="95"/>
      <c r="P133" s="98"/>
      <c r="Q133" s="95"/>
      <c r="R133" s="128"/>
      <c r="S133" s="95"/>
      <c r="T133" s="95"/>
      <c r="U133" s="96"/>
      <c r="V133" s="96"/>
      <c r="W133" s="96"/>
      <c r="X133" s="96"/>
      <c r="Y133" s="96"/>
      <c r="Z133" s="97"/>
    </row>
    <row r="134" spans="6:26" x14ac:dyDescent="0.25">
      <c r="F134" s="151" t="s">
        <v>458</v>
      </c>
      <c r="G134" s="126" t="s">
        <v>384</v>
      </c>
      <c r="H134" s="165" t="s">
        <v>424</v>
      </c>
      <c r="I134" s="126" t="s">
        <v>425</v>
      </c>
      <c r="J134" s="104"/>
      <c r="K134" s="104"/>
      <c r="L134" s="140"/>
      <c r="M134" s="101"/>
      <c r="N134" s="127"/>
      <c r="O134" s="95"/>
      <c r="P134" s="98"/>
      <c r="Q134" s="95"/>
      <c r="R134" s="128"/>
      <c r="S134" s="95"/>
      <c r="T134" s="95"/>
      <c r="U134" s="96"/>
      <c r="V134" s="96"/>
      <c r="W134" s="96"/>
      <c r="X134" s="96"/>
      <c r="Y134" s="96"/>
      <c r="Z134" s="97"/>
    </row>
    <row r="135" spans="6:26" ht="26.25" x14ac:dyDescent="0.25">
      <c r="F135" s="151" t="s">
        <v>459</v>
      </c>
      <c r="G135" s="126" t="s">
        <v>379</v>
      </c>
      <c r="H135" s="165" t="s">
        <v>426</v>
      </c>
      <c r="I135" s="126" t="s">
        <v>427</v>
      </c>
      <c r="J135" s="104"/>
      <c r="K135" s="104"/>
      <c r="L135" s="140"/>
      <c r="M135" s="101"/>
      <c r="N135" s="127"/>
      <c r="O135" s="95"/>
      <c r="P135" s="98"/>
      <c r="Q135" s="95"/>
      <c r="R135" s="128"/>
      <c r="S135" s="95"/>
      <c r="T135" s="95"/>
      <c r="U135" s="96"/>
      <c r="V135" s="96"/>
      <c r="W135" s="96"/>
      <c r="X135" s="96"/>
      <c r="Y135" s="96"/>
      <c r="Z135" s="97"/>
    </row>
    <row r="136" spans="6:26" x14ac:dyDescent="0.25">
      <c r="F136" s="151" t="s">
        <v>461</v>
      </c>
      <c r="G136" s="126" t="s">
        <v>384</v>
      </c>
      <c r="H136" s="165" t="s">
        <v>428</v>
      </c>
      <c r="I136" s="126" t="s">
        <v>429</v>
      </c>
      <c r="J136" s="104"/>
      <c r="K136" s="104"/>
      <c r="L136" s="140"/>
      <c r="M136" s="101"/>
      <c r="N136" s="127"/>
      <c r="O136" s="95"/>
      <c r="P136" s="98"/>
      <c r="Q136" s="95"/>
      <c r="R136" s="128"/>
      <c r="S136" s="95"/>
      <c r="T136" s="95"/>
      <c r="U136" s="96"/>
      <c r="V136" s="96"/>
      <c r="W136" s="96"/>
      <c r="X136" s="96"/>
      <c r="Y136" s="96"/>
      <c r="Z136" s="97"/>
    </row>
    <row r="137" spans="6:26" x14ac:dyDescent="0.25">
      <c r="F137" s="153" t="s">
        <v>430</v>
      </c>
      <c r="G137" s="162"/>
      <c r="H137" s="162"/>
      <c r="I137" s="162"/>
      <c r="J137" s="104"/>
      <c r="K137" s="104"/>
      <c r="L137" s="140"/>
      <c r="M137" s="101"/>
      <c r="N137" s="127"/>
      <c r="O137" s="95"/>
      <c r="P137" s="98"/>
      <c r="Q137" s="95"/>
      <c r="R137" s="128"/>
      <c r="S137" s="95"/>
      <c r="T137" s="95"/>
      <c r="U137" s="96"/>
      <c r="V137" s="96"/>
      <c r="W137" s="96"/>
      <c r="X137" s="96"/>
      <c r="Y137" s="96"/>
      <c r="Z137" s="97"/>
    </row>
    <row r="138" spans="6:26" x14ac:dyDescent="0.25">
      <c r="F138" s="151" t="s">
        <v>375</v>
      </c>
      <c r="G138" s="126" t="s">
        <v>376</v>
      </c>
      <c r="H138" s="165" t="s">
        <v>377</v>
      </c>
      <c r="I138" s="126" t="s">
        <v>378</v>
      </c>
      <c r="J138" s="104"/>
      <c r="K138" s="104"/>
      <c r="L138" s="140"/>
      <c r="M138" s="101"/>
      <c r="N138" s="127"/>
      <c r="O138" s="95"/>
      <c r="P138" s="98"/>
      <c r="Q138" s="95"/>
      <c r="R138" s="128"/>
      <c r="S138" s="95"/>
      <c r="T138" s="95"/>
      <c r="U138" s="96"/>
      <c r="V138" s="96"/>
      <c r="W138" s="96"/>
      <c r="X138" s="96"/>
      <c r="Y138" s="96"/>
      <c r="Z138" s="97"/>
    </row>
    <row r="139" spans="6:26" x14ac:dyDescent="0.25">
      <c r="F139" s="151" t="s">
        <v>448</v>
      </c>
      <c r="G139" s="126" t="s">
        <v>379</v>
      </c>
      <c r="H139" s="165" t="s">
        <v>407</v>
      </c>
      <c r="I139" s="126" t="s">
        <v>408</v>
      </c>
      <c r="J139" s="104"/>
      <c r="K139" s="104"/>
      <c r="L139" s="140"/>
      <c r="M139" s="101"/>
      <c r="N139" s="127"/>
      <c r="O139" s="95"/>
      <c r="P139" s="98"/>
      <c r="Q139" s="95"/>
      <c r="R139" s="128"/>
      <c r="S139" s="95"/>
      <c r="T139" s="95"/>
      <c r="U139" s="96"/>
      <c r="V139" s="96"/>
      <c r="W139" s="96"/>
      <c r="X139" s="96"/>
      <c r="Y139" s="96"/>
      <c r="Z139" s="97"/>
    </row>
    <row r="140" spans="6:26" x14ac:dyDescent="0.25">
      <c r="F140" s="151" t="s">
        <v>450</v>
      </c>
      <c r="G140" s="126" t="s">
        <v>379</v>
      </c>
      <c r="H140" s="165" t="s">
        <v>431</v>
      </c>
      <c r="I140" s="126" t="s">
        <v>432</v>
      </c>
      <c r="J140" s="104"/>
      <c r="K140" s="104"/>
      <c r="L140" s="140"/>
      <c r="M140" s="101"/>
      <c r="N140" s="127"/>
      <c r="O140" s="95"/>
      <c r="P140" s="98"/>
      <c r="Q140" s="95"/>
      <c r="R140" s="128"/>
      <c r="S140" s="95"/>
      <c r="T140" s="95"/>
      <c r="U140" s="96"/>
      <c r="V140" s="96"/>
      <c r="W140" s="96"/>
      <c r="X140" s="96"/>
      <c r="Y140" s="96"/>
      <c r="Z140" s="97"/>
    </row>
    <row r="141" spans="6:26" x14ac:dyDescent="0.25">
      <c r="F141" s="151" t="s">
        <v>452</v>
      </c>
      <c r="G141" s="126" t="s">
        <v>382</v>
      </c>
      <c r="H141" s="165" t="s">
        <v>433</v>
      </c>
      <c r="I141" s="126" t="s">
        <v>434</v>
      </c>
      <c r="J141" s="104"/>
      <c r="K141" s="104"/>
      <c r="L141" s="140"/>
      <c r="M141" s="101"/>
      <c r="N141" s="127"/>
      <c r="O141" s="95"/>
      <c r="P141" s="98"/>
      <c r="Q141" s="95"/>
      <c r="R141" s="128"/>
      <c r="S141" s="95"/>
      <c r="T141" s="95"/>
      <c r="U141" s="96"/>
      <c r="V141" s="96"/>
      <c r="W141" s="96"/>
      <c r="X141" s="96"/>
      <c r="Y141" s="96"/>
      <c r="Z141" s="97"/>
    </row>
    <row r="142" spans="6:26" x14ac:dyDescent="0.25">
      <c r="F142" s="151" t="s">
        <v>454</v>
      </c>
      <c r="G142" s="126" t="s">
        <v>384</v>
      </c>
      <c r="H142" s="165" t="s">
        <v>405</v>
      </c>
      <c r="I142" s="126" t="s">
        <v>435</v>
      </c>
      <c r="J142" s="104"/>
      <c r="K142" s="104"/>
      <c r="L142" s="140"/>
      <c r="M142" s="101"/>
      <c r="N142" s="127"/>
      <c r="O142" s="95"/>
      <c r="P142" s="98"/>
      <c r="Q142" s="95"/>
      <c r="R142" s="128"/>
      <c r="S142" s="95"/>
      <c r="T142" s="95"/>
      <c r="U142" s="96"/>
      <c r="V142" s="96"/>
      <c r="W142" s="96"/>
      <c r="X142" s="96"/>
      <c r="Y142" s="96"/>
      <c r="Z142" s="97"/>
    </row>
    <row r="143" spans="6:26" x14ac:dyDescent="0.25">
      <c r="F143" s="151" t="s">
        <v>456</v>
      </c>
      <c r="G143" s="126" t="s">
        <v>386</v>
      </c>
      <c r="H143" s="165" t="s">
        <v>436</v>
      </c>
      <c r="I143" s="126" t="s">
        <v>437</v>
      </c>
      <c r="J143" s="104"/>
      <c r="K143" s="104"/>
      <c r="L143" s="140"/>
      <c r="M143" s="101"/>
      <c r="N143" s="127"/>
      <c r="O143" s="95"/>
      <c r="P143" s="98"/>
      <c r="Q143" s="95"/>
      <c r="R143" s="128"/>
      <c r="S143" s="95"/>
      <c r="T143" s="95"/>
      <c r="U143" s="96"/>
      <c r="V143" s="96"/>
      <c r="W143" s="96"/>
      <c r="X143" s="96"/>
      <c r="Y143" s="96"/>
      <c r="Z143" s="97"/>
    </row>
    <row r="144" spans="6:26" x14ac:dyDescent="0.25">
      <c r="F144" s="151" t="s">
        <v>457</v>
      </c>
      <c r="G144" s="126" t="s">
        <v>382</v>
      </c>
      <c r="H144" s="165" t="s">
        <v>438</v>
      </c>
      <c r="I144" s="126" t="s">
        <v>439</v>
      </c>
      <c r="J144" s="104"/>
      <c r="K144" s="104"/>
      <c r="L144" s="140"/>
      <c r="M144" s="101"/>
      <c r="N144" s="127"/>
      <c r="O144" s="95"/>
      <c r="P144" s="98"/>
      <c r="Q144" s="95"/>
      <c r="R144" s="128"/>
      <c r="S144" s="95"/>
      <c r="T144" s="95"/>
      <c r="U144" s="96"/>
      <c r="V144" s="96"/>
      <c r="W144" s="96"/>
      <c r="X144" s="96"/>
      <c r="Y144" s="96"/>
      <c r="Z144" s="97"/>
    </row>
    <row r="145" spans="6:26" x14ac:dyDescent="0.25">
      <c r="F145" s="151" t="s">
        <v>458</v>
      </c>
      <c r="G145" s="126" t="s">
        <v>384</v>
      </c>
      <c r="H145" s="165" t="s">
        <v>418</v>
      </c>
      <c r="I145" s="126" t="s">
        <v>440</v>
      </c>
      <c r="J145" s="104"/>
      <c r="K145" s="104"/>
      <c r="L145" s="140"/>
      <c r="M145" s="101"/>
      <c r="N145" s="127"/>
      <c r="O145" s="95"/>
      <c r="P145" s="98"/>
      <c r="Q145" s="95"/>
      <c r="R145" s="128"/>
      <c r="S145" s="95"/>
      <c r="T145" s="95"/>
      <c r="U145" s="96"/>
      <c r="V145" s="96"/>
      <c r="W145" s="96"/>
      <c r="X145" s="96"/>
      <c r="Y145" s="96"/>
      <c r="Z145" s="97"/>
    </row>
    <row r="146" spans="6:26" ht="26.25" x14ac:dyDescent="0.25">
      <c r="F146" s="151" t="s">
        <v>459</v>
      </c>
      <c r="G146" s="126" t="s">
        <v>379</v>
      </c>
      <c r="H146" s="165" t="s">
        <v>412</v>
      </c>
      <c r="I146" s="126" t="s">
        <v>413</v>
      </c>
      <c r="J146" s="104"/>
      <c r="K146" s="104"/>
      <c r="L146" s="140"/>
      <c r="M146" s="101"/>
      <c r="N146" s="127"/>
      <c r="O146" s="95"/>
      <c r="P146" s="98"/>
      <c r="Q146" s="95"/>
      <c r="R146" s="128"/>
      <c r="S146" s="95"/>
      <c r="T146" s="95"/>
      <c r="U146" s="96"/>
      <c r="V146" s="96"/>
      <c r="W146" s="96"/>
      <c r="X146" s="96"/>
      <c r="Y146" s="96"/>
      <c r="Z146" s="97"/>
    </row>
    <row r="147" spans="6:26" x14ac:dyDescent="0.25">
      <c r="F147" s="151" t="s">
        <v>461</v>
      </c>
      <c r="G147" s="126" t="s">
        <v>384</v>
      </c>
      <c r="H147" s="165" t="s">
        <v>441</v>
      </c>
      <c r="I147" s="126" t="s">
        <v>442</v>
      </c>
      <c r="J147" s="104"/>
      <c r="K147" s="104"/>
      <c r="L147" s="140"/>
      <c r="M147" s="101"/>
      <c r="N147" s="127"/>
      <c r="O147" s="95"/>
      <c r="P147" s="98"/>
      <c r="Q147" s="95"/>
      <c r="R147" s="128"/>
      <c r="S147" s="95"/>
      <c r="T147" s="95"/>
      <c r="U147" s="96"/>
      <c r="V147" s="96"/>
      <c r="W147" s="96"/>
      <c r="X147" s="96"/>
      <c r="Y147" s="96"/>
      <c r="Z147" s="97"/>
    </row>
    <row r="148" spans="6:26" x14ac:dyDescent="0.25">
      <c r="F148" s="153" t="s">
        <v>443</v>
      </c>
      <c r="G148" s="162"/>
      <c r="H148" s="162"/>
      <c r="I148" s="162"/>
      <c r="J148" s="104"/>
      <c r="K148" s="104"/>
      <c r="L148" s="140"/>
      <c r="M148" s="101"/>
      <c r="N148" s="127"/>
      <c r="O148" s="95"/>
      <c r="P148" s="98"/>
      <c r="Q148" s="95"/>
      <c r="R148" s="128"/>
      <c r="S148" s="95"/>
      <c r="T148" s="95"/>
      <c r="U148" s="96"/>
      <c r="V148" s="96"/>
      <c r="W148" s="96"/>
      <c r="X148" s="96"/>
      <c r="Y148" s="96"/>
      <c r="Z148" s="97"/>
    </row>
    <row r="149" spans="6:26" x14ac:dyDescent="0.25">
      <c r="F149" s="151" t="s">
        <v>375</v>
      </c>
      <c r="G149" s="126" t="s">
        <v>376</v>
      </c>
      <c r="H149" s="165" t="s">
        <v>377</v>
      </c>
      <c r="I149" s="126" t="s">
        <v>378</v>
      </c>
      <c r="J149" s="104"/>
      <c r="K149" s="104"/>
      <c r="L149" s="140"/>
      <c r="M149" s="101"/>
      <c r="N149" s="127"/>
      <c r="O149" s="95"/>
      <c r="P149" s="98"/>
      <c r="Q149" s="95"/>
      <c r="R149" s="128"/>
      <c r="S149" s="95"/>
      <c r="T149" s="95"/>
      <c r="U149" s="96"/>
      <c r="V149" s="96"/>
      <c r="W149" s="96"/>
      <c r="X149" s="96"/>
      <c r="Y149" s="96"/>
      <c r="Z149" s="97"/>
    </row>
    <row r="150" spans="6:26" x14ac:dyDescent="0.25">
      <c r="F150" s="151" t="s">
        <v>457</v>
      </c>
      <c r="G150" s="126" t="s">
        <v>382</v>
      </c>
      <c r="H150" s="165" t="s">
        <v>444</v>
      </c>
      <c r="I150" s="126" t="s">
        <v>445</v>
      </c>
      <c r="J150" s="104"/>
      <c r="K150" s="104"/>
      <c r="L150" s="140"/>
      <c r="M150" s="101"/>
      <c r="N150" s="127"/>
      <c r="O150" s="95"/>
      <c r="P150" s="98"/>
      <c r="Q150" s="95"/>
      <c r="R150" s="128"/>
      <c r="S150" s="95"/>
      <c r="T150" s="95"/>
      <c r="U150" s="96"/>
      <c r="V150" s="96"/>
      <c r="W150" s="96"/>
      <c r="X150" s="96"/>
      <c r="Y150" s="96"/>
      <c r="Z150" s="97"/>
    </row>
    <row r="151" spans="6:26" ht="26.25" x14ac:dyDescent="0.25">
      <c r="F151" s="151" t="s">
        <v>459</v>
      </c>
      <c r="G151" s="126" t="s">
        <v>379</v>
      </c>
      <c r="H151" s="165" t="s">
        <v>446</v>
      </c>
      <c r="I151" s="126" t="s">
        <v>447</v>
      </c>
      <c r="J151" s="104"/>
      <c r="K151" s="104"/>
      <c r="L151" s="140"/>
      <c r="M151" s="101"/>
      <c r="N151" s="127"/>
      <c r="O151" s="95"/>
      <c r="P151" s="98"/>
      <c r="Q151" s="95"/>
      <c r="R151" s="128"/>
      <c r="S151" s="95"/>
      <c r="T151" s="95"/>
      <c r="U151" s="96"/>
      <c r="V151" s="96"/>
      <c r="W151" s="96"/>
      <c r="X151" s="96"/>
      <c r="Y151" s="96"/>
      <c r="Z151" s="97"/>
    </row>
    <row r="152" spans="6:26" x14ac:dyDescent="0.25">
      <c r="F152" s="103"/>
      <c r="G152" s="104"/>
      <c r="H152" s="104"/>
      <c r="I152" s="104"/>
      <c r="J152" s="104"/>
      <c r="K152" s="104"/>
      <c r="L152" s="140"/>
      <c r="M152" s="101"/>
      <c r="N152" s="127"/>
      <c r="O152" s="95"/>
      <c r="P152" s="98"/>
      <c r="Q152" s="95"/>
      <c r="R152" s="128"/>
      <c r="S152" s="95"/>
      <c r="T152" s="95"/>
      <c r="U152" s="96"/>
      <c r="V152" s="96"/>
      <c r="W152" s="96"/>
      <c r="X152" s="96"/>
      <c r="Y152" s="96"/>
      <c r="Z152" s="97"/>
    </row>
    <row r="153" spans="6:26" x14ac:dyDescent="0.25">
      <c r="F153" s="103"/>
      <c r="G153" s="104"/>
      <c r="H153" s="104"/>
      <c r="I153" s="104"/>
      <c r="J153" s="104"/>
      <c r="K153" s="104"/>
      <c r="L153" s="140"/>
      <c r="M153" s="101"/>
      <c r="N153" s="127"/>
      <c r="O153" s="95"/>
      <c r="P153" s="98"/>
      <c r="Q153" s="95"/>
      <c r="R153" s="128"/>
      <c r="S153" s="95"/>
      <c r="T153" s="95"/>
      <c r="U153" s="96"/>
      <c r="V153" s="96"/>
      <c r="W153" s="96"/>
      <c r="X153" s="96"/>
      <c r="Y153" s="96"/>
      <c r="Z153" s="97"/>
    </row>
    <row r="154" spans="6:26" x14ac:dyDescent="0.25">
      <c r="F154" s="103"/>
      <c r="G154" s="104"/>
      <c r="H154" s="104"/>
      <c r="I154" s="104"/>
      <c r="J154" s="104"/>
      <c r="K154" s="104"/>
      <c r="L154" s="140"/>
      <c r="M154" s="101"/>
      <c r="N154" s="127"/>
      <c r="O154" s="95"/>
      <c r="P154" s="98"/>
      <c r="Q154" s="95"/>
      <c r="R154" s="128"/>
      <c r="S154" s="95"/>
      <c r="T154" s="95"/>
      <c r="U154" s="96"/>
      <c r="V154" s="96"/>
      <c r="W154" s="96"/>
      <c r="X154" s="96"/>
      <c r="Y154" s="96"/>
      <c r="Z154" s="97"/>
    </row>
    <row r="155" spans="6:26" x14ac:dyDescent="0.25">
      <c r="F155" s="103"/>
      <c r="G155" s="104"/>
      <c r="H155" s="104"/>
      <c r="I155" s="104"/>
      <c r="J155" s="104"/>
      <c r="K155" s="104"/>
      <c r="L155" s="140"/>
      <c r="M155" s="101"/>
      <c r="N155" s="127"/>
      <c r="O155" s="95"/>
      <c r="P155" s="98"/>
      <c r="Q155" s="95"/>
      <c r="R155" s="128"/>
      <c r="S155" s="95"/>
      <c r="T155" s="95"/>
      <c r="U155" s="96"/>
      <c r="V155" s="96"/>
      <c r="W155" s="96"/>
      <c r="X155" s="96"/>
      <c r="Y155" s="96"/>
      <c r="Z155" s="97"/>
    </row>
    <row r="156" spans="6:26" x14ac:dyDescent="0.25">
      <c r="F156" s="103"/>
      <c r="G156" s="104"/>
      <c r="H156" s="104"/>
      <c r="I156" s="104"/>
      <c r="J156" s="104"/>
      <c r="K156" s="104"/>
      <c r="L156" s="140"/>
      <c r="M156" s="101"/>
      <c r="N156" s="127"/>
      <c r="O156" s="95"/>
      <c r="P156" s="98"/>
      <c r="Q156" s="95"/>
      <c r="R156" s="128"/>
      <c r="S156" s="95"/>
      <c r="T156" s="95"/>
      <c r="U156" s="96"/>
      <c r="V156" s="96"/>
      <c r="W156" s="96"/>
      <c r="X156" s="96"/>
      <c r="Y156" s="96"/>
      <c r="Z156" s="97"/>
    </row>
    <row r="157" spans="6:26" x14ac:dyDescent="0.25">
      <c r="F157" s="103"/>
      <c r="G157" s="104"/>
      <c r="H157" s="104"/>
      <c r="I157" s="104"/>
      <c r="J157" s="104"/>
      <c r="K157" s="104"/>
      <c r="L157" s="140"/>
      <c r="M157" s="101"/>
      <c r="N157" s="127"/>
      <c r="O157" s="95"/>
      <c r="P157" s="98"/>
      <c r="Q157" s="95"/>
      <c r="R157" s="128"/>
      <c r="S157" s="95"/>
      <c r="T157" s="95"/>
      <c r="U157" s="96"/>
      <c r="V157" s="96"/>
      <c r="W157" s="96"/>
      <c r="X157" s="96"/>
      <c r="Y157" s="96"/>
      <c r="Z157" s="97"/>
    </row>
    <row r="158" spans="6:26" x14ac:dyDescent="0.25">
      <c r="F158" s="103"/>
      <c r="G158" s="104"/>
      <c r="H158" s="104"/>
      <c r="I158" s="104"/>
      <c r="J158" s="104"/>
      <c r="K158" s="104"/>
      <c r="L158" s="140"/>
      <c r="M158" s="101"/>
      <c r="N158" s="127"/>
      <c r="O158" s="95"/>
      <c r="P158" s="98"/>
      <c r="Q158" s="95"/>
      <c r="R158" s="128"/>
      <c r="S158" s="95"/>
      <c r="T158" s="95"/>
      <c r="U158" s="96"/>
      <c r="V158" s="96"/>
      <c r="W158" s="96"/>
      <c r="X158" s="96"/>
      <c r="Y158" s="96"/>
      <c r="Z158" s="97"/>
    </row>
    <row r="159" spans="6:26" x14ac:dyDescent="0.25">
      <c r="F159" s="103"/>
      <c r="G159" s="104"/>
      <c r="H159" s="104"/>
      <c r="I159" s="104"/>
      <c r="J159" s="104"/>
      <c r="K159" s="104"/>
      <c r="L159" s="140"/>
      <c r="M159" s="101"/>
      <c r="N159" s="127"/>
      <c r="O159" s="95"/>
      <c r="P159" s="98"/>
      <c r="Q159" s="95"/>
      <c r="R159" s="128"/>
      <c r="S159" s="95"/>
      <c r="T159" s="95"/>
      <c r="U159" s="96"/>
      <c r="V159" s="96"/>
      <c r="W159" s="96"/>
      <c r="X159" s="96"/>
      <c r="Y159" s="96"/>
      <c r="Z159" s="97"/>
    </row>
    <row r="160" spans="6:26" x14ac:dyDescent="0.25">
      <c r="F160" s="103"/>
      <c r="G160" s="104"/>
      <c r="H160" s="104"/>
      <c r="I160" s="104"/>
      <c r="J160" s="104"/>
      <c r="K160" s="104"/>
      <c r="L160" s="140"/>
      <c r="M160" s="101"/>
      <c r="N160" s="127"/>
      <c r="O160" s="95"/>
      <c r="P160" s="98"/>
      <c r="Q160" s="95"/>
      <c r="R160" s="128"/>
      <c r="S160" s="95"/>
      <c r="T160" s="95"/>
      <c r="U160" s="96"/>
      <c r="V160" s="96"/>
      <c r="W160" s="96"/>
      <c r="X160" s="96"/>
      <c r="Y160" s="96"/>
      <c r="Z160" s="97"/>
    </row>
    <row r="161" spans="6:26" x14ac:dyDescent="0.25">
      <c r="F161" s="103"/>
      <c r="G161" s="104"/>
      <c r="H161" s="104"/>
      <c r="I161" s="104"/>
      <c r="J161" s="104"/>
      <c r="K161" s="104"/>
      <c r="L161" s="140"/>
      <c r="M161" s="101"/>
      <c r="N161" s="127"/>
      <c r="O161" s="95"/>
      <c r="P161" s="98"/>
      <c r="Q161" s="95"/>
      <c r="R161" s="128"/>
      <c r="S161" s="95"/>
      <c r="T161" s="95"/>
      <c r="U161" s="96"/>
      <c r="V161" s="96"/>
      <c r="W161" s="96"/>
      <c r="X161" s="96"/>
      <c r="Y161" s="96"/>
      <c r="Z161" s="97"/>
    </row>
    <row r="162" spans="6:26" x14ac:dyDescent="0.25">
      <c r="F162" s="103"/>
      <c r="G162" s="104"/>
      <c r="H162" s="104"/>
      <c r="I162" s="104"/>
      <c r="J162" s="104"/>
      <c r="K162" s="104"/>
      <c r="L162" s="140"/>
      <c r="M162" s="101"/>
      <c r="N162" s="127"/>
      <c r="O162" s="95"/>
      <c r="P162" s="98"/>
      <c r="Q162" s="95"/>
      <c r="R162" s="128"/>
      <c r="S162" s="95"/>
      <c r="T162" s="95"/>
      <c r="U162" s="96"/>
      <c r="V162" s="96"/>
      <c r="W162" s="96"/>
      <c r="X162" s="96"/>
      <c r="Y162" s="96"/>
      <c r="Z162" s="97"/>
    </row>
    <row r="163" spans="6:26" x14ac:dyDescent="0.25">
      <c r="F163" s="103"/>
      <c r="G163" s="104"/>
      <c r="H163" s="104"/>
      <c r="I163" s="104"/>
      <c r="J163" s="104"/>
      <c r="K163" s="104"/>
      <c r="L163" s="140"/>
      <c r="M163" s="101"/>
      <c r="N163" s="127"/>
      <c r="O163" s="95"/>
      <c r="P163" s="98"/>
      <c r="Q163" s="95"/>
      <c r="R163" s="128"/>
      <c r="S163" s="95"/>
      <c r="T163" s="95"/>
      <c r="U163" s="96"/>
      <c r="V163" s="96"/>
      <c r="W163" s="96"/>
      <c r="X163" s="96"/>
      <c r="Y163" s="96"/>
      <c r="Z163" s="97"/>
    </row>
    <row r="164" spans="6:26" x14ac:dyDescent="0.25">
      <c r="F164" s="103"/>
      <c r="G164" s="104"/>
      <c r="H164" s="104"/>
      <c r="I164" s="104"/>
      <c r="J164" s="104"/>
      <c r="K164" s="104"/>
      <c r="L164" s="140"/>
      <c r="M164" s="101"/>
      <c r="N164" s="127"/>
      <c r="O164" s="95"/>
      <c r="P164" s="98"/>
      <c r="Q164" s="95"/>
      <c r="R164" s="128"/>
      <c r="S164" s="95"/>
      <c r="T164" s="95"/>
      <c r="U164" s="96"/>
      <c r="V164" s="96"/>
      <c r="W164" s="96"/>
      <c r="X164" s="96"/>
      <c r="Y164" s="96"/>
      <c r="Z164" s="97"/>
    </row>
    <row r="165" spans="6:26" x14ac:dyDescent="0.25">
      <c r="F165" s="103"/>
      <c r="G165" s="104"/>
      <c r="H165" s="104"/>
      <c r="I165" s="104"/>
      <c r="J165" s="104"/>
      <c r="K165" s="104"/>
      <c r="L165" s="140"/>
      <c r="M165" s="101"/>
      <c r="N165" s="127"/>
      <c r="O165" s="95"/>
      <c r="P165" s="98"/>
      <c r="Q165" s="95"/>
      <c r="R165" s="128"/>
      <c r="S165" s="95"/>
      <c r="T165" s="95"/>
      <c r="U165" s="96"/>
      <c r="V165" s="96"/>
      <c r="W165" s="96"/>
      <c r="X165" s="96"/>
      <c r="Y165" s="96"/>
      <c r="Z165" s="97"/>
    </row>
    <row r="166" spans="6:26" x14ac:dyDescent="0.25">
      <c r="F166" s="103"/>
      <c r="G166" s="104"/>
      <c r="H166" s="104"/>
      <c r="I166" s="104"/>
      <c r="J166" s="104"/>
      <c r="K166" s="104"/>
      <c r="L166" s="140"/>
      <c r="M166" s="101"/>
      <c r="N166" s="127"/>
      <c r="O166" s="95"/>
      <c r="P166" s="98"/>
      <c r="Q166" s="95"/>
      <c r="R166" s="128"/>
      <c r="S166" s="95"/>
      <c r="T166" s="95"/>
      <c r="U166" s="96"/>
      <c r="V166" s="96"/>
      <c r="W166" s="96"/>
      <c r="X166" s="96"/>
      <c r="Y166" s="96"/>
      <c r="Z166" s="97"/>
    </row>
    <row r="167" spans="6:26" x14ac:dyDescent="0.25">
      <c r="F167" s="103"/>
      <c r="G167" s="104"/>
      <c r="H167" s="104"/>
      <c r="I167" s="104"/>
      <c r="J167" s="104"/>
      <c r="K167" s="104"/>
      <c r="L167" s="140"/>
      <c r="M167" s="101"/>
      <c r="N167" s="127"/>
      <c r="O167" s="95"/>
      <c r="P167" s="98"/>
      <c r="Q167" s="95"/>
      <c r="R167" s="128"/>
      <c r="S167" s="95"/>
      <c r="T167" s="95"/>
      <c r="U167" s="96"/>
      <c r="V167" s="96"/>
      <c r="W167" s="96"/>
      <c r="X167" s="96"/>
      <c r="Y167" s="96"/>
      <c r="Z167" s="97"/>
    </row>
    <row r="168" spans="6:26" x14ac:dyDescent="0.25">
      <c r="F168" s="103"/>
      <c r="G168" s="104"/>
      <c r="H168" s="104"/>
      <c r="I168" s="104"/>
      <c r="J168" s="104"/>
      <c r="K168" s="104"/>
      <c r="L168" s="140"/>
      <c r="M168" s="101"/>
      <c r="N168" s="127"/>
      <c r="O168" s="95"/>
      <c r="P168" s="98"/>
      <c r="Q168" s="95"/>
      <c r="R168" s="128"/>
      <c r="S168" s="95"/>
      <c r="T168" s="95"/>
      <c r="U168" s="96"/>
      <c r="V168" s="96"/>
      <c r="W168" s="96"/>
      <c r="X168" s="96"/>
      <c r="Y168" s="96"/>
      <c r="Z168" s="97"/>
    </row>
    <row r="169" spans="6:26" x14ac:dyDescent="0.25">
      <c r="F169" s="103"/>
      <c r="G169" s="104"/>
      <c r="H169" s="104"/>
      <c r="I169" s="104"/>
      <c r="J169" s="104"/>
      <c r="K169" s="104"/>
      <c r="L169" s="140"/>
      <c r="M169" s="101"/>
      <c r="N169" s="127"/>
      <c r="O169" s="95"/>
      <c r="P169" s="98"/>
      <c r="Q169" s="95"/>
      <c r="R169" s="128"/>
      <c r="S169" s="95"/>
      <c r="T169" s="95"/>
      <c r="U169" s="96"/>
      <c r="V169" s="96"/>
      <c r="W169" s="96"/>
      <c r="X169" s="96"/>
      <c r="Y169" s="96"/>
      <c r="Z169" s="97"/>
    </row>
    <row r="170" spans="6:26" x14ac:dyDescent="0.25">
      <c r="F170" s="103"/>
      <c r="G170" s="104"/>
      <c r="H170" s="104"/>
      <c r="I170" s="104"/>
      <c r="J170" s="104"/>
      <c r="K170" s="104"/>
      <c r="L170" s="140"/>
      <c r="M170" s="101"/>
      <c r="N170" s="127"/>
      <c r="O170" s="95"/>
      <c r="P170" s="98"/>
      <c r="Q170" s="95"/>
      <c r="R170" s="128"/>
      <c r="S170" s="95"/>
      <c r="T170" s="95"/>
      <c r="U170" s="96"/>
      <c r="V170" s="96"/>
      <c r="W170" s="96"/>
      <c r="X170" s="96"/>
      <c r="Y170" s="96"/>
      <c r="Z170" s="97"/>
    </row>
    <row r="171" spans="6:26" x14ac:dyDescent="0.25">
      <c r="F171" s="103"/>
      <c r="G171" s="104"/>
      <c r="H171" s="104"/>
      <c r="I171" s="104"/>
      <c r="J171" s="104"/>
      <c r="K171" s="104"/>
      <c r="L171" s="140"/>
      <c r="M171" s="101"/>
      <c r="N171" s="127"/>
      <c r="O171" s="95"/>
      <c r="P171" s="98"/>
      <c r="Q171" s="95"/>
      <c r="R171" s="128"/>
      <c r="S171" s="95"/>
      <c r="T171" s="95"/>
      <c r="U171" s="96"/>
      <c r="V171" s="96"/>
      <c r="W171" s="96"/>
      <c r="X171" s="96"/>
      <c r="Y171" s="96"/>
      <c r="Z171" s="97"/>
    </row>
    <row r="172" spans="6:26" x14ac:dyDescent="0.25">
      <c r="F172" s="103"/>
      <c r="G172" s="104"/>
      <c r="H172" s="104"/>
      <c r="I172" s="104"/>
      <c r="J172" s="104"/>
      <c r="K172" s="104"/>
      <c r="L172" s="140"/>
      <c r="M172" s="101"/>
      <c r="N172" s="127"/>
      <c r="O172" s="95"/>
      <c r="P172" s="98"/>
      <c r="Q172" s="95"/>
      <c r="R172" s="128"/>
      <c r="S172" s="95"/>
      <c r="T172" s="95"/>
      <c r="U172" s="96"/>
      <c r="V172" s="96"/>
      <c r="W172" s="96"/>
      <c r="X172" s="96"/>
      <c r="Y172" s="96"/>
      <c r="Z172" s="97"/>
    </row>
    <row r="173" spans="6:26" x14ac:dyDescent="0.25">
      <c r="F173" s="103"/>
      <c r="G173" s="104"/>
      <c r="H173" s="104"/>
      <c r="I173" s="104"/>
      <c r="J173" s="104"/>
      <c r="K173" s="104"/>
      <c r="L173" s="140"/>
      <c r="M173" s="101"/>
      <c r="N173" s="127"/>
      <c r="O173" s="95"/>
      <c r="P173" s="98"/>
      <c r="Q173" s="95"/>
      <c r="R173" s="128"/>
      <c r="S173" s="95"/>
      <c r="T173" s="95"/>
      <c r="U173" s="96"/>
      <c r="V173" s="96"/>
      <c r="W173" s="96"/>
      <c r="X173" s="96"/>
      <c r="Y173" s="96"/>
      <c r="Z173" s="97"/>
    </row>
    <row r="174" spans="6:26" x14ac:dyDescent="0.25">
      <c r="F174" s="103"/>
      <c r="G174" s="104"/>
      <c r="H174" s="104"/>
      <c r="I174" s="104"/>
      <c r="J174" s="104"/>
      <c r="K174" s="104"/>
      <c r="L174" s="140"/>
      <c r="M174" s="101"/>
      <c r="N174" s="127"/>
      <c r="O174" s="95"/>
      <c r="P174" s="98"/>
      <c r="Q174" s="95"/>
      <c r="R174" s="128"/>
      <c r="S174" s="95"/>
      <c r="T174" s="95"/>
      <c r="U174" s="96"/>
      <c r="V174" s="96"/>
      <c r="W174" s="96"/>
      <c r="X174" s="96"/>
      <c r="Y174" s="96"/>
      <c r="Z174" s="97"/>
    </row>
    <row r="175" spans="6:26" x14ac:dyDescent="0.25">
      <c r="F175" s="103"/>
      <c r="G175" s="104"/>
      <c r="H175" s="104"/>
      <c r="I175" s="104"/>
      <c r="J175" s="104"/>
      <c r="K175" s="104"/>
      <c r="L175" s="140"/>
      <c r="M175" s="101"/>
      <c r="N175" s="127"/>
      <c r="O175" s="95"/>
      <c r="P175" s="98"/>
      <c r="Q175" s="95"/>
      <c r="R175" s="128"/>
      <c r="S175" s="95"/>
      <c r="T175" s="95"/>
      <c r="U175" s="96"/>
      <c r="V175" s="96"/>
      <c r="W175" s="96"/>
      <c r="X175" s="96"/>
      <c r="Y175" s="96"/>
      <c r="Z175" s="97"/>
    </row>
    <row r="176" spans="6:26" x14ac:dyDescent="0.25">
      <c r="F176" s="103"/>
      <c r="G176" s="104"/>
      <c r="H176" s="104"/>
      <c r="I176" s="104"/>
      <c r="J176" s="104"/>
      <c r="K176" s="104"/>
      <c r="L176" s="140"/>
      <c r="M176" s="101"/>
      <c r="N176" s="127"/>
      <c r="O176" s="95"/>
      <c r="P176" s="98"/>
      <c r="Q176" s="95"/>
      <c r="R176" s="128"/>
      <c r="S176" s="95"/>
      <c r="T176" s="95"/>
      <c r="U176" s="96"/>
      <c r="V176" s="96"/>
      <c r="W176" s="96"/>
      <c r="X176" s="96"/>
      <c r="Y176" s="96"/>
      <c r="Z176" s="97"/>
    </row>
    <row r="177" spans="6:26" x14ac:dyDescent="0.25">
      <c r="F177" s="103"/>
      <c r="G177" s="104"/>
      <c r="H177" s="104"/>
      <c r="I177" s="104"/>
      <c r="J177" s="104"/>
      <c r="K177" s="104"/>
      <c r="L177" s="140"/>
      <c r="M177" s="101"/>
      <c r="N177" s="127"/>
      <c r="O177" s="95"/>
      <c r="P177" s="98"/>
      <c r="Q177" s="95"/>
      <c r="R177" s="128"/>
      <c r="S177" s="95"/>
      <c r="T177" s="95"/>
      <c r="U177" s="96"/>
      <c r="V177" s="96"/>
      <c r="W177" s="96"/>
      <c r="X177" s="96"/>
      <c r="Y177" s="96"/>
      <c r="Z177" s="97"/>
    </row>
    <row r="178" spans="6:26" x14ac:dyDescent="0.25">
      <c r="F178" s="103"/>
      <c r="G178" s="104"/>
      <c r="H178" s="104"/>
      <c r="I178" s="104"/>
      <c r="J178" s="104"/>
      <c r="K178" s="104"/>
      <c r="L178" s="140"/>
      <c r="M178" s="101"/>
      <c r="N178" s="127"/>
      <c r="O178" s="95"/>
      <c r="P178" s="98"/>
      <c r="Q178" s="95"/>
      <c r="R178" s="128"/>
      <c r="S178" s="95"/>
      <c r="T178" s="95"/>
      <c r="U178" s="96"/>
      <c r="V178" s="96"/>
      <c r="W178" s="96"/>
      <c r="X178" s="96"/>
      <c r="Y178" s="96"/>
      <c r="Z178" s="97"/>
    </row>
    <row r="179" spans="6:26" x14ac:dyDescent="0.25">
      <c r="F179" s="103"/>
      <c r="G179" s="104"/>
      <c r="H179" s="104"/>
      <c r="I179" s="104"/>
      <c r="J179" s="104"/>
      <c r="K179" s="104"/>
      <c r="L179" s="140"/>
      <c r="M179" s="101"/>
      <c r="N179" s="127"/>
      <c r="O179" s="95"/>
      <c r="P179" s="98"/>
      <c r="Q179" s="95"/>
      <c r="R179" s="128"/>
      <c r="S179" s="95"/>
      <c r="T179" s="95"/>
      <c r="U179" s="96"/>
      <c r="V179" s="96"/>
      <c r="W179" s="96"/>
      <c r="X179" s="96"/>
      <c r="Y179" s="96"/>
      <c r="Z179" s="97"/>
    </row>
    <row r="180" spans="6:26" x14ac:dyDescent="0.25">
      <c r="F180" s="103"/>
      <c r="G180" s="104"/>
      <c r="H180" s="104"/>
      <c r="I180" s="104"/>
      <c r="J180" s="104"/>
      <c r="K180" s="104"/>
      <c r="L180" s="140"/>
      <c r="M180" s="101"/>
      <c r="N180" s="127"/>
      <c r="O180" s="95"/>
      <c r="P180" s="98"/>
      <c r="Q180" s="95"/>
      <c r="R180" s="128"/>
      <c r="S180" s="95"/>
      <c r="T180" s="95"/>
      <c r="U180" s="96"/>
      <c r="V180" s="96"/>
      <c r="W180" s="96"/>
      <c r="X180" s="96"/>
      <c r="Y180" s="96"/>
      <c r="Z180" s="97"/>
    </row>
    <row r="181" spans="6:26" x14ac:dyDescent="0.25">
      <c r="F181" s="103"/>
      <c r="G181" s="104"/>
      <c r="H181" s="104"/>
      <c r="I181" s="104"/>
      <c r="J181" s="104"/>
      <c r="K181" s="104"/>
      <c r="L181" s="140"/>
      <c r="M181" s="101"/>
      <c r="N181" s="127"/>
      <c r="O181" s="95"/>
      <c r="P181" s="98"/>
      <c r="Q181" s="95"/>
      <c r="R181" s="128"/>
      <c r="S181" s="95"/>
      <c r="T181" s="95"/>
      <c r="U181" s="96"/>
      <c r="V181" s="96"/>
      <c r="W181" s="96"/>
      <c r="X181" s="96"/>
      <c r="Y181" s="96"/>
      <c r="Z181" s="97"/>
    </row>
    <row r="182" spans="6:26" x14ac:dyDescent="0.25">
      <c r="F182" s="103"/>
      <c r="G182" s="104"/>
      <c r="H182" s="104"/>
      <c r="I182" s="104"/>
      <c r="J182" s="104"/>
      <c r="K182" s="104"/>
      <c r="L182" s="140"/>
      <c r="M182" s="101"/>
      <c r="N182" s="127"/>
      <c r="O182" s="95"/>
      <c r="P182" s="98"/>
      <c r="Q182" s="95"/>
      <c r="R182" s="128"/>
      <c r="S182" s="95"/>
      <c r="T182" s="95"/>
      <c r="U182" s="96"/>
      <c r="V182" s="96"/>
      <c r="W182" s="96"/>
      <c r="X182" s="96"/>
      <c r="Y182" s="96"/>
      <c r="Z182" s="97"/>
    </row>
    <row r="183" spans="6:26" x14ac:dyDescent="0.25">
      <c r="F183" s="103"/>
      <c r="G183" s="104"/>
      <c r="H183" s="104"/>
      <c r="I183" s="104"/>
      <c r="J183" s="104"/>
      <c r="K183" s="104"/>
      <c r="L183" s="140"/>
      <c r="M183" s="101"/>
      <c r="N183" s="127"/>
      <c r="O183" s="95"/>
      <c r="P183" s="98"/>
      <c r="Q183" s="95"/>
      <c r="R183" s="128"/>
      <c r="S183" s="95"/>
      <c r="T183" s="95"/>
      <c r="U183" s="96"/>
      <c r="V183" s="96"/>
      <c r="W183" s="96"/>
      <c r="X183" s="96"/>
      <c r="Y183" s="96"/>
      <c r="Z183" s="97"/>
    </row>
    <row r="184" spans="6:26" x14ac:dyDescent="0.25">
      <c r="F184" s="103"/>
      <c r="G184" s="104"/>
      <c r="H184" s="104"/>
      <c r="I184" s="104"/>
      <c r="J184" s="104"/>
      <c r="K184" s="104"/>
      <c r="L184" s="140"/>
      <c r="M184" s="101"/>
      <c r="N184" s="127"/>
      <c r="O184" s="95"/>
      <c r="P184" s="98"/>
      <c r="Q184" s="95"/>
      <c r="R184" s="128"/>
      <c r="S184" s="95"/>
      <c r="T184" s="95"/>
      <c r="U184" s="96"/>
      <c r="V184" s="96"/>
      <c r="W184" s="96"/>
      <c r="X184" s="96"/>
      <c r="Y184" s="96"/>
      <c r="Z184" s="97"/>
    </row>
    <row r="185" spans="6:26" x14ac:dyDescent="0.25">
      <c r="F185" s="103"/>
      <c r="G185" s="104"/>
      <c r="H185" s="104"/>
      <c r="I185" s="104"/>
      <c r="J185" s="104"/>
      <c r="K185" s="104"/>
      <c r="L185" s="140"/>
      <c r="M185" s="101"/>
      <c r="N185" s="127"/>
      <c r="O185" s="95"/>
      <c r="P185" s="98"/>
      <c r="Q185" s="95"/>
      <c r="R185" s="128"/>
      <c r="S185" s="95"/>
      <c r="T185" s="95"/>
      <c r="U185" s="96"/>
      <c r="V185" s="96"/>
      <c r="W185" s="96"/>
      <c r="X185" s="96"/>
      <c r="Y185" s="96"/>
      <c r="Z185" s="97"/>
    </row>
    <row r="186" spans="6:26" x14ac:dyDescent="0.25">
      <c r="F186" s="103"/>
      <c r="G186" s="104"/>
      <c r="H186" s="104"/>
      <c r="I186" s="104"/>
      <c r="J186" s="104"/>
      <c r="K186" s="104"/>
      <c r="L186" s="140"/>
      <c r="M186" s="101"/>
      <c r="N186" s="127"/>
      <c r="O186" s="95"/>
      <c r="P186" s="98"/>
      <c r="Q186" s="95"/>
      <c r="R186" s="128"/>
      <c r="S186" s="95"/>
      <c r="T186" s="95"/>
      <c r="U186" s="96"/>
      <c r="V186" s="96"/>
      <c r="W186" s="96"/>
      <c r="X186" s="96"/>
      <c r="Y186" s="96"/>
      <c r="Z186" s="97"/>
    </row>
    <row r="187" spans="6:26" x14ac:dyDescent="0.25">
      <c r="F187" s="103"/>
      <c r="G187" s="104"/>
      <c r="H187" s="104"/>
      <c r="I187" s="104"/>
      <c r="J187" s="104"/>
      <c r="K187" s="104"/>
      <c r="L187" s="140"/>
      <c r="M187" s="101"/>
      <c r="N187" s="127"/>
      <c r="O187" s="95"/>
      <c r="P187" s="98"/>
      <c r="Q187" s="95"/>
      <c r="R187" s="128"/>
      <c r="S187" s="95"/>
      <c r="T187" s="95"/>
      <c r="U187" s="96"/>
      <c r="V187" s="96"/>
      <c r="W187" s="96"/>
      <c r="X187" s="96"/>
      <c r="Y187" s="96"/>
      <c r="Z187" s="97"/>
    </row>
    <row r="188" spans="6:26" x14ac:dyDescent="0.25">
      <c r="F188" s="103"/>
      <c r="G188" s="104"/>
      <c r="H188" s="104"/>
      <c r="I188" s="104"/>
      <c r="J188" s="104"/>
      <c r="K188" s="104"/>
      <c r="L188" s="140"/>
      <c r="M188" s="101"/>
      <c r="N188" s="127"/>
      <c r="O188" s="95"/>
      <c r="P188" s="98"/>
      <c r="Q188" s="95"/>
      <c r="R188" s="128"/>
      <c r="S188" s="95"/>
      <c r="T188" s="95"/>
      <c r="U188" s="96"/>
      <c r="V188" s="96"/>
      <c r="W188" s="96"/>
      <c r="X188" s="96"/>
      <c r="Y188" s="96"/>
      <c r="Z188" s="97"/>
    </row>
    <row r="189" spans="6:26" x14ac:dyDescent="0.25">
      <c r="F189" s="103"/>
      <c r="G189" s="104"/>
      <c r="H189" s="104"/>
      <c r="I189" s="104"/>
      <c r="J189" s="104"/>
      <c r="K189" s="104"/>
      <c r="L189" s="140"/>
      <c r="M189" s="101"/>
      <c r="N189" s="127"/>
      <c r="O189" s="95"/>
      <c r="P189" s="98"/>
      <c r="Q189" s="95"/>
      <c r="R189" s="128"/>
      <c r="S189" s="95"/>
      <c r="T189" s="95"/>
      <c r="U189" s="96"/>
      <c r="V189" s="96"/>
      <c r="W189" s="96"/>
      <c r="X189" s="96"/>
      <c r="Y189" s="96"/>
      <c r="Z189" s="97"/>
    </row>
    <row r="190" spans="6:26" x14ac:dyDescent="0.25">
      <c r="F190" s="103"/>
      <c r="G190" s="104"/>
      <c r="H190" s="104"/>
      <c r="I190" s="104"/>
      <c r="J190" s="104"/>
      <c r="K190" s="104"/>
      <c r="L190" s="140"/>
      <c r="M190" s="101"/>
      <c r="N190" s="127"/>
      <c r="O190" s="95"/>
      <c r="P190" s="98"/>
      <c r="Q190" s="95"/>
      <c r="R190" s="128"/>
      <c r="S190" s="95"/>
      <c r="T190" s="95"/>
      <c r="U190" s="96"/>
      <c r="V190" s="96"/>
      <c r="W190" s="96"/>
      <c r="X190" s="96"/>
      <c r="Y190" s="96"/>
      <c r="Z190" s="97"/>
    </row>
    <row r="191" spans="6:26" x14ac:dyDescent="0.25">
      <c r="F191" s="103"/>
      <c r="G191" s="104"/>
      <c r="H191" s="104"/>
      <c r="I191" s="104"/>
      <c r="J191" s="104"/>
      <c r="K191" s="104"/>
      <c r="L191" s="140"/>
      <c r="M191" s="101"/>
      <c r="N191" s="127"/>
      <c r="O191" s="95"/>
      <c r="P191" s="98"/>
      <c r="Q191" s="95"/>
      <c r="R191" s="128"/>
      <c r="S191" s="95"/>
      <c r="T191" s="95"/>
      <c r="U191" s="96"/>
      <c r="V191" s="96"/>
      <c r="W191" s="96"/>
      <c r="X191" s="96"/>
      <c r="Y191" s="96"/>
      <c r="Z191" s="97"/>
    </row>
    <row r="192" spans="6:26" x14ac:dyDescent="0.25">
      <c r="F192" s="103"/>
      <c r="G192" s="104"/>
      <c r="H192" s="104"/>
      <c r="I192" s="104"/>
      <c r="J192" s="104"/>
      <c r="K192" s="104"/>
      <c r="L192" s="140"/>
      <c r="M192" s="101"/>
      <c r="N192" s="127"/>
      <c r="O192" s="95"/>
      <c r="P192" s="98"/>
      <c r="Q192" s="95"/>
      <c r="R192" s="128"/>
      <c r="S192" s="95"/>
      <c r="T192" s="95"/>
      <c r="U192" s="96"/>
      <c r="V192" s="96"/>
      <c r="W192" s="96"/>
      <c r="X192" s="96"/>
      <c r="Y192" s="96"/>
      <c r="Z192" s="97"/>
    </row>
    <row r="193" spans="6:26" x14ac:dyDescent="0.25">
      <c r="F193" s="103"/>
      <c r="G193" s="104"/>
      <c r="H193" s="104"/>
      <c r="I193" s="104"/>
      <c r="J193" s="104"/>
      <c r="K193" s="104"/>
      <c r="L193" s="140"/>
      <c r="M193" s="101"/>
      <c r="N193" s="127"/>
      <c r="O193" s="95"/>
      <c r="P193" s="98"/>
      <c r="Q193" s="95"/>
      <c r="R193" s="128"/>
      <c r="S193" s="95"/>
      <c r="T193" s="95"/>
      <c r="U193" s="96"/>
      <c r="V193" s="96"/>
      <c r="W193" s="96"/>
      <c r="X193" s="96"/>
      <c r="Y193" s="96"/>
      <c r="Z193" s="97"/>
    </row>
    <row r="194" spans="6:26" x14ac:dyDescent="0.25">
      <c r="F194" s="103"/>
      <c r="G194" s="104"/>
      <c r="H194" s="104"/>
      <c r="I194" s="104"/>
      <c r="J194" s="104"/>
      <c r="K194" s="104"/>
      <c r="L194" s="140"/>
      <c r="M194" s="101"/>
      <c r="N194" s="127"/>
      <c r="O194" s="95"/>
      <c r="P194" s="98"/>
      <c r="Q194" s="95"/>
      <c r="R194" s="128"/>
      <c r="S194" s="95"/>
      <c r="T194" s="95"/>
      <c r="U194" s="96"/>
      <c r="V194" s="96"/>
      <c r="W194" s="96"/>
      <c r="X194" s="96"/>
      <c r="Y194" s="96"/>
      <c r="Z194" s="97"/>
    </row>
    <row r="195" spans="6:26" x14ac:dyDescent="0.25">
      <c r="F195" s="103"/>
      <c r="G195" s="104"/>
      <c r="H195" s="104"/>
      <c r="I195" s="104"/>
      <c r="J195" s="104"/>
      <c r="K195" s="104"/>
      <c r="L195" s="140"/>
      <c r="M195" s="101"/>
      <c r="N195" s="127"/>
      <c r="O195" s="95"/>
      <c r="P195" s="98"/>
      <c r="Q195" s="95"/>
      <c r="R195" s="128"/>
      <c r="S195" s="95"/>
      <c r="T195" s="95"/>
      <c r="U195" s="96"/>
      <c r="V195" s="96"/>
      <c r="W195" s="96"/>
      <c r="X195" s="96"/>
      <c r="Y195" s="96"/>
      <c r="Z195" s="97"/>
    </row>
    <row r="196" spans="6:26" x14ac:dyDescent="0.25">
      <c r="F196" s="103"/>
      <c r="G196" s="104"/>
      <c r="H196" s="104"/>
      <c r="I196" s="104"/>
      <c r="J196" s="104"/>
      <c r="K196" s="104"/>
      <c r="L196" s="140"/>
      <c r="M196" s="101"/>
      <c r="N196" s="127"/>
      <c r="O196" s="95"/>
      <c r="P196" s="98"/>
      <c r="Q196" s="95"/>
      <c r="R196" s="128"/>
      <c r="S196" s="95"/>
      <c r="T196" s="95"/>
      <c r="U196" s="96"/>
      <c r="V196" s="96"/>
      <c r="W196" s="96"/>
      <c r="X196" s="96"/>
      <c r="Y196" s="96"/>
      <c r="Z196" s="97"/>
    </row>
    <row r="197" spans="6:26" x14ac:dyDescent="0.25">
      <c r="F197" s="103"/>
      <c r="G197" s="104"/>
      <c r="H197" s="104"/>
      <c r="I197" s="104"/>
      <c r="J197" s="104"/>
      <c r="K197" s="104"/>
      <c r="L197" s="140"/>
      <c r="M197" s="101"/>
      <c r="N197" s="127"/>
      <c r="O197" s="95"/>
      <c r="P197" s="98"/>
      <c r="Q197" s="95"/>
      <c r="R197" s="128"/>
      <c r="S197" s="95"/>
      <c r="T197" s="95"/>
      <c r="U197" s="96"/>
      <c r="V197" s="96"/>
      <c r="W197" s="96"/>
      <c r="X197" s="96"/>
      <c r="Y197" s="96"/>
      <c r="Z197" s="97"/>
    </row>
    <row r="198" spans="6:26" x14ac:dyDescent="0.25">
      <c r="F198" s="103"/>
      <c r="G198" s="104"/>
      <c r="H198" s="104"/>
      <c r="I198" s="104"/>
      <c r="J198" s="104"/>
      <c r="K198" s="104"/>
      <c r="L198" s="140"/>
      <c r="M198" s="101"/>
      <c r="N198" s="127"/>
      <c r="O198" s="95"/>
      <c r="P198" s="98"/>
      <c r="Q198" s="95"/>
      <c r="R198" s="128"/>
      <c r="S198" s="95"/>
      <c r="T198" s="95"/>
      <c r="U198" s="96"/>
      <c r="V198" s="96"/>
      <c r="W198" s="96"/>
      <c r="X198" s="96"/>
      <c r="Y198" s="96"/>
      <c r="Z198" s="97"/>
    </row>
    <row r="199" spans="6:26" x14ac:dyDescent="0.25">
      <c r="F199" s="103"/>
      <c r="G199" s="104"/>
      <c r="H199" s="104"/>
      <c r="I199" s="104"/>
      <c r="J199" s="104"/>
      <c r="K199" s="104"/>
      <c r="L199" s="140"/>
      <c r="M199" s="101"/>
      <c r="N199" s="127"/>
      <c r="O199" s="95"/>
      <c r="P199" s="98"/>
      <c r="Q199" s="95"/>
      <c r="R199" s="128"/>
      <c r="S199" s="95"/>
      <c r="T199" s="95"/>
      <c r="U199" s="96"/>
      <c r="V199" s="96"/>
      <c r="W199" s="96"/>
      <c r="X199" s="96"/>
      <c r="Y199" s="96"/>
      <c r="Z199" s="97"/>
    </row>
    <row r="200" spans="6:26" x14ac:dyDescent="0.25">
      <c r="F200" s="103"/>
      <c r="G200" s="104"/>
      <c r="H200" s="104"/>
      <c r="I200" s="104"/>
      <c r="J200" s="104"/>
      <c r="K200" s="104"/>
      <c r="L200" s="140"/>
      <c r="M200" s="101"/>
      <c r="N200" s="127"/>
      <c r="O200" s="95"/>
      <c r="P200" s="98"/>
      <c r="Q200" s="95"/>
      <c r="R200" s="128"/>
      <c r="S200" s="95"/>
      <c r="T200" s="95"/>
      <c r="U200" s="96"/>
      <c r="V200" s="96"/>
      <c r="W200" s="96"/>
      <c r="X200" s="96"/>
      <c r="Y200" s="96"/>
      <c r="Z200" s="97"/>
    </row>
    <row r="201" spans="6:26" x14ac:dyDescent="0.25">
      <c r="F201" s="103"/>
      <c r="G201" s="104"/>
      <c r="H201" s="104"/>
      <c r="I201" s="104"/>
      <c r="J201" s="104"/>
      <c r="K201" s="104"/>
      <c r="L201" s="140"/>
      <c r="M201" s="101"/>
      <c r="N201" s="127"/>
      <c r="O201" s="95"/>
      <c r="P201" s="98"/>
      <c r="Q201" s="95"/>
      <c r="R201" s="128"/>
      <c r="S201" s="95"/>
      <c r="T201" s="95"/>
      <c r="U201" s="96"/>
      <c r="V201" s="96"/>
      <c r="W201" s="96"/>
      <c r="X201" s="96"/>
      <c r="Y201" s="96"/>
      <c r="Z201" s="97"/>
    </row>
    <row r="202" spans="6:26" x14ac:dyDescent="0.25">
      <c r="F202" s="103"/>
      <c r="G202" s="104"/>
      <c r="H202" s="104"/>
      <c r="I202" s="104"/>
      <c r="J202" s="104"/>
      <c r="K202" s="104"/>
      <c r="L202" s="140"/>
      <c r="M202" s="101"/>
      <c r="N202" s="127"/>
      <c r="O202" s="95"/>
      <c r="P202" s="98"/>
      <c r="Q202" s="95"/>
      <c r="R202" s="128"/>
      <c r="S202" s="95"/>
      <c r="T202" s="95"/>
      <c r="U202" s="96"/>
      <c r="V202" s="96"/>
      <c r="W202" s="96"/>
      <c r="X202" s="96"/>
      <c r="Y202" s="96"/>
      <c r="Z202" s="97"/>
    </row>
    <row r="203" spans="6:26" x14ac:dyDescent="0.25">
      <c r="F203" s="103"/>
      <c r="G203" s="104"/>
      <c r="H203" s="104"/>
      <c r="I203" s="104"/>
      <c r="J203" s="104"/>
      <c r="K203" s="104"/>
      <c r="L203" s="140"/>
      <c r="M203" s="101"/>
      <c r="N203" s="127"/>
      <c r="O203" s="95"/>
      <c r="P203" s="98"/>
      <c r="Q203" s="95"/>
      <c r="R203" s="128"/>
      <c r="S203" s="95"/>
      <c r="T203" s="95"/>
      <c r="U203" s="96"/>
      <c r="V203" s="96"/>
      <c r="W203" s="96"/>
      <c r="X203" s="96"/>
      <c r="Y203" s="96"/>
      <c r="Z203" s="97"/>
    </row>
    <row r="204" spans="6:26" x14ac:dyDescent="0.25">
      <c r="F204" s="103"/>
      <c r="G204" s="104"/>
      <c r="H204" s="104"/>
      <c r="I204" s="104"/>
      <c r="J204" s="104"/>
      <c r="K204" s="104"/>
      <c r="L204" s="140"/>
      <c r="M204" s="101"/>
      <c r="N204" s="127"/>
      <c r="O204" s="95"/>
      <c r="P204" s="98"/>
      <c r="Q204" s="95"/>
      <c r="R204" s="128"/>
      <c r="S204" s="95"/>
      <c r="T204" s="95"/>
      <c r="U204" s="96"/>
      <c r="V204" s="96"/>
      <c r="W204" s="96"/>
      <c r="X204" s="96"/>
      <c r="Y204" s="96"/>
      <c r="Z204" s="97"/>
    </row>
    <row r="205" spans="6:26" x14ac:dyDescent="0.25">
      <c r="F205" s="103"/>
      <c r="G205" s="104"/>
      <c r="H205" s="104"/>
      <c r="I205" s="104"/>
      <c r="J205" s="104"/>
      <c r="K205" s="104"/>
      <c r="L205" s="140"/>
      <c r="M205" s="101"/>
      <c r="N205" s="127"/>
      <c r="O205" s="95"/>
      <c r="P205" s="98"/>
      <c r="Q205" s="95"/>
      <c r="R205" s="128"/>
      <c r="S205" s="95"/>
      <c r="T205" s="95"/>
      <c r="U205" s="96"/>
      <c r="V205" s="96"/>
      <c r="W205" s="96"/>
      <c r="X205" s="96"/>
      <c r="Y205" s="96"/>
      <c r="Z205" s="97"/>
    </row>
    <row r="206" spans="6:26" x14ac:dyDescent="0.25">
      <c r="F206" s="103"/>
      <c r="G206" s="104"/>
      <c r="H206" s="104"/>
      <c r="I206" s="104"/>
      <c r="J206" s="104"/>
      <c r="K206" s="104"/>
      <c r="L206" s="140"/>
      <c r="M206" s="101"/>
      <c r="N206" s="127"/>
      <c r="O206" s="95"/>
      <c r="P206" s="98"/>
      <c r="Q206" s="95"/>
      <c r="R206" s="128"/>
      <c r="S206" s="95"/>
      <c r="T206" s="95"/>
      <c r="U206" s="96"/>
      <c r="V206" s="96"/>
      <c r="W206" s="96"/>
      <c r="X206" s="96"/>
      <c r="Y206" s="96"/>
      <c r="Z206" s="97"/>
    </row>
    <row r="207" spans="6:26" x14ac:dyDescent="0.25">
      <c r="F207" s="103"/>
      <c r="G207" s="104"/>
      <c r="H207" s="104"/>
      <c r="I207" s="104"/>
      <c r="J207" s="104"/>
      <c r="K207" s="104"/>
      <c r="L207" s="140"/>
      <c r="M207" s="101"/>
      <c r="N207" s="127"/>
      <c r="O207" s="95"/>
      <c r="P207" s="98"/>
      <c r="Q207" s="95"/>
      <c r="R207" s="128"/>
      <c r="S207" s="95"/>
      <c r="T207" s="95"/>
      <c r="U207" s="96"/>
      <c r="V207" s="96"/>
      <c r="W207" s="96"/>
      <c r="X207" s="96"/>
      <c r="Y207" s="96"/>
      <c r="Z207" s="97"/>
    </row>
    <row r="208" spans="6:26" x14ac:dyDescent="0.25">
      <c r="F208" s="103"/>
      <c r="G208" s="104"/>
      <c r="H208" s="104"/>
      <c r="I208" s="104"/>
      <c r="J208" s="104"/>
      <c r="K208" s="104"/>
      <c r="L208" s="140"/>
      <c r="M208" s="101"/>
      <c r="N208" s="127"/>
      <c r="O208" s="95"/>
      <c r="P208" s="98"/>
      <c r="Q208" s="95"/>
      <c r="R208" s="128"/>
      <c r="S208" s="95"/>
      <c r="T208" s="95"/>
      <c r="U208" s="96"/>
      <c r="V208" s="96"/>
      <c r="W208" s="96"/>
      <c r="X208" s="96"/>
      <c r="Y208" s="96"/>
      <c r="Z208" s="97"/>
    </row>
    <row r="209" spans="6:26" x14ac:dyDescent="0.25">
      <c r="F209" s="103"/>
      <c r="G209" s="104"/>
      <c r="H209" s="104"/>
      <c r="I209" s="104"/>
      <c r="J209" s="104"/>
      <c r="K209" s="104"/>
      <c r="L209" s="140"/>
      <c r="M209" s="101"/>
      <c r="N209" s="127"/>
      <c r="O209" s="95"/>
      <c r="P209" s="98"/>
      <c r="Q209" s="95"/>
      <c r="R209" s="128"/>
      <c r="S209" s="95"/>
      <c r="T209" s="95"/>
      <c r="U209" s="96"/>
      <c r="V209" s="96"/>
      <c r="W209" s="96"/>
      <c r="X209" s="96"/>
      <c r="Y209" s="96"/>
      <c r="Z209" s="97"/>
    </row>
    <row r="210" spans="6:26" x14ac:dyDescent="0.25">
      <c r="F210" s="103"/>
      <c r="G210" s="104"/>
      <c r="H210" s="104"/>
      <c r="I210" s="104"/>
      <c r="J210" s="104"/>
      <c r="K210" s="104"/>
      <c r="L210" s="140"/>
      <c r="M210" s="101"/>
      <c r="N210" s="127"/>
      <c r="O210" s="95"/>
      <c r="P210" s="98"/>
      <c r="Q210" s="95"/>
      <c r="R210" s="128"/>
      <c r="S210" s="95"/>
      <c r="T210" s="95"/>
      <c r="U210" s="96"/>
      <c r="V210" s="96"/>
      <c r="W210" s="96"/>
      <c r="X210" s="96"/>
      <c r="Y210" s="96"/>
      <c r="Z210" s="97"/>
    </row>
    <row r="211" spans="6:26" x14ac:dyDescent="0.25">
      <c r="F211" s="103"/>
      <c r="G211" s="104"/>
      <c r="H211" s="104"/>
      <c r="I211" s="104"/>
      <c r="J211" s="104"/>
      <c r="K211" s="104"/>
      <c r="L211" s="140"/>
      <c r="M211" s="101"/>
      <c r="N211" s="127"/>
      <c r="O211" s="95"/>
      <c r="P211" s="98"/>
      <c r="Q211" s="95"/>
      <c r="R211" s="128"/>
      <c r="S211" s="95"/>
      <c r="T211" s="95"/>
      <c r="U211" s="96"/>
      <c r="V211" s="96"/>
      <c r="W211" s="96"/>
      <c r="X211" s="96"/>
      <c r="Y211" s="96"/>
      <c r="Z211" s="97"/>
    </row>
    <row r="212" spans="6:26" x14ac:dyDescent="0.25">
      <c r="F212" s="103"/>
      <c r="G212" s="104"/>
      <c r="H212" s="104"/>
      <c r="I212" s="104"/>
      <c r="J212" s="104"/>
      <c r="K212" s="104"/>
      <c r="L212" s="140"/>
      <c r="M212" s="101"/>
      <c r="N212" s="127"/>
      <c r="O212" s="95"/>
      <c r="P212" s="98"/>
      <c r="Q212" s="95"/>
      <c r="R212" s="128"/>
      <c r="S212" s="95"/>
      <c r="T212" s="95"/>
      <c r="U212" s="96"/>
      <c r="V212" s="96"/>
      <c r="W212" s="96"/>
      <c r="X212" s="96"/>
      <c r="Y212" s="96"/>
      <c r="Z212" s="97"/>
    </row>
    <row r="213" spans="6:26" x14ac:dyDescent="0.25">
      <c r="F213" s="103"/>
      <c r="G213" s="104"/>
      <c r="H213" s="104"/>
      <c r="I213" s="104"/>
      <c r="J213" s="104"/>
      <c r="K213" s="104"/>
      <c r="L213" s="140"/>
      <c r="M213" s="101"/>
      <c r="N213" s="127"/>
      <c r="O213" s="95"/>
      <c r="P213" s="98"/>
      <c r="Q213" s="95"/>
      <c r="R213" s="128"/>
      <c r="S213" s="95"/>
      <c r="T213" s="95"/>
      <c r="U213" s="96"/>
      <c r="V213" s="96"/>
      <c r="W213" s="96"/>
      <c r="X213" s="96"/>
      <c r="Y213" s="96"/>
      <c r="Z213" s="97"/>
    </row>
    <row r="214" spans="6:26" x14ac:dyDescent="0.25">
      <c r="F214" s="103"/>
      <c r="G214" s="104"/>
      <c r="H214" s="104"/>
      <c r="I214" s="104"/>
      <c r="J214" s="104"/>
      <c r="K214" s="104"/>
      <c r="L214" s="140"/>
      <c r="M214" s="101"/>
      <c r="N214" s="127"/>
      <c r="O214" s="95"/>
      <c r="P214" s="98"/>
      <c r="Q214" s="95"/>
      <c r="R214" s="128"/>
      <c r="S214" s="95"/>
      <c r="T214" s="95"/>
      <c r="U214" s="96"/>
      <c r="V214" s="96"/>
      <c r="W214" s="96"/>
      <c r="X214" s="96"/>
      <c r="Y214" s="96"/>
      <c r="Z214" s="97"/>
    </row>
    <row r="215" spans="6:26" x14ac:dyDescent="0.25">
      <c r="F215" s="103"/>
      <c r="G215" s="104"/>
      <c r="H215" s="104"/>
      <c r="I215" s="104"/>
      <c r="J215" s="104"/>
      <c r="K215" s="104"/>
      <c r="L215" s="140"/>
      <c r="M215" s="101"/>
      <c r="N215" s="127"/>
      <c r="O215" s="95"/>
      <c r="P215" s="98"/>
      <c r="Q215" s="95"/>
      <c r="R215" s="128"/>
      <c r="S215" s="95"/>
      <c r="T215" s="95"/>
      <c r="U215" s="96"/>
      <c r="V215" s="96"/>
      <c r="W215" s="96"/>
      <c r="X215" s="96"/>
      <c r="Y215" s="96"/>
      <c r="Z215" s="97"/>
    </row>
    <row r="216" spans="6:26" x14ac:dyDescent="0.25">
      <c r="F216" s="103"/>
      <c r="G216" s="104"/>
      <c r="H216" s="104"/>
      <c r="I216" s="104"/>
      <c r="J216" s="104"/>
      <c r="K216" s="104"/>
      <c r="L216" s="140"/>
      <c r="M216" s="101"/>
      <c r="N216" s="127"/>
      <c r="O216" s="95"/>
      <c r="P216" s="98"/>
      <c r="Q216" s="95"/>
      <c r="R216" s="128"/>
      <c r="S216" s="95"/>
      <c r="T216" s="95"/>
      <c r="U216" s="96"/>
      <c r="V216" s="96"/>
      <c r="W216" s="96"/>
      <c r="X216" s="96"/>
      <c r="Y216" s="96"/>
      <c r="Z216" s="97"/>
    </row>
    <row r="217" spans="6:26" x14ac:dyDescent="0.25">
      <c r="F217" s="103"/>
      <c r="G217" s="104"/>
      <c r="H217" s="104"/>
      <c r="I217" s="104"/>
      <c r="J217" s="104"/>
      <c r="K217" s="104"/>
      <c r="L217" s="140"/>
      <c r="M217" s="101"/>
      <c r="N217" s="127"/>
      <c r="O217" s="95"/>
      <c r="P217" s="98"/>
      <c r="Q217" s="95"/>
      <c r="R217" s="128"/>
      <c r="S217" s="95"/>
      <c r="T217" s="95"/>
      <c r="U217" s="96"/>
      <c r="V217" s="96"/>
      <c r="W217" s="96"/>
      <c r="X217" s="96"/>
      <c r="Y217" s="96"/>
      <c r="Z217" s="97"/>
    </row>
    <row r="218" spans="6:26" x14ac:dyDescent="0.25">
      <c r="F218" s="103"/>
      <c r="G218" s="104"/>
      <c r="H218" s="104"/>
      <c r="I218" s="104"/>
      <c r="J218" s="104"/>
      <c r="K218" s="104"/>
      <c r="L218" s="140"/>
      <c r="M218" s="101"/>
      <c r="N218" s="127"/>
      <c r="O218" s="95"/>
      <c r="P218" s="98"/>
      <c r="Q218" s="95"/>
      <c r="R218" s="128"/>
      <c r="S218" s="95"/>
      <c r="T218" s="95"/>
      <c r="U218" s="96"/>
      <c r="V218" s="96"/>
      <c r="W218" s="96"/>
      <c r="X218" s="96"/>
      <c r="Y218" s="96"/>
      <c r="Z218" s="97"/>
    </row>
    <row r="219" spans="6:26" x14ac:dyDescent="0.25">
      <c r="F219" s="103"/>
      <c r="G219" s="104"/>
      <c r="H219" s="104"/>
      <c r="I219" s="104"/>
      <c r="J219" s="104"/>
      <c r="K219" s="104"/>
      <c r="L219" s="140"/>
      <c r="M219" s="101"/>
      <c r="N219" s="127"/>
      <c r="O219" s="95"/>
      <c r="P219" s="98"/>
      <c r="Q219" s="95"/>
      <c r="R219" s="128"/>
      <c r="S219" s="95"/>
      <c r="T219" s="95"/>
      <c r="U219" s="96"/>
      <c r="V219" s="96"/>
      <c r="W219" s="96"/>
      <c r="X219" s="96"/>
      <c r="Y219" s="96"/>
      <c r="Z219" s="97"/>
    </row>
    <row r="220" spans="6:26" x14ac:dyDescent="0.25">
      <c r="F220" s="103"/>
      <c r="G220" s="104"/>
      <c r="H220" s="104"/>
      <c r="I220" s="104"/>
      <c r="J220" s="104"/>
      <c r="K220" s="104"/>
      <c r="L220" s="140"/>
      <c r="M220" s="101"/>
      <c r="N220" s="127"/>
      <c r="O220" s="95"/>
      <c r="P220" s="98"/>
      <c r="Q220" s="95"/>
      <c r="R220" s="128"/>
      <c r="S220" s="95"/>
      <c r="T220" s="95"/>
      <c r="U220" s="96"/>
      <c r="V220" s="96"/>
      <c r="W220" s="96"/>
      <c r="X220" s="96"/>
      <c r="Y220" s="96"/>
      <c r="Z220" s="97"/>
    </row>
    <row r="221" spans="6:26" x14ac:dyDescent="0.25">
      <c r="F221" s="103"/>
      <c r="G221" s="104"/>
      <c r="H221" s="104"/>
      <c r="I221" s="104"/>
      <c r="J221" s="104"/>
      <c r="K221" s="104"/>
      <c r="L221" s="140"/>
      <c r="M221" s="101"/>
      <c r="N221" s="127"/>
      <c r="O221" s="95"/>
      <c r="P221" s="98"/>
      <c r="Q221" s="95"/>
      <c r="R221" s="128"/>
      <c r="S221" s="95"/>
      <c r="T221" s="95"/>
      <c r="U221" s="96"/>
      <c r="V221" s="96"/>
      <c r="W221" s="96"/>
      <c r="X221" s="96"/>
      <c r="Y221" s="96"/>
      <c r="Z221" s="97"/>
    </row>
    <row r="222" spans="6:26" x14ac:dyDescent="0.25">
      <c r="F222" s="103"/>
      <c r="G222" s="104"/>
      <c r="H222" s="104"/>
      <c r="I222" s="104"/>
      <c r="J222" s="104"/>
      <c r="K222" s="104"/>
      <c r="L222" s="140"/>
      <c r="M222" s="101"/>
      <c r="N222" s="127"/>
      <c r="O222" s="95"/>
      <c r="P222" s="98"/>
      <c r="Q222" s="95"/>
      <c r="R222" s="128"/>
      <c r="S222" s="95"/>
      <c r="T222" s="95"/>
      <c r="U222" s="96"/>
      <c r="V222" s="96"/>
      <c r="W222" s="96"/>
      <c r="X222" s="96"/>
      <c r="Y222" s="96"/>
      <c r="Z222" s="97"/>
    </row>
    <row r="223" spans="6:26" x14ac:dyDescent="0.25">
      <c r="F223" s="103"/>
      <c r="G223" s="104"/>
      <c r="H223" s="104"/>
      <c r="I223" s="104"/>
      <c r="J223" s="104"/>
      <c r="K223" s="104"/>
      <c r="L223" s="140"/>
      <c r="M223" s="101"/>
      <c r="N223" s="127"/>
      <c r="O223" s="95"/>
      <c r="P223" s="98"/>
      <c r="Q223" s="95"/>
      <c r="R223" s="128"/>
      <c r="S223" s="95"/>
      <c r="T223" s="95"/>
      <c r="U223" s="96"/>
      <c r="V223" s="96"/>
      <c r="W223" s="96"/>
      <c r="X223" s="96"/>
      <c r="Y223" s="96"/>
      <c r="Z223" s="97"/>
    </row>
    <row r="224" spans="6:26" x14ac:dyDescent="0.25">
      <c r="F224" s="103"/>
      <c r="G224" s="104"/>
      <c r="H224" s="104"/>
      <c r="I224" s="104"/>
      <c r="J224" s="104"/>
      <c r="K224" s="104"/>
      <c r="L224" s="140"/>
      <c r="M224" s="101"/>
      <c r="N224" s="127"/>
      <c r="O224" s="95"/>
      <c r="P224" s="98"/>
      <c r="Q224" s="95"/>
      <c r="R224" s="128"/>
      <c r="S224" s="95"/>
      <c r="T224" s="95"/>
      <c r="U224" s="96"/>
      <c r="V224" s="96"/>
      <c r="W224" s="96"/>
      <c r="X224" s="96"/>
      <c r="Y224" s="96"/>
      <c r="Z224" s="97"/>
    </row>
    <row r="225" spans="6:26" x14ac:dyDescent="0.25">
      <c r="F225" s="103"/>
      <c r="G225" s="104"/>
      <c r="H225" s="104"/>
      <c r="I225" s="104"/>
      <c r="J225" s="104"/>
      <c r="K225" s="104"/>
      <c r="L225" s="140"/>
      <c r="M225" s="101"/>
      <c r="N225" s="127"/>
      <c r="O225" s="95"/>
      <c r="P225" s="98"/>
      <c r="Q225" s="95"/>
      <c r="R225" s="128"/>
      <c r="S225" s="95"/>
      <c r="T225" s="95"/>
      <c r="U225" s="96"/>
      <c r="V225" s="96"/>
      <c r="W225" s="96"/>
      <c r="X225" s="96"/>
      <c r="Y225" s="96"/>
      <c r="Z225" s="97"/>
    </row>
    <row r="226" spans="6:26" x14ac:dyDescent="0.25">
      <c r="F226" s="103"/>
      <c r="G226" s="104"/>
      <c r="H226" s="104"/>
      <c r="I226" s="104"/>
      <c r="J226" s="104"/>
      <c r="K226" s="104"/>
      <c r="L226" s="140"/>
      <c r="M226" s="101"/>
      <c r="N226" s="127"/>
      <c r="O226" s="95"/>
      <c r="P226" s="98"/>
      <c r="Q226" s="95"/>
      <c r="R226" s="128"/>
      <c r="S226" s="95"/>
      <c r="T226" s="95"/>
      <c r="U226" s="96"/>
      <c r="V226" s="96"/>
      <c r="W226" s="96"/>
      <c r="X226" s="96"/>
      <c r="Y226" s="96"/>
      <c r="Z226" s="97"/>
    </row>
    <row r="227" spans="6:26" x14ac:dyDescent="0.25">
      <c r="F227" s="103"/>
      <c r="G227" s="104"/>
      <c r="H227" s="104"/>
      <c r="I227" s="104"/>
      <c r="J227" s="104"/>
      <c r="K227" s="104"/>
      <c r="L227" s="140"/>
      <c r="M227" s="101"/>
      <c r="N227" s="127"/>
      <c r="O227" s="95"/>
      <c r="P227" s="98"/>
      <c r="Q227" s="95"/>
      <c r="R227" s="128"/>
      <c r="S227" s="95"/>
      <c r="T227" s="95"/>
      <c r="U227" s="96"/>
      <c r="V227" s="96"/>
      <c r="W227" s="96"/>
      <c r="X227" s="96"/>
      <c r="Y227" s="96"/>
      <c r="Z227" s="97"/>
    </row>
    <row r="228" spans="6:26" x14ac:dyDescent="0.25">
      <c r="F228" s="103"/>
      <c r="G228" s="104"/>
      <c r="H228" s="104"/>
      <c r="I228" s="104"/>
      <c r="J228" s="104"/>
      <c r="K228" s="104"/>
      <c r="L228" s="140"/>
      <c r="M228" s="101"/>
      <c r="N228" s="127"/>
      <c r="O228" s="95"/>
      <c r="P228" s="98"/>
      <c r="Q228" s="95"/>
      <c r="R228" s="128"/>
      <c r="S228" s="95"/>
      <c r="T228" s="95"/>
      <c r="U228" s="96"/>
      <c r="V228" s="96"/>
      <c r="W228" s="96"/>
      <c r="X228" s="96"/>
      <c r="Y228" s="96"/>
      <c r="Z228" s="97"/>
    </row>
    <row r="229" spans="6:26" x14ac:dyDescent="0.25">
      <c r="F229" s="103"/>
      <c r="G229" s="104"/>
      <c r="H229" s="104"/>
      <c r="I229" s="104"/>
      <c r="J229" s="104"/>
      <c r="K229" s="104"/>
      <c r="L229" s="140"/>
      <c r="M229" s="101"/>
      <c r="N229" s="127"/>
      <c r="O229" s="95"/>
      <c r="P229" s="98"/>
      <c r="Q229" s="95"/>
      <c r="R229" s="128"/>
      <c r="S229" s="95"/>
      <c r="T229" s="95"/>
      <c r="U229" s="96"/>
      <c r="V229" s="96"/>
      <c r="W229" s="96"/>
      <c r="X229" s="96"/>
      <c r="Y229" s="96"/>
      <c r="Z229" s="97"/>
    </row>
    <row r="230" spans="6:26" x14ac:dyDescent="0.25">
      <c r="F230" s="103"/>
      <c r="G230" s="104"/>
      <c r="H230" s="104"/>
      <c r="I230" s="104"/>
      <c r="J230" s="104"/>
      <c r="K230" s="104"/>
      <c r="L230" s="140"/>
      <c r="M230" s="101"/>
      <c r="N230" s="127"/>
      <c r="O230" s="95"/>
      <c r="P230" s="98"/>
      <c r="Q230" s="95"/>
      <c r="R230" s="128"/>
      <c r="S230" s="95"/>
      <c r="T230" s="95"/>
      <c r="U230" s="96"/>
      <c r="V230" s="96"/>
      <c r="W230" s="96"/>
      <c r="X230" s="96"/>
      <c r="Y230" s="96"/>
      <c r="Z230" s="97"/>
    </row>
    <row r="231" spans="6:26" x14ac:dyDescent="0.25">
      <c r="F231" s="103"/>
      <c r="G231" s="104"/>
      <c r="H231" s="104"/>
      <c r="I231" s="104"/>
      <c r="J231" s="104"/>
      <c r="K231" s="104"/>
      <c r="L231" s="140"/>
      <c r="M231" s="101"/>
      <c r="N231" s="127"/>
      <c r="O231" s="95"/>
      <c r="P231" s="98"/>
      <c r="Q231" s="95"/>
      <c r="R231" s="128"/>
      <c r="S231" s="95"/>
      <c r="T231" s="95"/>
      <c r="U231" s="96"/>
      <c r="V231" s="96"/>
      <c r="W231" s="96"/>
      <c r="X231" s="96"/>
      <c r="Y231" s="96"/>
      <c r="Z231" s="97"/>
    </row>
    <row r="232" spans="6:26" x14ac:dyDescent="0.25">
      <c r="F232" s="103"/>
      <c r="G232" s="104"/>
      <c r="H232" s="104"/>
      <c r="I232" s="104"/>
      <c r="J232" s="104"/>
      <c r="K232" s="104"/>
      <c r="L232" s="140"/>
      <c r="M232" s="101"/>
      <c r="N232" s="127"/>
      <c r="O232" s="95"/>
      <c r="P232" s="98"/>
      <c r="Q232" s="95"/>
      <c r="R232" s="128"/>
      <c r="S232" s="95"/>
      <c r="T232" s="95"/>
      <c r="U232" s="96"/>
      <c r="V232" s="96"/>
      <c r="W232" s="96"/>
      <c r="X232" s="96"/>
      <c r="Y232" s="96"/>
      <c r="Z232" s="97"/>
    </row>
    <row r="233" spans="6:26" x14ac:dyDescent="0.25">
      <c r="F233" s="103"/>
      <c r="G233" s="104"/>
      <c r="H233" s="104"/>
      <c r="I233" s="104"/>
      <c r="J233" s="104"/>
      <c r="K233" s="104"/>
      <c r="L233" s="140"/>
      <c r="M233" s="101"/>
      <c r="N233" s="127"/>
      <c r="O233" s="95"/>
      <c r="P233" s="98"/>
      <c r="Q233" s="95"/>
      <c r="R233" s="128"/>
      <c r="S233" s="95"/>
      <c r="T233" s="95"/>
      <c r="U233" s="96"/>
      <c r="V233" s="96"/>
      <c r="W233" s="96"/>
      <c r="X233" s="96"/>
      <c r="Y233" s="96"/>
      <c r="Z233" s="97"/>
    </row>
    <row r="234" spans="6:26" x14ac:dyDescent="0.25">
      <c r="F234" s="103"/>
      <c r="G234" s="104"/>
      <c r="H234" s="104"/>
      <c r="I234" s="104"/>
      <c r="J234" s="104"/>
      <c r="K234" s="104"/>
      <c r="L234" s="140"/>
      <c r="M234" s="101"/>
      <c r="N234" s="127"/>
      <c r="O234" s="95"/>
      <c r="P234" s="98"/>
      <c r="Q234" s="95"/>
      <c r="R234" s="128"/>
      <c r="S234" s="95"/>
      <c r="T234" s="95"/>
      <c r="U234" s="96"/>
      <c r="V234" s="96"/>
      <c r="W234" s="96"/>
      <c r="X234" s="96"/>
      <c r="Y234" s="96"/>
      <c r="Z234" s="97"/>
    </row>
    <row r="235" spans="6:26" x14ac:dyDescent="0.25">
      <c r="F235" s="103"/>
      <c r="G235" s="104"/>
      <c r="H235" s="104"/>
      <c r="I235" s="104"/>
      <c r="J235" s="104"/>
      <c r="K235" s="104"/>
      <c r="L235" s="140"/>
      <c r="M235" s="101"/>
      <c r="N235" s="127"/>
      <c r="O235" s="95"/>
      <c r="P235" s="98"/>
      <c r="Q235" s="95"/>
      <c r="R235" s="128"/>
      <c r="S235" s="95"/>
      <c r="T235" s="95"/>
      <c r="U235" s="96"/>
      <c r="V235" s="96"/>
      <c r="W235" s="96"/>
      <c r="X235" s="96"/>
      <c r="Y235" s="96"/>
      <c r="Z235" s="97"/>
    </row>
    <row r="236" spans="6:26" x14ac:dyDescent="0.25">
      <c r="F236" s="103"/>
      <c r="G236" s="104"/>
      <c r="H236" s="104"/>
      <c r="I236" s="104"/>
      <c r="J236" s="104"/>
      <c r="K236" s="104"/>
      <c r="L236" s="140"/>
      <c r="M236" s="101"/>
      <c r="N236" s="127"/>
      <c r="O236" s="95"/>
      <c r="P236" s="98"/>
      <c r="Q236" s="95"/>
      <c r="R236" s="128"/>
      <c r="S236" s="95"/>
      <c r="T236" s="95"/>
      <c r="U236" s="96"/>
      <c r="V236" s="96"/>
      <c r="W236" s="96"/>
      <c r="X236" s="96"/>
      <c r="Y236" s="96"/>
      <c r="Z236" s="97"/>
    </row>
    <row r="237" spans="6:26" x14ac:dyDescent="0.25">
      <c r="F237" s="103"/>
      <c r="G237" s="104"/>
      <c r="H237" s="104"/>
      <c r="I237" s="104"/>
      <c r="J237" s="104"/>
      <c r="K237" s="104"/>
      <c r="L237" s="140"/>
      <c r="M237" s="101"/>
      <c r="N237" s="127"/>
      <c r="O237" s="95"/>
      <c r="P237" s="98"/>
      <c r="Q237" s="95"/>
      <c r="R237" s="128"/>
      <c r="S237" s="95"/>
      <c r="T237" s="95"/>
      <c r="U237" s="96"/>
      <c r="V237" s="96"/>
      <c r="W237" s="96"/>
      <c r="X237" s="96"/>
      <c r="Y237" s="96"/>
      <c r="Z237" s="97"/>
    </row>
    <row r="238" spans="6:26" x14ac:dyDescent="0.25">
      <c r="F238" s="103"/>
      <c r="G238" s="104"/>
      <c r="H238" s="104"/>
      <c r="I238" s="104"/>
      <c r="J238" s="104"/>
      <c r="K238" s="104"/>
      <c r="L238" s="140"/>
      <c r="M238" s="101"/>
      <c r="N238" s="127"/>
      <c r="O238" s="95"/>
      <c r="P238" s="98"/>
      <c r="Q238" s="95"/>
      <c r="R238" s="128"/>
      <c r="S238" s="95"/>
      <c r="T238" s="95"/>
      <c r="U238" s="96"/>
      <c r="V238" s="96"/>
      <c r="W238" s="96"/>
      <c r="X238" s="96"/>
      <c r="Y238" s="96"/>
      <c r="Z238" s="97"/>
    </row>
    <row r="239" spans="6:26" x14ac:dyDescent="0.25">
      <c r="F239" s="103"/>
      <c r="G239" s="104"/>
      <c r="H239" s="104"/>
      <c r="I239" s="104"/>
      <c r="J239" s="104"/>
      <c r="K239" s="104"/>
      <c r="L239" s="140"/>
      <c r="M239" s="101"/>
      <c r="N239" s="127"/>
      <c r="O239" s="95"/>
      <c r="P239" s="98"/>
      <c r="Q239" s="95"/>
      <c r="R239" s="128"/>
      <c r="S239" s="95"/>
      <c r="T239" s="95"/>
      <c r="U239" s="96"/>
      <c r="V239" s="96"/>
      <c r="W239" s="96"/>
      <c r="X239" s="96"/>
      <c r="Y239" s="96"/>
      <c r="Z239" s="97"/>
    </row>
    <row r="240" spans="6:26" x14ac:dyDescent="0.25">
      <c r="F240" s="103"/>
      <c r="G240" s="104"/>
      <c r="H240" s="104"/>
      <c r="I240" s="104"/>
      <c r="J240" s="104"/>
      <c r="K240" s="104"/>
      <c r="L240" s="140"/>
      <c r="M240" s="101"/>
      <c r="N240" s="127"/>
      <c r="O240" s="95"/>
      <c r="P240" s="98"/>
      <c r="Q240" s="95"/>
      <c r="R240" s="128"/>
      <c r="S240" s="95"/>
      <c r="T240" s="95"/>
      <c r="U240" s="96"/>
      <c r="V240" s="96"/>
      <c r="W240" s="96"/>
      <c r="X240" s="96"/>
      <c r="Y240" s="96"/>
      <c r="Z240" s="97"/>
    </row>
    <row r="241" spans="6:26" x14ac:dyDescent="0.25">
      <c r="F241" s="103"/>
      <c r="G241" s="104"/>
      <c r="H241" s="104"/>
      <c r="I241" s="104"/>
      <c r="J241" s="104"/>
      <c r="K241" s="104"/>
      <c r="L241" s="140"/>
      <c r="M241" s="101"/>
      <c r="N241" s="127"/>
      <c r="O241" s="95"/>
      <c r="P241" s="98"/>
      <c r="Q241" s="95"/>
      <c r="R241" s="128"/>
      <c r="S241" s="95"/>
      <c r="T241" s="95"/>
      <c r="U241" s="96"/>
      <c r="V241" s="96"/>
      <c r="W241" s="96"/>
      <c r="X241" s="96"/>
      <c r="Y241" s="96"/>
      <c r="Z241" s="97"/>
    </row>
    <row r="242" spans="6:26" x14ac:dyDescent="0.25">
      <c r="F242" s="103"/>
      <c r="G242" s="104"/>
      <c r="H242" s="104"/>
      <c r="I242" s="104"/>
      <c r="J242" s="104"/>
      <c r="K242" s="104"/>
      <c r="L242" s="140"/>
      <c r="M242" s="101"/>
      <c r="N242" s="127"/>
      <c r="O242" s="95"/>
      <c r="P242" s="98"/>
      <c r="Q242" s="95"/>
      <c r="R242" s="128"/>
      <c r="S242" s="95"/>
      <c r="T242" s="95"/>
      <c r="U242" s="96"/>
      <c r="V242" s="96"/>
      <c r="W242" s="96"/>
      <c r="X242" s="96"/>
      <c r="Y242" s="96"/>
      <c r="Z242" s="97"/>
    </row>
    <row r="243" spans="6:26" x14ac:dyDescent="0.25">
      <c r="F243" s="103"/>
      <c r="G243" s="104"/>
      <c r="H243" s="104"/>
      <c r="I243" s="104"/>
      <c r="J243" s="104"/>
      <c r="K243" s="104"/>
      <c r="L243" s="140"/>
      <c r="M243" s="101"/>
      <c r="N243" s="127"/>
      <c r="O243" s="95"/>
      <c r="P243" s="98"/>
      <c r="Q243" s="95"/>
      <c r="R243" s="128"/>
      <c r="S243" s="95"/>
      <c r="T243" s="95"/>
      <c r="U243" s="96"/>
      <c r="V243" s="96"/>
      <c r="W243" s="96"/>
      <c r="X243" s="96"/>
      <c r="Y243" s="96"/>
      <c r="Z243" s="97"/>
    </row>
    <row r="244" spans="6:26" x14ac:dyDescent="0.25">
      <c r="F244" s="103"/>
      <c r="G244" s="104"/>
      <c r="H244" s="104"/>
      <c r="I244" s="104"/>
      <c r="J244" s="104"/>
      <c r="K244" s="104"/>
      <c r="L244" s="140"/>
      <c r="M244" s="101"/>
      <c r="N244" s="127"/>
      <c r="O244" s="95"/>
      <c r="P244" s="98"/>
      <c r="Q244" s="95"/>
      <c r="R244" s="128"/>
      <c r="S244" s="95"/>
      <c r="T244" s="95"/>
      <c r="U244" s="96"/>
      <c r="V244" s="96"/>
      <c r="W244" s="96"/>
      <c r="X244" s="96"/>
      <c r="Y244" s="96"/>
      <c r="Z244" s="97"/>
    </row>
    <row r="245" spans="6:26" x14ac:dyDescent="0.25">
      <c r="F245" s="103"/>
      <c r="G245" s="104"/>
      <c r="H245" s="104"/>
      <c r="I245" s="104"/>
      <c r="J245" s="104"/>
      <c r="K245" s="104"/>
      <c r="L245" s="140"/>
      <c r="M245" s="101"/>
      <c r="N245" s="127"/>
      <c r="O245" s="95"/>
      <c r="P245" s="98"/>
      <c r="Q245" s="95"/>
      <c r="R245" s="128"/>
      <c r="S245" s="95"/>
      <c r="T245" s="95"/>
      <c r="U245" s="96"/>
      <c r="V245" s="96"/>
      <c r="W245" s="96"/>
      <c r="X245" s="96"/>
      <c r="Y245" s="96"/>
      <c r="Z245" s="97"/>
    </row>
    <row r="246" spans="6:26" x14ac:dyDescent="0.25">
      <c r="F246" s="103"/>
      <c r="G246" s="104"/>
      <c r="H246" s="104"/>
      <c r="I246" s="104"/>
      <c r="J246" s="104"/>
      <c r="K246" s="104"/>
      <c r="L246" s="140"/>
      <c r="M246" s="101"/>
      <c r="N246" s="127"/>
      <c r="O246" s="95"/>
      <c r="P246" s="98"/>
      <c r="Q246" s="95"/>
      <c r="R246" s="128"/>
      <c r="S246" s="95"/>
      <c r="T246" s="95"/>
      <c r="U246" s="96"/>
      <c r="V246" s="96"/>
      <c r="W246" s="96"/>
      <c r="X246" s="96"/>
      <c r="Y246" s="96"/>
      <c r="Z246" s="97"/>
    </row>
    <row r="247" spans="6:26" x14ac:dyDescent="0.25">
      <c r="F247" s="103"/>
      <c r="G247" s="104"/>
      <c r="H247" s="104"/>
      <c r="I247" s="104"/>
      <c r="J247" s="104"/>
      <c r="K247" s="104"/>
      <c r="L247" s="140"/>
      <c r="M247" s="101"/>
      <c r="N247" s="127"/>
      <c r="O247" s="95"/>
      <c r="P247" s="98"/>
      <c r="Q247" s="95"/>
      <c r="R247" s="128"/>
      <c r="S247" s="95"/>
      <c r="T247" s="95"/>
      <c r="U247" s="96"/>
      <c r="V247" s="96"/>
      <c r="W247" s="96"/>
      <c r="X247" s="96"/>
      <c r="Y247" s="96"/>
      <c r="Z247" s="97"/>
    </row>
    <row r="248" spans="6:26" x14ac:dyDescent="0.25">
      <c r="F248" s="103"/>
      <c r="G248" s="104"/>
      <c r="H248" s="104"/>
      <c r="I248" s="104"/>
      <c r="J248" s="104"/>
      <c r="K248" s="104"/>
      <c r="L248" s="140"/>
      <c r="M248" s="101"/>
      <c r="N248" s="127"/>
      <c r="O248" s="95"/>
      <c r="P248" s="98"/>
      <c r="Q248" s="95"/>
      <c r="R248" s="128"/>
      <c r="S248" s="95"/>
      <c r="T248" s="95"/>
      <c r="U248" s="96"/>
      <c r="V248" s="96"/>
      <c r="W248" s="96"/>
      <c r="X248" s="96"/>
      <c r="Y248" s="96"/>
      <c r="Z248" s="97"/>
    </row>
    <row r="249" spans="6:26" x14ac:dyDescent="0.25">
      <c r="F249" s="103"/>
      <c r="G249" s="104"/>
      <c r="H249" s="104"/>
      <c r="I249" s="104"/>
      <c r="J249" s="104"/>
      <c r="K249" s="104"/>
      <c r="L249" s="140"/>
      <c r="M249" s="101"/>
      <c r="N249" s="127"/>
      <c r="O249" s="95"/>
      <c r="P249" s="98"/>
      <c r="Q249" s="95"/>
      <c r="R249" s="128"/>
      <c r="S249" s="95"/>
      <c r="T249" s="95"/>
      <c r="U249" s="96"/>
      <c r="V249" s="96"/>
      <c r="W249" s="96"/>
      <c r="X249" s="96"/>
      <c r="Y249" s="96"/>
      <c r="Z249" s="97"/>
    </row>
    <row r="250" spans="6:26" x14ac:dyDescent="0.25">
      <c r="F250" s="103"/>
      <c r="G250" s="104"/>
      <c r="H250" s="104"/>
      <c r="I250" s="104"/>
      <c r="J250" s="104"/>
      <c r="K250" s="104"/>
      <c r="L250" s="140"/>
      <c r="M250" s="101"/>
      <c r="N250" s="127"/>
      <c r="O250" s="95"/>
      <c r="P250" s="98"/>
      <c r="Q250" s="95"/>
      <c r="R250" s="128"/>
      <c r="S250" s="95"/>
      <c r="T250" s="95"/>
      <c r="U250" s="96"/>
      <c r="V250" s="96"/>
      <c r="W250" s="96"/>
      <c r="X250" s="96"/>
      <c r="Y250" s="96"/>
      <c r="Z250" s="97"/>
    </row>
    <row r="251" spans="6:26" x14ac:dyDescent="0.25">
      <c r="F251" s="103"/>
      <c r="G251" s="104"/>
      <c r="H251" s="104"/>
      <c r="I251" s="104"/>
      <c r="J251" s="104"/>
      <c r="K251" s="104"/>
      <c r="L251" s="140"/>
      <c r="M251" s="101"/>
      <c r="N251" s="127"/>
      <c r="O251" s="95"/>
      <c r="P251" s="98"/>
      <c r="Q251" s="95"/>
      <c r="R251" s="128"/>
      <c r="S251" s="95"/>
      <c r="T251" s="95"/>
      <c r="U251" s="96"/>
      <c r="V251" s="96"/>
      <c r="W251" s="96"/>
      <c r="X251" s="96"/>
      <c r="Y251" s="96"/>
      <c r="Z251" s="97"/>
    </row>
    <row r="252" spans="6:26" x14ac:dyDescent="0.25">
      <c r="F252" s="103"/>
      <c r="G252" s="104"/>
      <c r="H252" s="104"/>
      <c r="I252" s="104"/>
      <c r="J252" s="104"/>
      <c r="K252" s="104"/>
      <c r="L252" s="140"/>
      <c r="M252" s="101"/>
      <c r="N252" s="127"/>
      <c r="O252" s="95"/>
      <c r="P252" s="98"/>
      <c r="Q252" s="95"/>
      <c r="R252" s="128"/>
      <c r="S252" s="95"/>
      <c r="T252" s="95"/>
      <c r="U252" s="96"/>
      <c r="V252" s="96"/>
      <c r="W252" s="96"/>
      <c r="X252" s="96"/>
      <c r="Y252" s="96"/>
      <c r="Z252" s="97"/>
    </row>
    <row r="253" spans="6:26" x14ac:dyDescent="0.25">
      <c r="F253" s="103"/>
      <c r="G253" s="104"/>
      <c r="H253" s="104"/>
      <c r="I253" s="104"/>
      <c r="J253" s="104"/>
      <c r="K253" s="104"/>
      <c r="L253" s="140"/>
      <c r="M253" s="101"/>
      <c r="N253" s="127"/>
      <c r="O253" s="95"/>
      <c r="P253" s="98"/>
      <c r="Q253" s="95"/>
      <c r="R253" s="128"/>
      <c r="S253" s="95"/>
      <c r="T253" s="95"/>
      <c r="U253" s="96"/>
      <c r="V253" s="96"/>
      <c r="W253" s="96"/>
      <c r="X253" s="96"/>
      <c r="Y253" s="96"/>
      <c r="Z253" s="97"/>
    </row>
    <row r="254" spans="6:26" x14ac:dyDescent="0.25">
      <c r="F254" s="103"/>
      <c r="G254" s="104"/>
      <c r="H254" s="104"/>
      <c r="I254" s="104"/>
      <c r="J254" s="104"/>
      <c r="K254" s="104"/>
      <c r="L254" s="140"/>
      <c r="M254" s="101"/>
      <c r="N254" s="127"/>
      <c r="O254" s="95"/>
      <c r="P254" s="98"/>
      <c r="Q254" s="95"/>
      <c r="R254" s="128"/>
      <c r="S254" s="95"/>
      <c r="T254" s="95"/>
      <c r="U254" s="96"/>
      <c r="V254" s="96"/>
      <c r="W254" s="96"/>
      <c r="X254" s="96"/>
      <c r="Y254" s="96"/>
      <c r="Z254" s="97"/>
    </row>
    <row r="255" spans="6:26" x14ac:dyDescent="0.25">
      <c r="F255" s="103"/>
      <c r="G255" s="104"/>
      <c r="H255" s="104"/>
      <c r="I255" s="104"/>
      <c r="J255" s="104"/>
      <c r="K255" s="104"/>
      <c r="L255" s="140"/>
      <c r="M255" s="101"/>
      <c r="N255" s="127"/>
      <c r="O255" s="95"/>
      <c r="P255" s="98"/>
      <c r="Q255" s="95"/>
      <c r="R255" s="128"/>
      <c r="S255" s="95"/>
      <c r="T255" s="95"/>
      <c r="U255" s="96"/>
      <c r="V255" s="96"/>
      <c r="W255" s="96"/>
      <c r="X255" s="96"/>
      <c r="Y255" s="96"/>
      <c r="Z255" s="97"/>
    </row>
    <row r="256" spans="6:26" x14ac:dyDescent="0.25">
      <c r="F256" s="103"/>
      <c r="G256" s="104"/>
      <c r="H256" s="104"/>
      <c r="I256" s="104"/>
      <c r="J256" s="104"/>
      <c r="K256" s="104"/>
      <c r="L256" s="140"/>
      <c r="M256" s="101"/>
      <c r="N256" s="127"/>
      <c r="O256" s="95"/>
      <c r="P256" s="98"/>
      <c r="Q256" s="95"/>
      <c r="R256" s="128"/>
      <c r="S256" s="95"/>
      <c r="T256" s="95"/>
      <c r="U256" s="96"/>
      <c r="V256" s="96"/>
      <c r="W256" s="96"/>
      <c r="X256" s="96"/>
      <c r="Y256" s="96"/>
      <c r="Z256" s="97"/>
    </row>
    <row r="257" spans="6:26" x14ac:dyDescent="0.25">
      <c r="F257" s="103"/>
      <c r="G257" s="104"/>
      <c r="H257" s="104"/>
      <c r="I257" s="104"/>
      <c r="J257" s="104"/>
      <c r="K257" s="104"/>
      <c r="L257" s="140"/>
      <c r="M257" s="101"/>
      <c r="N257" s="127"/>
      <c r="O257" s="95"/>
      <c r="P257" s="98"/>
      <c r="Q257" s="95"/>
      <c r="R257" s="128"/>
      <c r="S257" s="95"/>
      <c r="T257" s="95"/>
      <c r="U257" s="96"/>
      <c r="V257" s="96"/>
      <c r="W257" s="96"/>
      <c r="X257" s="96"/>
      <c r="Y257" s="96"/>
      <c r="Z257" s="97"/>
    </row>
    <row r="258" spans="6:26" x14ac:dyDescent="0.25">
      <c r="F258" s="103"/>
      <c r="G258" s="104"/>
      <c r="H258" s="104"/>
      <c r="I258" s="104"/>
      <c r="J258" s="104"/>
      <c r="K258" s="104"/>
      <c r="L258" s="140"/>
      <c r="M258" s="101"/>
      <c r="N258" s="127"/>
      <c r="O258" s="95"/>
      <c r="P258" s="98"/>
      <c r="Q258" s="95"/>
      <c r="R258" s="128"/>
      <c r="S258" s="95"/>
      <c r="T258" s="95"/>
      <c r="U258" s="96"/>
      <c r="V258" s="96"/>
      <c r="W258" s="96"/>
      <c r="X258" s="96"/>
      <c r="Y258" s="96"/>
      <c r="Z258" s="97"/>
    </row>
    <row r="259" spans="6:26" x14ac:dyDescent="0.25">
      <c r="F259" s="103"/>
      <c r="G259" s="104"/>
      <c r="H259" s="104"/>
      <c r="I259" s="104"/>
      <c r="J259" s="104"/>
      <c r="K259" s="104"/>
      <c r="L259" s="140"/>
      <c r="M259" s="101"/>
      <c r="N259" s="127"/>
      <c r="O259" s="95"/>
      <c r="P259" s="98"/>
      <c r="Q259" s="95"/>
      <c r="R259" s="128"/>
      <c r="S259" s="95"/>
      <c r="T259" s="95"/>
      <c r="U259" s="96"/>
      <c r="V259" s="96"/>
      <c r="W259" s="96"/>
      <c r="X259" s="96"/>
      <c r="Y259" s="96"/>
      <c r="Z259" s="97"/>
    </row>
    <row r="260" spans="6:26" x14ac:dyDescent="0.25">
      <c r="F260" s="103"/>
      <c r="G260" s="104"/>
      <c r="H260" s="104"/>
      <c r="I260" s="104"/>
      <c r="J260" s="104"/>
      <c r="K260" s="104"/>
      <c r="L260" s="140"/>
      <c r="M260" s="101"/>
      <c r="N260" s="127"/>
      <c r="O260" s="95"/>
      <c r="P260" s="98"/>
      <c r="Q260" s="95"/>
      <c r="R260" s="128"/>
      <c r="S260" s="95"/>
      <c r="T260" s="95"/>
      <c r="U260" s="96"/>
      <c r="V260" s="96"/>
      <c r="W260" s="96"/>
      <c r="X260" s="96"/>
      <c r="Y260" s="96"/>
      <c r="Z260" s="97"/>
    </row>
    <row r="261" spans="6:26" x14ac:dyDescent="0.25">
      <c r="F261" s="103"/>
      <c r="G261" s="104"/>
      <c r="H261" s="104"/>
      <c r="I261" s="104"/>
      <c r="J261" s="104"/>
      <c r="K261" s="104"/>
      <c r="L261" s="140"/>
      <c r="M261" s="101"/>
      <c r="N261" s="127"/>
      <c r="O261" s="95"/>
      <c r="P261" s="98"/>
      <c r="Q261" s="95"/>
      <c r="R261" s="128"/>
      <c r="S261" s="95"/>
      <c r="T261" s="95"/>
      <c r="U261" s="96"/>
      <c r="V261" s="96"/>
      <c r="W261" s="96"/>
      <c r="X261" s="96"/>
      <c r="Y261" s="96"/>
      <c r="Z261" s="97"/>
    </row>
    <row r="262" spans="6:26" x14ac:dyDescent="0.25">
      <c r="F262" s="103"/>
      <c r="G262" s="104"/>
      <c r="H262" s="104"/>
      <c r="I262" s="104"/>
      <c r="J262" s="104"/>
      <c r="K262" s="104"/>
      <c r="L262" s="140"/>
      <c r="M262" s="101"/>
      <c r="N262" s="127"/>
      <c r="O262" s="95"/>
      <c r="P262" s="98"/>
      <c r="Q262" s="95"/>
      <c r="R262" s="128"/>
      <c r="S262" s="95"/>
      <c r="T262" s="95"/>
      <c r="U262" s="96"/>
      <c r="V262" s="96"/>
      <c r="W262" s="96"/>
      <c r="X262" s="96"/>
      <c r="Y262" s="96"/>
      <c r="Z262" s="97"/>
    </row>
    <row r="263" spans="6:26" x14ac:dyDescent="0.25">
      <c r="F263" s="103"/>
      <c r="G263" s="104"/>
      <c r="H263" s="104"/>
      <c r="I263" s="104"/>
      <c r="J263" s="104"/>
      <c r="K263" s="104"/>
      <c r="L263" s="140"/>
      <c r="M263" s="101"/>
      <c r="N263" s="127"/>
      <c r="O263" s="95"/>
      <c r="P263" s="98"/>
      <c r="Q263" s="95"/>
      <c r="R263" s="128"/>
      <c r="S263" s="95"/>
      <c r="T263" s="95"/>
      <c r="U263" s="96"/>
      <c r="V263" s="96"/>
      <c r="W263" s="96"/>
      <c r="X263" s="96"/>
      <c r="Y263" s="96"/>
      <c r="Z263" s="97"/>
    </row>
    <row r="264" spans="6:26" x14ac:dyDescent="0.25">
      <c r="F264" s="103"/>
      <c r="G264" s="104"/>
      <c r="H264" s="104"/>
      <c r="I264" s="104"/>
      <c r="J264" s="104"/>
      <c r="K264" s="104"/>
      <c r="L264" s="140"/>
      <c r="M264" s="101"/>
      <c r="N264" s="127"/>
      <c r="O264" s="95"/>
      <c r="P264" s="98"/>
      <c r="Q264" s="95"/>
      <c r="R264" s="128"/>
      <c r="S264" s="95"/>
      <c r="T264" s="95"/>
      <c r="U264" s="96"/>
      <c r="V264" s="96"/>
      <c r="W264" s="96"/>
      <c r="X264" s="96"/>
      <c r="Y264" s="96"/>
      <c r="Z264" s="97"/>
    </row>
    <row r="265" spans="6:26" x14ac:dyDescent="0.25">
      <c r="F265" s="103"/>
      <c r="G265" s="104"/>
      <c r="H265" s="104"/>
      <c r="I265" s="104"/>
      <c r="J265" s="104"/>
      <c r="K265" s="104"/>
      <c r="L265" s="140"/>
      <c r="M265" s="101"/>
      <c r="N265" s="127"/>
      <c r="O265" s="95"/>
      <c r="P265" s="98"/>
      <c r="Q265" s="95"/>
      <c r="R265" s="128"/>
      <c r="S265" s="95"/>
      <c r="T265" s="95"/>
      <c r="U265" s="96"/>
      <c r="V265" s="96"/>
      <c r="W265" s="96"/>
      <c r="X265" s="96"/>
      <c r="Y265" s="96"/>
      <c r="Z265" s="97"/>
    </row>
    <row r="266" spans="6:26" x14ac:dyDescent="0.25">
      <c r="F266" s="103"/>
      <c r="G266" s="104"/>
      <c r="H266" s="104"/>
      <c r="I266" s="104"/>
      <c r="J266" s="104"/>
      <c r="K266" s="104"/>
      <c r="L266" s="140"/>
      <c r="M266" s="101"/>
      <c r="N266" s="127"/>
      <c r="O266" s="95"/>
      <c r="P266" s="98"/>
      <c r="Q266" s="95"/>
      <c r="R266" s="128"/>
      <c r="S266" s="95"/>
      <c r="T266" s="95"/>
      <c r="U266" s="96"/>
      <c r="V266" s="96"/>
      <c r="W266" s="96"/>
      <c r="X266" s="96"/>
      <c r="Y266" s="96"/>
      <c r="Z266" s="97"/>
    </row>
    <row r="267" spans="6:26" x14ac:dyDescent="0.25">
      <c r="F267" s="103"/>
      <c r="G267" s="104"/>
      <c r="H267" s="104"/>
      <c r="I267" s="104"/>
      <c r="J267" s="104"/>
      <c r="K267" s="104"/>
      <c r="L267" s="140"/>
      <c r="M267" s="101"/>
      <c r="N267" s="127"/>
      <c r="O267" s="95"/>
      <c r="P267" s="98"/>
      <c r="Q267" s="95"/>
      <c r="R267" s="128"/>
      <c r="S267" s="95"/>
      <c r="T267" s="95"/>
      <c r="U267" s="96"/>
      <c r="V267" s="96"/>
      <c r="W267" s="96"/>
      <c r="X267" s="96"/>
      <c r="Y267" s="96"/>
      <c r="Z267" s="97"/>
    </row>
    <row r="268" spans="6:26" x14ac:dyDescent="0.25">
      <c r="F268" s="103"/>
      <c r="G268" s="104"/>
      <c r="H268" s="104"/>
      <c r="I268" s="104"/>
      <c r="J268" s="104"/>
      <c r="K268" s="104"/>
      <c r="L268" s="140"/>
      <c r="M268" s="101"/>
      <c r="N268" s="127"/>
      <c r="O268" s="95"/>
      <c r="P268" s="98"/>
      <c r="Q268" s="95"/>
      <c r="R268" s="128"/>
      <c r="S268" s="95"/>
      <c r="T268" s="95"/>
      <c r="U268" s="96"/>
      <c r="V268" s="96"/>
      <c r="W268" s="96"/>
      <c r="X268" s="96"/>
      <c r="Y268" s="96"/>
      <c r="Z268" s="97"/>
    </row>
    <row r="269" spans="6:26" x14ac:dyDescent="0.25">
      <c r="F269" s="103"/>
      <c r="G269" s="104"/>
      <c r="H269" s="104"/>
      <c r="I269" s="104"/>
      <c r="J269" s="104"/>
      <c r="K269" s="104"/>
      <c r="L269" s="140"/>
      <c r="M269" s="101"/>
      <c r="N269" s="127"/>
      <c r="O269" s="95"/>
      <c r="P269" s="98"/>
      <c r="Q269" s="95"/>
      <c r="R269" s="128"/>
      <c r="S269" s="95"/>
      <c r="T269" s="95"/>
      <c r="U269" s="96"/>
      <c r="V269" s="96"/>
      <c r="W269" s="96"/>
      <c r="X269" s="96"/>
      <c r="Y269" s="96"/>
      <c r="Z269" s="97"/>
    </row>
    <row r="270" spans="6:26" x14ac:dyDescent="0.25">
      <c r="F270" s="103"/>
      <c r="G270" s="104"/>
      <c r="H270" s="104"/>
      <c r="I270" s="104"/>
      <c r="J270" s="104"/>
      <c r="K270" s="104"/>
      <c r="L270" s="140"/>
      <c r="M270" s="101"/>
      <c r="N270" s="127"/>
      <c r="O270" s="95"/>
      <c r="P270" s="98"/>
      <c r="Q270" s="95"/>
      <c r="R270" s="128"/>
      <c r="S270" s="95"/>
      <c r="T270" s="95"/>
      <c r="U270" s="96"/>
      <c r="V270" s="96"/>
      <c r="W270" s="96"/>
      <c r="X270" s="96"/>
      <c r="Y270" s="96"/>
      <c r="Z270" s="97"/>
    </row>
    <row r="271" spans="6:26" x14ac:dyDescent="0.25">
      <c r="F271" s="103"/>
      <c r="G271" s="104"/>
      <c r="H271" s="104"/>
      <c r="I271" s="104"/>
      <c r="J271" s="104"/>
      <c r="K271" s="104"/>
      <c r="L271" s="140"/>
      <c r="M271" s="101"/>
      <c r="N271" s="127"/>
      <c r="O271" s="95"/>
      <c r="P271" s="98"/>
      <c r="Q271" s="95"/>
      <c r="R271" s="128"/>
      <c r="S271" s="95"/>
      <c r="T271" s="95"/>
      <c r="U271" s="96"/>
      <c r="V271" s="96"/>
      <c r="W271" s="96"/>
      <c r="X271" s="96"/>
      <c r="Y271" s="96"/>
      <c r="Z271" s="97"/>
    </row>
    <row r="272" spans="6:26" x14ac:dyDescent="0.25">
      <c r="F272" s="103"/>
      <c r="G272" s="104"/>
      <c r="H272" s="104"/>
      <c r="I272" s="104"/>
      <c r="J272" s="104"/>
      <c r="K272" s="104"/>
      <c r="L272" s="140"/>
      <c r="M272" s="101"/>
      <c r="N272" s="127"/>
      <c r="O272" s="95"/>
      <c r="P272" s="98"/>
      <c r="Q272" s="95"/>
      <c r="R272" s="128"/>
      <c r="S272" s="95"/>
      <c r="T272" s="95"/>
      <c r="U272" s="96"/>
      <c r="V272" s="96"/>
      <c r="W272" s="96"/>
      <c r="X272" s="96"/>
      <c r="Y272" s="96"/>
      <c r="Z272" s="97"/>
    </row>
    <row r="273" spans="6:26" x14ac:dyDescent="0.25">
      <c r="F273" s="103"/>
      <c r="G273" s="104"/>
      <c r="H273" s="104"/>
      <c r="I273" s="104"/>
      <c r="J273" s="104"/>
      <c r="K273" s="104"/>
      <c r="L273" s="140"/>
      <c r="M273" s="101"/>
      <c r="N273" s="127"/>
      <c r="O273" s="95"/>
      <c r="P273" s="98"/>
      <c r="Q273" s="95"/>
      <c r="R273" s="128"/>
      <c r="S273" s="95"/>
      <c r="T273" s="95"/>
      <c r="U273" s="96"/>
      <c r="V273" s="96"/>
      <c r="W273" s="96"/>
      <c r="X273" s="96"/>
      <c r="Y273" s="96"/>
      <c r="Z273" s="97"/>
    </row>
    <row r="274" spans="6:26" x14ac:dyDescent="0.25">
      <c r="F274" s="103"/>
      <c r="G274" s="104"/>
      <c r="H274" s="104"/>
      <c r="I274" s="104"/>
      <c r="J274" s="104"/>
      <c r="K274" s="104"/>
      <c r="L274" s="140"/>
      <c r="M274" s="101"/>
      <c r="N274" s="127"/>
      <c r="O274" s="95"/>
      <c r="P274" s="98"/>
      <c r="Q274" s="95"/>
      <c r="R274" s="128"/>
      <c r="S274" s="95"/>
      <c r="T274" s="95"/>
      <c r="U274" s="96"/>
      <c r="V274" s="96"/>
      <c r="W274" s="96"/>
      <c r="X274" s="96"/>
      <c r="Y274" s="96"/>
      <c r="Z274" s="97"/>
    </row>
    <row r="275" spans="6:26" x14ac:dyDescent="0.25">
      <c r="F275" s="103"/>
      <c r="G275" s="104"/>
      <c r="H275" s="104"/>
      <c r="I275" s="104"/>
      <c r="J275" s="104"/>
      <c r="K275" s="104"/>
      <c r="L275" s="140"/>
      <c r="M275" s="101"/>
      <c r="N275" s="127"/>
      <c r="O275" s="95"/>
      <c r="P275" s="98"/>
      <c r="Q275" s="95"/>
      <c r="R275" s="128"/>
      <c r="S275" s="95"/>
      <c r="T275" s="95"/>
      <c r="U275" s="96"/>
      <c r="V275" s="96"/>
      <c r="W275" s="96"/>
      <c r="X275" s="96"/>
      <c r="Y275" s="96"/>
      <c r="Z275" s="97"/>
    </row>
    <row r="276" spans="6:26" x14ac:dyDescent="0.25">
      <c r="F276" s="103"/>
      <c r="G276" s="104"/>
      <c r="H276" s="104"/>
      <c r="I276" s="104"/>
      <c r="J276" s="104"/>
      <c r="K276" s="104"/>
      <c r="L276" s="140"/>
      <c r="M276" s="101"/>
      <c r="N276" s="127"/>
      <c r="O276" s="95"/>
      <c r="P276" s="98"/>
      <c r="Q276" s="95"/>
      <c r="R276" s="128"/>
      <c r="S276" s="95"/>
      <c r="T276" s="95"/>
      <c r="U276" s="96"/>
      <c r="V276" s="96"/>
      <c r="W276" s="96"/>
      <c r="X276" s="96"/>
      <c r="Y276" s="96"/>
      <c r="Z276" s="97"/>
    </row>
    <row r="277" spans="6:26" x14ac:dyDescent="0.25">
      <c r="F277" s="103"/>
      <c r="G277" s="104"/>
      <c r="H277" s="104"/>
      <c r="I277" s="104"/>
      <c r="J277" s="104"/>
      <c r="K277" s="104"/>
      <c r="L277" s="140"/>
      <c r="M277" s="101"/>
      <c r="N277" s="127"/>
      <c r="O277" s="95"/>
      <c r="P277" s="98"/>
      <c r="Q277" s="95"/>
      <c r="R277" s="128"/>
      <c r="S277" s="95"/>
      <c r="T277" s="95"/>
      <c r="U277" s="96"/>
      <c r="V277" s="96"/>
      <c r="W277" s="96"/>
      <c r="X277" s="96"/>
      <c r="Y277" s="96"/>
      <c r="Z277" s="97"/>
    </row>
    <row r="278" spans="6:26" x14ac:dyDescent="0.25">
      <c r="F278" s="103"/>
      <c r="G278" s="104"/>
      <c r="H278" s="104"/>
      <c r="I278" s="104"/>
      <c r="J278" s="104"/>
      <c r="K278" s="104"/>
      <c r="L278" s="140"/>
      <c r="M278" s="101"/>
      <c r="N278" s="127"/>
      <c r="O278" s="95"/>
      <c r="P278" s="98"/>
      <c r="Q278" s="95"/>
      <c r="R278" s="128"/>
      <c r="S278" s="95"/>
      <c r="T278" s="95"/>
      <c r="U278" s="96"/>
      <c r="V278" s="96"/>
      <c r="W278" s="96"/>
      <c r="X278" s="96"/>
      <c r="Y278" s="96"/>
      <c r="Z278" s="97"/>
    </row>
    <row r="279" spans="6:26" x14ac:dyDescent="0.25">
      <c r="F279" s="103"/>
      <c r="G279" s="104"/>
      <c r="H279" s="104"/>
      <c r="I279" s="104"/>
      <c r="J279" s="104"/>
      <c r="K279" s="104"/>
      <c r="L279" s="140"/>
      <c r="M279" s="101"/>
      <c r="N279" s="127"/>
      <c r="O279" s="95"/>
      <c r="P279" s="98"/>
      <c r="Q279" s="95"/>
      <c r="R279" s="128"/>
      <c r="S279" s="95"/>
      <c r="T279" s="95"/>
      <c r="U279" s="96"/>
      <c r="V279" s="96"/>
      <c r="W279" s="96"/>
      <c r="X279" s="96"/>
      <c r="Y279" s="96"/>
      <c r="Z279" s="97"/>
    </row>
    <row r="280" spans="6:26" x14ac:dyDescent="0.25">
      <c r="F280" s="103"/>
      <c r="G280" s="104"/>
      <c r="H280" s="104"/>
      <c r="I280" s="104"/>
      <c r="J280" s="104"/>
      <c r="K280" s="104"/>
      <c r="L280" s="140"/>
      <c r="M280" s="101"/>
      <c r="N280" s="127"/>
      <c r="O280" s="95"/>
      <c r="P280" s="98"/>
      <c r="Q280" s="95"/>
      <c r="R280" s="128"/>
      <c r="S280" s="95"/>
      <c r="T280" s="95"/>
      <c r="U280" s="96"/>
      <c r="V280" s="96"/>
      <c r="W280" s="96"/>
      <c r="X280" s="96"/>
      <c r="Y280" s="96"/>
      <c r="Z280" s="97"/>
    </row>
    <row r="281" spans="6:26" x14ac:dyDescent="0.25">
      <c r="F281" s="103"/>
      <c r="G281" s="104"/>
      <c r="H281" s="104"/>
      <c r="I281" s="104"/>
      <c r="J281" s="104"/>
      <c r="K281" s="104"/>
      <c r="L281" s="140"/>
      <c r="M281" s="101"/>
      <c r="N281" s="127"/>
      <c r="O281" s="95"/>
      <c r="P281" s="98"/>
      <c r="Q281" s="95"/>
      <c r="R281" s="128"/>
      <c r="S281" s="95"/>
      <c r="T281" s="95"/>
      <c r="U281" s="96"/>
      <c r="V281" s="96"/>
      <c r="W281" s="96"/>
      <c r="X281" s="96"/>
      <c r="Y281" s="96"/>
      <c r="Z281" s="97"/>
    </row>
    <row r="282" spans="6:26" x14ac:dyDescent="0.25">
      <c r="F282" s="103"/>
      <c r="G282" s="104"/>
      <c r="H282" s="104"/>
      <c r="I282" s="104"/>
      <c r="J282" s="104"/>
      <c r="K282" s="104"/>
      <c r="L282" s="140"/>
      <c r="M282" s="101"/>
      <c r="N282" s="127"/>
      <c r="O282" s="95"/>
      <c r="P282" s="98"/>
      <c r="Q282" s="95"/>
      <c r="R282" s="128"/>
      <c r="S282" s="95"/>
      <c r="T282" s="95"/>
      <c r="U282" s="96"/>
      <c r="V282" s="96"/>
      <c r="W282" s="96"/>
      <c r="X282" s="96"/>
      <c r="Y282" s="96"/>
      <c r="Z282" s="97"/>
    </row>
    <row r="283" spans="6:26" x14ac:dyDescent="0.25">
      <c r="F283" s="103"/>
      <c r="G283" s="104"/>
      <c r="H283" s="104"/>
      <c r="I283" s="104"/>
      <c r="J283" s="104"/>
      <c r="K283" s="104"/>
      <c r="L283" s="140"/>
      <c r="M283" s="101"/>
      <c r="N283" s="127"/>
      <c r="O283" s="95"/>
      <c r="P283" s="98"/>
      <c r="Q283" s="95"/>
      <c r="R283" s="128"/>
      <c r="S283" s="95"/>
      <c r="T283" s="95"/>
      <c r="U283" s="96"/>
      <c r="V283" s="96"/>
      <c r="W283" s="96"/>
      <c r="X283" s="96"/>
      <c r="Y283" s="96"/>
      <c r="Z283" s="97"/>
    </row>
    <row r="284" spans="6:26" x14ac:dyDescent="0.25">
      <c r="F284" s="103"/>
      <c r="G284" s="104"/>
      <c r="H284" s="104"/>
      <c r="I284" s="104"/>
      <c r="J284" s="104"/>
      <c r="K284" s="104"/>
      <c r="L284" s="140"/>
      <c r="M284" s="101"/>
      <c r="N284" s="127"/>
      <c r="O284" s="95"/>
      <c r="P284" s="98"/>
      <c r="Q284" s="95"/>
      <c r="R284" s="128"/>
      <c r="S284" s="95"/>
      <c r="T284" s="95"/>
      <c r="U284" s="96"/>
      <c r="V284" s="96"/>
      <c r="W284" s="96"/>
      <c r="X284" s="96"/>
      <c r="Y284" s="96"/>
      <c r="Z284" s="97"/>
    </row>
    <row r="285" spans="6:26" x14ac:dyDescent="0.25">
      <c r="F285" s="103"/>
      <c r="G285" s="104"/>
      <c r="H285" s="104"/>
      <c r="I285" s="104"/>
      <c r="J285" s="104"/>
      <c r="K285" s="104"/>
      <c r="L285" s="140"/>
      <c r="M285" s="101"/>
      <c r="N285" s="127"/>
      <c r="O285" s="95"/>
      <c r="P285" s="98"/>
      <c r="Q285" s="95"/>
      <c r="R285" s="128"/>
      <c r="S285" s="95"/>
      <c r="T285" s="95"/>
      <c r="U285" s="96"/>
      <c r="V285" s="96"/>
      <c r="W285" s="96"/>
      <c r="X285" s="96"/>
      <c r="Y285" s="96"/>
      <c r="Z285" s="97"/>
    </row>
    <row r="286" spans="6:26" x14ac:dyDescent="0.25">
      <c r="F286" s="103"/>
      <c r="G286" s="104"/>
      <c r="H286" s="104"/>
      <c r="I286" s="104"/>
      <c r="J286" s="104"/>
      <c r="K286" s="104"/>
      <c r="L286" s="140"/>
      <c r="M286" s="101"/>
      <c r="N286" s="127"/>
      <c r="O286" s="95"/>
      <c r="P286" s="98"/>
      <c r="Q286" s="95"/>
      <c r="R286" s="128"/>
      <c r="S286" s="95"/>
      <c r="T286" s="95"/>
      <c r="U286" s="96"/>
      <c r="V286" s="96"/>
      <c r="W286" s="96"/>
      <c r="X286" s="96"/>
      <c r="Y286" s="96"/>
      <c r="Z286" s="97"/>
    </row>
    <row r="287" spans="6:26" x14ac:dyDescent="0.25">
      <c r="F287" s="103"/>
      <c r="G287" s="104"/>
      <c r="H287" s="104"/>
      <c r="I287" s="104"/>
      <c r="J287" s="104"/>
      <c r="K287" s="104"/>
      <c r="L287" s="140"/>
      <c r="M287" s="101"/>
      <c r="N287" s="127"/>
      <c r="O287" s="95"/>
      <c r="P287" s="98"/>
      <c r="Q287" s="95"/>
      <c r="R287" s="128"/>
      <c r="S287" s="95"/>
      <c r="T287" s="95"/>
      <c r="U287" s="96"/>
      <c r="V287" s="96"/>
      <c r="W287" s="96"/>
      <c r="X287" s="96"/>
      <c r="Y287" s="96"/>
      <c r="Z287" s="97"/>
    </row>
    <row r="288" spans="6:26" x14ac:dyDescent="0.25">
      <c r="F288" s="103"/>
      <c r="G288" s="104"/>
      <c r="H288" s="104"/>
      <c r="I288" s="104"/>
      <c r="J288" s="104"/>
      <c r="K288" s="104"/>
      <c r="L288" s="140"/>
      <c r="M288" s="101"/>
      <c r="N288" s="127"/>
      <c r="O288" s="95"/>
      <c r="P288" s="98"/>
      <c r="Q288" s="95"/>
      <c r="R288" s="128"/>
      <c r="S288" s="95"/>
      <c r="T288" s="95"/>
      <c r="U288" s="96"/>
      <c r="V288" s="96"/>
      <c r="W288" s="96"/>
      <c r="X288" s="96"/>
      <c r="Y288" s="96"/>
      <c r="Z288" s="97"/>
    </row>
    <row r="289" spans="6:26" x14ac:dyDescent="0.25">
      <c r="F289" s="103"/>
      <c r="G289" s="104"/>
      <c r="H289" s="104"/>
      <c r="I289" s="104"/>
      <c r="J289" s="104"/>
      <c r="K289" s="104"/>
      <c r="L289" s="140"/>
      <c r="M289" s="101"/>
      <c r="N289" s="127"/>
      <c r="O289" s="95"/>
      <c r="P289" s="98"/>
      <c r="Q289" s="95"/>
      <c r="R289" s="128"/>
      <c r="S289" s="95"/>
      <c r="T289" s="95"/>
      <c r="U289" s="96"/>
      <c r="V289" s="96"/>
      <c r="W289" s="96"/>
      <c r="X289" s="96"/>
      <c r="Y289" s="96"/>
      <c r="Z289" s="97"/>
    </row>
    <row r="290" spans="6:26" x14ac:dyDescent="0.25">
      <c r="F290" s="103"/>
      <c r="G290" s="104"/>
      <c r="H290" s="104"/>
      <c r="I290" s="104"/>
      <c r="J290" s="104"/>
      <c r="K290" s="104"/>
      <c r="L290" s="140"/>
      <c r="M290" s="101"/>
      <c r="N290" s="127"/>
      <c r="O290" s="95"/>
      <c r="P290" s="98"/>
      <c r="Q290" s="95"/>
      <c r="R290" s="128"/>
      <c r="S290" s="95"/>
      <c r="T290" s="95"/>
      <c r="U290" s="96"/>
      <c r="V290" s="96"/>
      <c r="W290" s="96"/>
      <c r="X290" s="96"/>
      <c r="Y290" s="96"/>
      <c r="Z290" s="97"/>
    </row>
    <row r="291" spans="6:26" x14ac:dyDescent="0.25">
      <c r="F291" s="103"/>
      <c r="G291" s="104"/>
      <c r="H291" s="104"/>
      <c r="I291" s="104"/>
      <c r="J291" s="104"/>
      <c r="K291" s="104"/>
      <c r="L291" s="140"/>
      <c r="M291" s="101"/>
      <c r="N291" s="127"/>
      <c r="O291" s="95"/>
      <c r="P291" s="98"/>
      <c r="Q291" s="95"/>
      <c r="R291" s="128"/>
      <c r="S291" s="95"/>
      <c r="T291" s="95"/>
      <c r="U291" s="96"/>
      <c r="V291" s="96"/>
      <c r="W291" s="96"/>
      <c r="X291" s="96"/>
      <c r="Y291" s="96"/>
      <c r="Z291" s="97"/>
    </row>
    <row r="292" spans="6:26" x14ac:dyDescent="0.25">
      <c r="F292" s="103"/>
      <c r="G292" s="104"/>
      <c r="H292" s="104"/>
      <c r="I292" s="104"/>
      <c r="J292" s="104"/>
      <c r="K292" s="104"/>
      <c r="L292" s="140"/>
      <c r="M292" s="101"/>
      <c r="N292" s="127"/>
      <c r="O292" s="95"/>
      <c r="P292" s="98"/>
      <c r="Q292" s="95"/>
      <c r="R292" s="128"/>
      <c r="S292" s="95"/>
      <c r="T292" s="95"/>
      <c r="U292" s="96"/>
      <c r="V292" s="96"/>
      <c r="W292" s="96"/>
      <c r="X292" s="96"/>
      <c r="Y292" s="96"/>
      <c r="Z292" s="97"/>
    </row>
    <row r="293" spans="6:26" x14ac:dyDescent="0.25">
      <c r="F293" s="103"/>
      <c r="G293" s="104"/>
      <c r="H293" s="104"/>
      <c r="I293" s="104"/>
      <c r="J293" s="104"/>
      <c r="K293" s="104"/>
      <c r="L293" s="140"/>
      <c r="M293" s="101"/>
      <c r="N293" s="127"/>
      <c r="O293" s="95"/>
      <c r="P293" s="98"/>
      <c r="Q293" s="95"/>
      <c r="R293" s="128"/>
      <c r="S293" s="95"/>
      <c r="T293" s="95"/>
      <c r="U293" s="96"/>
      <c r="V293" s="96"/>
      <c r="W293" s="96"/>
      <c r="X293" s="96"/>
      <c r="Y293" s="96"/>
      <c r="Z293" s="97"/>
    </row>
    <row r="294" spans="6:26" x14ac:dyDescent="0.25">
      <c r="F294" s="103"/>
      <c r="G294" s="104"/>
      <c r="H294" s="104"/>
      <c r="I294" s="104"/>
      <c r="J294" s="104"/>
      <c r="K294" s="104"/>
      <c r="L294" s="140"/>
      <c r="M294" s="101"/>
      <c r="N294" s="127"/>
      <c r="O294" s="95"/>
      <c r="P294" s="98"/>
      <c r="Q294" s="95"/>
      <c r="R294" s="128"/>
      <c r="S294" s="95"/>
      <c r="T294" s="95"/>
      <c r="U294" s="96"/>
      <c r="V294" s="96"/>
      <c r="W294" s="96"/>
      <c r="X294" s="96"/>
      <c r="Y294" s="96"/>
      <c r="Z294" s="97"/>
    </row>
    <row r="295" spans="6:26" x14ac:dyDescent="0.25">
      <c r="F295" s="103"/>
      <c r="G295" s="104"/>
      <c r="H295" s="104"/>
      <c r="I295" s="104"/>
      <c r="J295" s="104"/>
      <c r="K295" s="104"/>
      <c r="L295" s="140"/>
      <c r="M295" s="101"/>
      <c r="N295" s="127"/>
      <c r="O295" s="95"/>
      <c r="P295" s="98"/>
      <c r="Q295" s="95"/>
      <c r="R295" s="128"/>
      <c r="S295" s="95"/>
      <c r="T295" s="95"/>
      <c r="U295" s="96"/>
      <c r="V295" s="96"/>
      <c r="W295" s="96"/>
      <c r="X295" s="96"/>
      <c r="Y295" s="96"/>
      <c r="Z295" s="97"/>
    </row>
    <row r="296" spans="6:26" x14ac:dyDescent="0.25">
      <c r="F296" s="103"/>
      <c r="G296" s="104"/>
      <c r="H296" s="104"/>
      <c r="I296" s="104"/>
      <c r="J296" s="104"/>
      <c r="K296" s="104"/>
      <c r="L296" s="140"/>
      <c r="M296" s="101"/>
      <c r="N296" s="127"/>
      <c r="O296" s="95"/>
      <c r="P296" s="98"/>
      <c r="Q296" s="95"/>
      <c r="R296" s="128"/>
      <c r="S296" s="95"/>
      <c r="T296" s="95"/>
      <c r="U296" s="96"/>
      <c r="V296" s="96"/>
      <c r="W296" s="96"/>
      <c r="X296" s="96"/>
      <c r="Y296" s="96"/>
      <c r="Z296" s="97"/>
    </row>
    <row r="297" spans="6:26" x14ac:dyDescent="0.25">
      <c r="F297" s="103"/>
      <c r="G297" s="104"/>
      <c r="H297" s="104"/>
      <c r="I297" s="104"/>
      <c r="J297" s="104"/>
      <c r="K297" s="104"/>
      <c r="L297" s="140"/>
      <c r="M297" s="101"/>
      <c r="N297" s="127"/>
      <c r="O297" s="95"/>
      <c r="P297" s="98"/>
      <c r="Q297" s="95"/>
      <c r="R297" s="128"/>
      <c r="S297" s="95"/>
      <c r="T297" s="95"/>
      <c r="U297" s="96"/>
      <c r="V297" s="96"/>
      <c r="W297" s="96"/>
      <c r="X297" s="96"/>
      <c r="Y297" s="96"/>
      <c r="Z297" s="97"/>
    </row>
    <row r="298" spans="6:26" x14ac:dyDescent="0.25">
      <c r="F298" s="103"/>
      <c r="G298" s="104"/>
      <c r="H298" s="104"/>
      <c r="I298" s="104"/>
      <c r="J298" s="104"/>
      <c r="K298" s="104"/>
      <c r="L298" s="140"/>
      <c r="M298" s="101"/>
      <c r="N298" s="127"/>
      <c r="O298" s="95"/>
      <c r="P298" s="98"/>
      <c r="Q298" s="95"/>
      <c r="R298" s="128"/>
      <c r="S298" s="95"/>
      <c r="T298" s="95"/>
      <c r="U298" s="96"/>
      <c r="V298" s="96"/>
      <c r="W298" s="96"/>
      <c r="X298" s="96"/>
      <c r="Y298" s="96"/>
      <c r="Z298" s="97"/>
    </row>
    <row r="299" spans="6:26" x14ac:dyDescent="0.25">
      <c r="F299" s="103"/>
      <c r="G299" s="104"/>
      <c r="H299" s="104"/>
      <c r="I299" s="104"/>
      <c r="J299" s="104"/>
      <c r="K299" s="104"/>
      <c r="L299" s="140"/>
      <c r="M299" s="101"/>
      <c r="N299" s="127"/>
      <c r="O299" s="95"/>
      <c r="P299" s="98"/>
      <c r="Q299" s="95"/>
      <c r="R299" s="128"/>
      <c r="S299" s="95"/>
      <c r="T299" s="95"/>
      <c r="U299" s="96"/>
      <c r="V299" s="96"/>
      <c r="W299" s="96"/>
      <c r="X299" s="96"/>
      <c r="Y299" s="96"/>
      <c r="Z299" s="97"/>
    </row>
    <row r="300" spans="6:26" x14ac:dyDescent="0.25">
      <c r="F300" s="103"/>
      <c r="G300" s="104"/>
      <c r="H300" s="104"/>
      <c r="I300" s="104"/>
      <c r="J300" s="104"/>
      <c r="K300" s="104"/>
      <c r="L300" s="140"/>
      <c r="M300" s="101"/>
      <c r="N300" s="127"/>
      <c r="O300" s="95"/>
      <c r="P300" s="98"/>
      <c r="Q300" s="95"/>
      <c r="R300" s="128"/>
      <c r="S300" s="95"/>
      <c r="T300" s="95"/>
      <c r="U300" s="96"/>
      <c r="V300" s="96"/>
      <c r="W300" s="96"/>
      <c r="X300" s="96"/>
      <c r="Y300" s="96"/>
      <c r="Z300" s="97"/>
    </row>
    <row r="301" spans="6:26" x14ac:dyDescent="0.25">
      <c r="F301" s="103"/>
      <c r="G301" s="104"/>
      <c r="H301" s="104"/>
      <c r="I301" s="104"/>
      <c r="J301" s="104"/>
      <c r="K301" s="104"/>
      <c r="L301" s="140"/>
      <c r="M301" s="101"/>
      <c r="N301" s="127"/>
      <c r="O301" s="95"/>
      <c r="P301" s="98"/>
      <c r="Q301" s="95"/>
      <c r="R301" s="128"/>
      <c r="S301" s="95"/>
      <c r="T301" s="95"/>
      <c r="U301" s="96"/>
      <c r="V301" s="96"/>
      <c r="W301" s="96"/>
      <c r="X301" s="96"/>
      <c r="Y301" s="96"/>
      <c r="Z301" s="97"/>
    </row>
    <row r="302" spans="6:26" x14ac:dyDescent="0.25">
      <c r="F302" s="103"/>
      <c r="G302" s="104"/>
      <c r="H302" s="104"/>
      <c r="I302" s="104"/>
      <c r="J302" s="104"/>
      <c r="K302" s="104"/>
      <c r="L302" s="140"/>
      <c r="M302" s="101"/>
      <c r="N302" s="127"/>
      <c r="O302" s="95"/>
      <c r="P302" s="98"/>
      <c r="Q302" s="95"/>
      <c r="R302" s="128"/>
      <c r="S302" s="95"/>
      <c r="T302" s="95"/>
      <c r="U302" s="96"/>
      <c r="V302" s="96"/>
      <c r="W302" s="96"/>
      <c r="X302" s="96"/>
      <c r="Y302" s="96"/>
      <c r="Z302" s="97"/>
    </row>
    <row r="303" spans="6:26" x14ac:dyDescent="0.25">
      <c r="F303" s="103"/>
      <c r="G303" s="104"/>
      <c r="H303" s="104"/>
      <c r="I303" s="104"/>
      <c r="J303" s="104"/>
      <c r="K303" s="104"/>
      <c r="L303" s="140"/>
      <c r="M303" s="101"/>
      <c r="N303" s="127"/>
      <c r="O303" s="95"/>
      <c r="P303" s="98"/>
      <c r="Q303" s="95"/>
      <c r="R303" s="128"/>
      <c r="S303" s="95"/>
      <c r="T303" s="95"/>
      <c r="U303" s="96"/>
      <c r="V303" s="96"/>
      <c r="W303" s="96"/>
      <c r="X303" s="96"/>
      <c r="Y303" s="96"/>
      <c r="Z303" s="97"/>
    </row>
    <row r="304" spans="6:26" x14ac:dyDescent="0.25">
      <c r="F304" s="103"/>
      <c r="G304" s="104"/>
      <c r="H304" s="104"/>
      <c r="I304" s="104"/>
      <c r="J304" s="104"/>
      <c r="K304" s="104"/>
      <c r="L304" s="140"/>
      <c r="M304" s="101"/>
      <c r="N304" s="127"/>
      <c r="O304" s="95"/>
      <c r="P304" s="98"/>
      <c r="Q304" s="95"/>
      <c r="R304" s="128"/>
      <c r="S304" s="95"/>
      <c r="T304" s="95"/>
      <c r="U304" s="96"/>
      <c r="V304" s="96"/>
      <c r="W304" s="96"/>
      <c r="X304" s="96"/>
      <c r="Y304" s="96"/>
      <c r="Z304" s="97"/>
    </row>
    <row r="305" spans="6:26" x14ac:dyDescent="0.25">
      <c r="F305" s="103"/>
      <c r="G305" s="104"/>
      <c r="H305" s="104"/>
      <c r="I305" s="104"/>
      <c r="J305" s="104"/>
      <c r="K305" s="104"/>
      <c r="L305" s="140"/>
      <c r="M305" s="101"/>
      <c r="N305" s="127"/>
      <c r="O305" s="95"/>
      <c r="P305" s="98"/>
      <c r="Q305" s="95"/>
      <c r="R305" s="128"/>
      <c r="S305" s="95"/>
      <c r="T305" s="95"/>
      <c r="U305" s="96"/>
      <c r="V305" s="96"/>
      <c r="W305" s="96"/>
      <c r="X305" s="96"/>
      <c r="Y305" s="96"/>
      <c r="Z305" s="97"/>
    </row>
    <row r="306" spans="6:26" x14ac:dyDescent="0.25">
      <c r="F306" s="103"/>
      <c r="G306" s="104"/>
      <c r="H306" s="104"/>
      <c r="I306" s="104"/>
      <c r="J306" s="104"/>
      <c r="K306" s="104"/>
      <c r="L306" s="140"/>
      <c r="M306" s="101"/>
      <c r="N306" s="127"/>
      <c r="O306" s="95"/>
      <c r="P306" s="98"/>
      <c r="Q306" s="95"/>
      <c r="R306" s="128"/>
      <c r="S306" s="95"/>
      <c r="T306" s="95"/>
      <c r="U306" s="96"/>
      <c r="V306" s="96"/>
      <c r="W306" s="96"/>
      <c r="X306" s="96"/>
      <c r="Y306" s="96"/>
      <c r="Z306" s="97"/>
    </row>
    <row r="307" spans="6:26" x14ac:dyDescent="0.25">
      <c r="F307" s="103"/>
      <c r="G307" s="104"/>
      <c r="H307" s="104"/>
      <c r="I307" s="104"/>
      <c r="J307" s="104"/>
      <c r="K307" s="104"/>
      <c r="L307" s="140"/>
      <c r="M307" s="101"/>
      <c r="N307" s="127"/>
      <c r="O307" s="95"/>
      <c r="P307" s="98"/>
      <c r="Q307" s="95"/>
      <c r="R307" s="128"/>
      <c r="S307" s="95"/>
      <c r="T307" s="95"/>
      <c r="U307" s="96"/>
      <c r="V307" s="96"/>
      <c r="W307" s="96"/>
      <c r="X307" s="96"/>
      <c r="Y307" s="96"/>
      <c r="Z307" s="97"/>
    </row>
    <row r="308" spans="6:26" x14ac:dyDescent="0.25">
      <c r="F308" s="103"/>
      <c r="G308" s="104"/>
      <c r="H308" s="104"/>
      <c r="I308" s="104"/>
      <c r="J308" s="104"/>
      <c r="K308" s="104"/>
      <c r="L308" s="140"/>
      <c r="M308" s="101"/>
      <c r="N308" s="127"/>
      <c r="O308" s="95"/>
      <c r="P308" s="98"/>
      <c r="Q308" s="95"/>
      <c r="R308" s="128"/>
      <c r="S308" s="95"/>
      <c r="T308" s="95"/>
      <c r="U308" s="96"/>
      <c r="V308" s="96"/>
      <c r="W308" s="96"/>
      <c r="X308" s="96"/>
      <c r="Y308" s="96"/>
      <c r="Z308" s="97"/>
    </row>
    <row r="309" spans="6:26" x14ac:dyDescent="0.25">
      <c r="F309" s="103"/>
      <c r="G309" s="104"/>
      <c r="H309" s="104"/>
      <c r="I309" s="104"/>
      <c r="J309" s="104"/>
      <c r="K309" s="104"/>
      <c r="L309" s="140"/>
      <c r="M309" s="101"/>
      <c r="N309" s="127"/>
      <c r="O309" s="95"/>
      <c r="P309" s="98"/>
      <c r="Q309" s="95"/>
      <c r="R309" s="128"/>
      <c r="S309" s="95"/>
      <c r="T309" s="95"/>
      <c r="U309" s="96"/>
      <c r="V309" s="96"/>
      <c r="W309" s="96"/>
      <c r="X309" s="96"/>
      <c r="Y309" s="96"/>
      <c r="Z309" s="97"/>
    </row>
    <row r="310" spans="6:26" x14ac:dyDescent="0.25">
      <c r="F310" s="103"/>
      <c r="G310" s="104"/>
      <c r="H310" s="104"/>
      <c r="I310" s="104"/>
      <c r="J310" s="104"/>
      <c r="K310" s="104"/>
      <c r="L310" s="140"/>
      <c r="M310" s="101"/>
      <c r="N310" s="127"/>
      <c r="O310" s="95"/>
      <c r="P310" s="98"/>
      <c r="Q310" s="95"/>
      <c r="R310" s="128"/>
      <c r="S310" s="95"/>
      <c r="T310" s="95"/>
      <c r="U310" s="96"/>
      <c r="V310" s="96"/>
      <c r="W310" s="96"/>
      <c r="X310" s="96"/>
      <c r="Y310" s="96"/>
      <c r="Z310" s="97"/>
    </row>
    <row r="311" spans="6:26" x14ac:dyDescent="0.25">
      <c r="F311" s="103"/>
      <c r="G311" s="104"/>
      <c r="H311" s="104"/>
      <c r="I311" s="104"/>
      <c r="J311" s="104"/>
      <c r="K311" s="104"/>
      <c r="L311" s="140"/>
      <c r="M311" s="101"/>
      <c r="N311" s="127"/>
      <c r="O311" s="95"/>
      <c r="P311" s="98"/>
      <c r="Q311" s="95"/>
      <c r="R311" s="128"/>
      <c r="S311" s="95"/>
      <c r="T311" s="95"/>
      <c r="U311" s="96"/>
      <c r="V311" s="96"/>
      <c r="W311" s="96"/>
      <c r="X311" s="96"/>
      <c r="Y311" s="96"/>
      <c r="Z311" s="97"/>
    </row>
    <row r="312" spans="6:26" x14ac:dyDescent="0.25">
      <c r="F312" s="103"/>
      <c r="G312" s="104"/>
      <c r="H312" s="104"/>
      <c r="I312" s="104"/>
      <c r="J312" s="104"/>
      <c r="K312" s="104"/>
      <c r="L312" s="140"/>
      <c r="M312" s="101"/>
      <c r="N312" s="127"/>
      <c r="O312" s="95"/>
      <c r="P312" s="98"/>
      <c r="Q312" s="95"/>
      <c r="R312" s="128"/>
      <c r="S312" s="95"/>
      <c r="T312" s="95"/>
      <c r="U312" s="96"/>
      <c r="V312" s="96"/>
      <c r="W312" s="96"/>
      <c r="X312" s="96"/>
      <c r="Y312" s="96"/>
      <c r="Z312" s="97"/>
    </row>
    <row r="313" spans="6:26" x14ac:dyDescent="0.25">
      <c r="F313" s="103"/>
      <c r="G313" s="104"/>
      <c r="H313" s="104"/>
      <c r="I313" s="104"/>
      <c r="J313" s="104"/>
      <c r="K313" s="104"/>
      <c r="L313" s="140"/>
      <c r="M313" s="101"/>
      <c r="N313" s="127"/>
      <c r="O313" s="95"/>
      <c r="P313" s="98"/>
      <c r="Q313" s="95"/>
      <c r="R313" s="128"/>
      <c r="S313" s="95"/>
      <c r="T313" s="95"/>
      <c r="U313" s="96"/>
      <c r="V313" s="96"/>
      <c r="W313" s="96"/>
      <c r="X313" s="96"/>
      <c r="Y313" s="96"/>
      <c r="Z313" s="97"/>
    </row>
    <row r="314" spans="6:26" x14ac:dyDescent="0.25">
      <c r="F314" s="103"/>
      <c r="G314" s="104"/>
      <c r="H314" s="104"/>
      <c r="I314" s="104"/>
      <c r="J314" s="104"/>
      <c r="K314" s="104"/>
      <c r="L314" s="140"/>
      <c r="M314" s="101"/>
      <c r="N314" s="127"/>
      <c r="O314" s="95"/>
      <c r="P314" s="98"/>
      <c r="Q314" s="95"/>
      <c r="R314" s="128"/>
      <c r="S314" s="95"/>
      <c r="T314" s="95"/>
      <c r="U314" s="96"/>
      <c r="V314" s="96"/>
      <c r="W314" s="96"/>
      <c r="X314" s="96"/>
      <c r="Y314" s="96"/>
      <c r="Z314" s="97"/>
    </row>
    <row r="315" spans="6:26" x14ac:dyDescent="0.25">
      <c r="F315" s="103"/>
      <c r="G315" s="104"/>
      <c r="H315" s="104"/>
      <c r="I315" s="104"/>
      <c r="J315" s="104"/>
      <c r="K315" s="104"/>
      <c r="L315" s="140"/>
      <c r="M315" s="101"/>
      <c r="N315" s="127"/>
      <c r="O315" s="95"/>
      <c r="P315" s="98"/>
      <c r="Q315" s="95"/>
      <c r="R315" s="128"/>
      <c r="S315" s="95"/>
      <c r="T315" s="95"/>
      <c r="U315" s="96"/>
      <c r="V315" s="96"/>
      <c r="W315" s="96"/>
      <c r="X315" s="96"/>
      <c r="Y315" s="96"/>
      <c r="Z315" s="97"/>
    </row>
    <row r="316" spans="6:26" x14ac:dyDescent="0.25">
      <c r="F316" s="103"/>
      <c r="G316" s="104"/>
      <c r="H316" s="104"/>
      <c r="I316" s="104"/>
      <c r="J316" s="104"/>
      <c r="K316" s="104"/>
      <c r="L316" s="140"/>
      <c r="M316" s="101"/>
      <c r="N316" s="127"/>
      <c r="O316" s="95"/>
      <c r="P316" s="98"/>
      <c r="Q316" s="95"/>
      <c r="R316" s="128"/>
      <c r="S316" s="95"/>
      <c r="T316" s="95"/>
      <c r="U316" s="96"/>
      <c r="V316" s="96"/>
      <c r="W316" s="96"/>
      <c r="X316" s="96"/>
      <c r="Y316" s="96"/>
      <c r="Z316" s="97"/>
    </row>
    <row r="317" spans="6:26" x14ac:dyDescent="0.25">
      <c r="F317" s="103"/>
      <c r="G317" s="104"/>
      <c r="H317" s="104"/>
      <c r="I317" s="104"/>
      <c r="J317" s="104"/>
      <c r="K317" s="104"/>
      <c r="L317" s="140"/>
      <c r="M317" s="101"/>
      <c r="N317" s="127"/>
      <c r="O317" s="95"/>
      <c r="P317" s="98"/>
      <c r="Q317" s="95"/>
      <c r="R317" s="128"/>
      <c r="S317" s="95"/>
      <c r="T317" s="95"/>
      <c r="U317" s="96"/>
      <c r="V317" s="96"/>
      <c r="W317" s="96"/>
      <c r="X317" s="96"/>
      <c r="Y317" s="96"/>
      <c r="Z317" s="97"/>
    </row>
    <row r="318" spans="6:26" x14ac:dyDescent="0.25">
      <c r="F318" s="103"/>
      <c r="G318" s="104"/>
      <c r="H318" s="104"/>
      <c r="I318" s="104"/>
      <c r="J318" s="104"/>
      <c r="K318" s="104"/>
      <c r="L318" s="140"/>
      <c r="M318" s="101"/>
      <c r="N318" s="127"/>
      <c r="O318" s="95"/>
      <c r="P318" s="98"/>
      <c r="Q318" s="95"/>
      <c r="R318" s="128"/>
      <c r="S318" s="95"/>
      <c r="T318" s="95"/>
      <c r="U318" s="96"/>
      <c r="V318" s="96"/>
      <c r="W318" s="96"/>
      <c r="X318" s="96"/>
      <c r="Y318" s="96"/>
      <c r="Z318" s="97"/>
    </row>
    <row r="319" spans="6:26" x14ac:dyDescent="0.25">
      <c r="F319" s="103"/>
      <c r="G319" s="104"/>
      <c r="H319" s="104"/>
      <c r="I319" s="104"/>
      <c r="J319" s="104"/>
      <c r="K319" s="104"/>
      <c r="L319" s="140"/>
      <c r="M319" s="101"/>
      <c r="N319" s="127"/>
      <c r="O319" s="95"/>
      <c r="P319" s="98"/>
      <c r="Q319" s="95"/>
      <c r="R319" s="128"/>
      <c r="S319" s="95"/>
      <c r="T319" s="95"/>
      <c r="U319" s="96"/>
      <c r="V319" s="96"/>
      <c r="W319" s="96"/>
      <c r="X319" s="96"/>
      <c r="Y319" s="96"/>
      <c r="Z319" s="97"/>
    </row>
    <row r="320" spans="6:26" x14ac:dyDescent="0.25">
      <c r="F320" s="103"/>
      <c r="G320" s="104"/>
      <c r="H320" s="104"/>
      <c r="I320" s="104"/>
      <c r="J320" s="104"/>
      <c r="K320" s="104"/>
      <c r="L320" s="140"/>
      <c r="M320" s="101"/>
      <c r="N320" s="127"/>
      <c r="O320" s="95"/>
      <c r="P320" s="98"/>
      <c r="Q320" s="95"/>
      <c r="R320" s="128"/>
      <c r="S320" s="95"/>
      <c r="T320" s="95"/>
      <c r="U320" s="96"/>
      <c r="V320" s="96"/>
      <c r="W320" s="96"/>
      <c r="X320" s="96"/>
      <c r="Y320" s="96"/>
      <c r="Z320" s="97"/>
    </row>
    <row r="321" spans="6:26" x14ac:dyDescent="0.25">
      <c r="F321" s="103"/>
      <c r="G321" s="104"/>
      <c r="H321" s="104"/>
      <c r="I321" s="104"/>
      <c r="J321" s="104"/>
      <c r="K321" s="104"/>
      <c r="L321" s="140"/>
      <c r="M321" s="101"/>
      <c r="N321" s="127"/>
      <c r="O321" s="95"/>
      <c r="P321" s="98"/>
      <c r="Q321" s="95"/>
      <c r="R321" s="128"/>
      <c r="S321" s="95"/>
      <c r="T321" s="95"/>
      <c r="U321" s="96"/>
      <c r="V321" s="96"/>
      <c r="W321" s="96"/>
      <c r="X321" s="96"/>
      <c r="Y321" s="96"/>
      <c r="Z321" s="97"/>
    </row>
    <row r="322" spans="6:26" x14ac:dyDescent="0.25">
      <c r="F322" s="103"/>
      <c r="G322" s="104"/>
      <c r="H322" s="104"/>
      <c r="I322" s="104"/>
      <c r="J322" s="104"/>
      <c r="K322" s="104"/>
      <c r="L322" s="140"/>
      <c r="M322" s="101"/>
      <c r="N322" s="127"/>
      <c r="O322" s="95"/>
      <c r="P322" s="98"/>
      <c r="Q322" s="95"/>
      <c r="R322" s="128"/>
      <c r="S322" s="95"/>
      <c r="T322" s="95"/>
      <c r="U322" s="96"/>
      <c r="V322" s="96"/>
      <c r="W322" s="96"/>
      <c r="X322" s="96"/>
      <c r="Y322" s="96"/>
      <c r="Z322" s="97"/>
    </row>
    <row r="323" spans="6:26" x14ac:dyDescent="0.25">
      <c r="F323" s="103"/>
      <c r="G323" s="104"/>
      <c r="H323" s="104"/>
      <c r="I323" s="104"/>
      <c r="J323" s="104"/>
      <c r="K323" s="104"/>
      <c r="L323" s="140"/>
      <c r="M323" s="101"/>
      <c r="N323" s="127"/>
      <c r="O323" s="95"/>
      <c r="P323" s="98"/>
      <c r="Q323" s="95"/>
      <c r="R323" s="128"/>
      <c r="S323" s="95"/>
      <c r="T323" s="95"/>
      <c r="U323" s="96"/>
      <c r="V323" s="96"/>
      <c r="W323" s="96"/>
      <c r="X323" s="96"/>
      <c r="Y323" s="96"/>
      <c r="Z323" s="97"/>
    </row>
    <row r="324" spans="6:26" x14ac:dyDescent="0.25">
      <c r="F324" s="103"/>
      <c r="G324" s="104"/>
      <c r="H324" s="104"/>
      <c r="I324" s="104"/>
      <c r="J324" s="104"/>
      <c r="K324" s="104"/>
      <c r="L324" s="140"/>
      <c r="M324" s="101"/>
      <c r="N324" s="127"/>
      <c r="O324" s="95"/>
      <c r="P324" s="98"/>
      <c r="Q324" s="95"/>
      <c r="R324" s="128"/>
      <c r="S324" s="95"/>
      <c r="T324" s="95"/>
      <c r="U324" s="96"/>
      <c r="V324" s="96"/>
      <c r="W324" s="96"/>
      <c r="X324" s="96"/>
      <c r="Y324" s="96"/>
      <c r="Z324" s="97"/>
    </row>
    <row r="325" spans="6:26" x14ac:dyDescent="0.25">
      <c r="F325" s="103"/>
      <c r="G325" s="104"/>
      <c r="H325" s="104"/>
      <c r="I325" s="104"/>
      <c r="J325" s="104"/>
      <c r="K325" s="104"/>
      <c r="L325" s="140"/>
      <c r="M325" s="101"/>
      <c r="N325" s="127"/>
      <c r="O325" s="95"/>
      <c r="P325" s="98"/>
      <c r="Q325" s="95"/>
      <c r="R325" s="128"/>
      <c r="S325" s="95"/>
      <c r="T325" s="95"/>
      <c r="U325" s="96"/>
      <c r="V325" s="96"/>
      <c r="W325" s="96"/>
      <c r="X325" s="96"/>
      <c r="Y325" s="96"/>
      <c r="Z325" s="97"/>
    </row>
    <row r="326" spans="6:26" x14ac:dyDescent="0.25">
      <c r="F326" s="103"/>
      <c r="G326" s="104"/>
      <c r="H326" s="104"/>
      <c r="I326" s="104"/>
      <c r="J326" s="104"/>
      <c r="K326" s="104"/>
      <c r="L326" s="140"/>
      <c r="M326" s="101"/>
      <c r="N326" s="127"/>
      <c r="O326" s="95"/>
      <c r="P326" s="98"/>
      <c r="Q326" s="95"/>
      <c r="R326" s="128"/>
      <c r="S326" s="95"/>
      <c r="T326" s="95"/>
      <c r="U326" s="96"/>
      <c r="V326" s="96"/>
      <c r="W326" s="96"/>
      <c r="X326" s="96"/>
      <c r="Y326" s="96"/>
      <c r="Z326" s="97"/>
    </row>
    <row r="327" spans="6:26" x14ac:dyDescent="0.25">
      <c r="F327" s="103"/>
      <c r="G327" s="104"/>
      <c r="H327" s="104"/>
      <c r="I327" s="104"/>
      <c r="J327" s="104"/>
      <c r="K327" s="104"/>
      <c r="L327" s="140"/>
      <c r="M327" s="101"/>
      <c r="N327" s="127"/>
      <c r="O327" s="95"/>
      <c r="P327" s="98"/>
      <c r="Q327" s="95"/>
      <c r="R327" s="128"/>
      <c r="S327" s="95"/>
      <c r="T327" s="95"/>
      <c r="U327" s="96"/>
      <c r="V327" s="96"/>
      <c r="W327" s="96"/>
      <c r="X327" s="96"/>
      <c r="Y327" s="96"/>
      <c r="Z327" s="97"/>
    </row>
    <row r="328" spans="6:26" x14ac:dyDescent="0.25">
      <c r="F328" s="103"/>
      <c r="G328" s="104"/>
      <c r="H328" s="104"/>
      <c r="I328" s="104"/>
      <c r="J328" s="104"/>
      <c r="K328" s="104"/>
      <c r="L328" s="140"/>
      <c r="M328" s="101"/>
      <c r="N328" s="127"/>
      <c r="O328" s="95"/>
      <c r="P328" s="98"/>
      <c r="Q328" s="95"/>
      <c r="R328" s="128"/>
      <c r="S328" s="95"/>
      <c r="T328" s="95"/>
      <c r="U328" s="96"/>
      <c r="V328" s="96"/>
      <c r="W328" s="96"/>
      <c r="X328" s="96"/>
      <c r="Y328" s="96"/>
      <c r="Z328" s="97"/>
    </row>
    <row r="329" spans="6:26" x14ac:dyDescent="0.25">
      <c r="F329" s="103"/>
      <c r="G329" s="104"/>
      <c r="H329" s="104"/>
      <c r="I329" s="104"/>
      <c r="J329" s="104"/>
      <c r="K329" s="104"/>
      <c r="L329" s="140"/>
      <c r="M329" s="101"/>
      <c r="N329" s="127"/>
      <c r="O329" s="95"/>
      <c r="P329" s="98"/>
      <c r="Q329" s="95"/>
      <c r="R329" s="128"/>
      <c r="S329" s="95"/>
      <c r="T329" s="95"/>
      <c r="U329" s="96"/>
      <c r="V329" s="96"/>
      <c r="W329" s="96"/>
      <c r="X329" s="96"/>
      <c r="Y329" s="96"/>
      <c r="Z329" s="97"/>
    </row>
    <row r="330" spans="6:26" x14ac:dyDescent="0.25">
      <c r="F330" s="103"/>
      <c r="G330" s="104"/>
      <c r="H330" s="104"/>
      <c r="I330" s="104"/>
      <c r="J330" s="104"/>
      <c r="K330" s="104"/>
      <c r="L330" s="140"/>
      <c r="M330" s="101"/>
      <c r="N330" s="127"/>
      <c r="O330" s="95"/>
      <c r="P330" s="98"/>
      <c r="Q330" s="95"/>
      <c r="R330" s="128"/>
      <c r="S330" s="95"/>
      <c r="T330" s="95"/>
      <c r="U330" s="96"/>
      <c r="V330" s="96"/>
      <c r="W330" s="96"/>
      <c r="X330" s="96"/>
      <c r="Y330" s="96"/>
      <c r="Z330" s="97"/>
    </row>
    <row r="331" spans="6:26" x14ac:dyDescent="0.25">
      <c r="F331" s="103"/>
      <c r="G331" s="104"/>
      <c r="H331" s="104"/>
      <c r="I331" s="104"/>
      <c r="J331" s="104"/>
      <c r="K331" s="104"/>
      <c r="L331" s="140"/>
      <c r="M331" s="101"/>
      <c r="N331" s="127"/>
      <c r="O331" s="95"/>
      <c r="P331" s="98"/>
      <c r="Q331" s="95"/>
      <c r="R331" s="128"/>
      <c r="S331" s="95"/>
      <c r="T331" s="95"/>
      <c r="U331" s="96"/>
      <c r="V331" s="96"/>
      <c r="W331" s="96"/>
      <c r="X331" s="96"/>
      <c r="Y331" s="96"/>
      <c r="Z331" s="97"/>
    </row>
    <row r="332" spans="6:26" x14ac:dyDescent="0.25">
      <c r="F332" s="103"/>
      <c r="G332" s="104"/>
      <c r="H332" s="104"/>
      <c r="I332" s="104"/>
      <c r="J332" s="104"/>
      <c r="K332" s="104"/>
      <c r="L332" s="140"/>
      <c r="M332" s="101"/>
      <c r="N332" s="127"/>
      <c r="O332" s="95"/>
      <c r="P332" s="98"/>
      <c r="Q332" s="95"/>
      <c r="R332" s="128"/>
      <c r="S332" s="95"/>
      <c r="T332" s="95"/>
      <c r="U332" s="96"/>
      <c r="V332" s="96"/>
      <c r="W332" s="96"/>
      <c r="X332" s="96"/>
      <c r="Y332" s="96"/>
      <c r="Z332" s="97"/>
    </row>
    <row r="333" spans="6:26" x14ac:dyDescent="0.25">
      <c r="F333" s="103"/>
      <c r="G333" s="104"/>
      <c r="H333" s="104"/>
      <c r="I333" s="104"/>
      <c r="J333" s="104"/>
      <c r="K333" s="104"/>
      <c r="L333" s="140"/>
      <c r="M333" s="101"/>
      <c r="N333" s="127"/>
      <c r="O333" s="95"/>
      <c r="P333" s="98"/>
      <c r="Q333" s="95"/>
      <c r="R333" s="128"/>
      <c r="S333" s="95"/>
      <c r="T333" s="95"/>
      <c r="U333" s="96"/>
      <c r="V333" s="96"/>
      <c r="W333" s="96"/>
      <c r="X333" s="96"/>
      <c r="Y333" s="96"/>
      <c r="Z333" s="97"/>
    </row>
    <row r="334" spans="6:26" x14ac:dyDescent="0.25">
      <c r="F334" s="103"/>
      <c r="G334" s="104"/>
      <c r="H334" s="104"/>
      <c r="I334" s="104"/>
      <c r="J334" s="104"/>
      <c r="K334" s="104"/>
      <c r="L334" s="140"/>
      <c r="M334" s="101"/>
      <c r="N334" s="127"/>
      <c r="O334" s="95"/>
      <c r="P334" s="98"/>
      <c r="Q334" s="95"/>
      <c r="R334" s="128"/>
      <c r="S334" s="95"/>
      <c r="T334" s="95"/>
      <c r="U334" s="96"/>
      <c r="V334" s="96"/>
      <c r="W334" s="96"/>
      <c r="X334" s="96"/>
      <c r="Y334" s="96"/>
      <c r="Z334" s="97"/>
    </row>
    <row r="335" spans="6:26" x14ac:dyDescent="0.25">
      <c r="F335" s="103"/>
      <c r="G335" s="104"/>
      <c r="H335" s="104"/>
      <c r="I335" s="104"/>
      <c r="J335" s="104"/>
      <c r="K335" s="104"/>
      <c r="L335" s="140"/>
      <c r="M335" s="101"/>
      <c r="N335" s="127"/>
      <c r="O335" s="95"/>
      <c r="P335" s="98"/>
      <c r="Q335" s="95"/>
      <c r="R335" s="128"/>
      <c r="S335" s="95"/>
      <c r="T335" s="95"/>
      <c r="U335" s="96"/>
      <c r="V335" s="96"/>
      <c r="W335" s="96"/>
      <c r="X335" s="96"/>
      <c r="Y335" s="96"/>
      <c r="Z335" s="97"/>
    </row>
    <row r="336" spans="6:26" x14ac:dyDescent="0.25">
      <c r="F336" s="103"/>
      <c r="G336" s="104"/>
      <c r="H336" s="104"/>
      <c r="I336" s="104"/>
      <c r="J336" s="104"/>
      <c r="K336" s="104"/>
      <c r="L336" s="140"/>
      <c r="M336" s="101"/>
      <c r="N336" s="127"/>
      <c r="O336" s="95"/>
      <c r="P336" s="98"/>
      <c r="Q336" s="95"/>
      <c r="R336" s="128"/>
      <c r="S336" s="95"/>
      <c r="T336" s="95"/>
      <c r="U336" s="96"/>
      <c r="V336" s="96"/>
      <c r="W336" s="96"/>
      <c r="X336" s="96"/>
      <c r="Y336" s="96"/>
      <c r="Z336" s="97"/>
    </row>
    <row r="337" spans="6:26" x14ac:dyDescent="0.25">
      <c r="F337" s="103"/>
      <c r="G337" s="104"/>
      <c r="H337" s="104"/>
      <c r="I337" s="104"/>
      <c r="J337" s="104"/>
      <c r="K337" s="104"/>
      <c r="L337" s="140"/>
      <c r="M337" s="101"/>
      <c r="N337" s="127"/>
      <c r="O337" s="95"/>
      <c r="P337" s="98"/>
      <c r="Q337" s="95"/>
      <c r="R337" s="128"/>
      <c r="S337" s="95"/>
      <c r="T337" s="95"/>
      <c r="U337" s="96"/>
      <c r="V337" s="96"/>
      <c r="W337" s="96"/>
      <c r="X337" s="96"/>
      <c r="Y337" s="96"/>
      <c r="Z337" s="97"/>
    </row>
    <row r="338" spans="6:26" x14ac:dyDescent="0.25">
      <c r="F338" s="103"/>
      <c r="G338" s="104"/>
      <c r="H338" s="104"/>
      <c r="I338" s="104"/>
      <c r="J338" s="104"/>
      <c r="K338" s="104"/>
      <c r="L338" s="140"/>
      <c r="M338" s="101"/>
      <c r="N338" s="127"/>
      <c r="O338" s="95"/>
      <c r="P338" s="98"/>
      <c r="Q338" s="95"/>
      <c r="R338" s="128"/>
      <c r="S338" s="95"/>
      <c r="T338" s="95"/>
      <c r="U338" s="96"/>
      <c r="V338" s="96"/>
      <c r="W338" s="96"/>
      <c r="X338" s="96"/>
      <c r="Y338" s="96"/>
      <c r="Z338" s="97"/>
    </row>
    <row r="339" spans="6:26" x14ac:dyDescent="0.25">
      <c r="F339" s="103"/>
      <c r="G339" s="104"/>
      <c r="H339" s="104"/>
      <c r="I339" s="104"/>
      <c r="J339" s="104"/>
      <c r="K339" s="104"/>
      <c r="L339" s="140"/>
      <c r="M339" s="101"/>
      <c r="N339" s="127"/>
      <c r="O339" s="95"/>
      <c r="P339" s="98"/>
      <c r="Q339" s="95"/>
      <c r="R339" s="128"/>
      <c r="S339" s="95"/>
      <c r="T339" s="95"/>
      <c r="U339" s="96"/>
      <c r="V339" s="96"/>
      <c r="W339" s="96"/>
      <c r="X339" s="96"/>
      <c r="Y339" s="96"/>
      <c r="Z339" s="97"/>
    </row>
    <row r="340" spans="6:26" x14ac:dyDescent="0.25">
      <c r="F340" s="103"/>
      <c r="G340" s="104"/>
      <c r="H340" s="104"/>
      <c r="I340" s="104"/>
      <c r="J340" s="104"/>
      <c r="K340" s="104"/>
      <c r="L340" s="140"/>
      <c r="M340" s="101"/>
      <c r="N340" s="127"/>
      <c r="O340" s="95"/>
      <c r="P340" s="98"/>
      <c r="Q340" s="95"/>
      <c r="R340" s="128"/>
      <c r="S340" s="95"/>
      <c r="T340" s="95"/>
      <c r="U340" s="96"/>
      <c r="V340" s="96"/>
      <c r="W340" s="96"/>
      <c r="X340" s="96"/>
      <c r="Y340" s="96"/>
      <c r="Z340" s="97"/>
    </row>
    <row r="341" spans="6:26" x14ac:dyDescent="0.25">
      <c r="F341" s="103"/>
      <c r="G341" s="104"/>
      <c r="H341" s="104"/>
      <c r="I341" s="104"/>
      <c r="J341" s="104"/>
      <c r="K341" s="104"/>
      <c r="L341" s="140"/>
      <c r="M341" s="101"/>
      <c r="N341" s="127"/>
      <c r="O341" s="95"/>
      <c r="P341" s="98"/>
      <c r="Q341" s="95"/>
      <c r="R341" s="128"/>
      <c r="S341" s="95"/>
      <c r="T341" s="95"/>
      <c r="U341" s="96"/>
      <c r="V341" s="96"/>
      <c r="W341" s="96"/>
      <c r="X341" s="96"/>
      <c r="Y341" s="96"/>
      <c r="Z341" s="97"/>
    </row>
    <row r="342" spans="6:26" x14ac:dyDescent="0.25">
      <c r="F342" s="103"/>
      <c r="G342" s="104"/>
      <c r="H342" s="104"/>
      <c r="I342" s="104"/>
      <c r="J342" s="104"/>
      <c r="K342" s="104"/>
      <c r="L342" s="140"/>
      <c r="M342" s="101"/>
      <c r="N342" s="127"/>
      <c r="O342" s="95"/>
      <c r="P342" s="98"/>
      <c r="Q342" s="95"/>
      <c r="R342" s="128"/>
      <c r="S342" s="95"/>
      <c r="T342" s="95"/>
      <c r="U342" s="96"/>
      <c r="V342" s="96"/>
      <c r="W342" s="96"/>
      <c r="X342" s="96"/>
      <c r="Y342" s="96"/>
      <c r="Z342" s="97"/>
    </row>
    <row r="343" spans="6:26" x14ac:dyDescent="0.25">
      <c r="F343" s="103"/>
      <c r="G343" s="104"/>
      <c r="H343" s="104"/>
      <c r="I343" s="104"/>
      <c r="J343" s="104"/>
      <c r="K343" s="104"/>
      <c r="L343" s="140"/>
      <c r="M343" s="101"/>
      <c r="N343" s="127"/>
      <c r="O343" s="95"/>
      <c r="P343" s="98"/>
      <c r="Q343" s="95"/>
      <c r="R343" s="128"/>
      <c r="S343" s="95"/>
      <c r="T343" s="95"/>
      <c r="U343" s="96"/>
      <c r="V343" s="96"/>
      <c r="W343" s="96"/>
      <c r="X343" s="96"/>
      <c r="Y343" s="96"/>
      <c r="Z343" s="97"/>
    </row>
    <row r="344" spans="6:26" x14ac:dyDescent="0.25">
      <c r="F344" s="103"/>
      <c r="G344" s="104"/>
      <c r="H344" s="104"/>
      <c r="I344" s="104"/>
      <c r="J344" s="104"/>
      <c r="K344" s="104"/>
      <c r="L344" s="140"/>
      <c r="M344" s="101"/>
      <c r="N344" s="127"/>
      <c r="O344" s="95"/>
      <c r="P344" s="98"/>
      <c r="Q344" s="95"/>
      <c r="R344" s="128"/>
      <c r="S344" s="95"/>
      <c r="T344" s="95"/>
      <c r="U344" s="96"/>
      <c r="V344" s="96"/>
      <c r="W344" s="96"/>
      <c r="X344" s="96"/>
      <c r="Y344" s="96"/>
      <c r="Z344" s="97"/>
    </row>
    <row r="345" spans="6:26" x14ac:dyDescent="0.25">
      <c r="F345" s="103"/>
      <c r="G345" s="104"/>
      <c r="H345" s="104"/>
      <c r="I345" s="104"/>
      <c r="J345" s="104"/>
      <c r="K345" s="104"/>
      <c r="L345" s="140"/>
      <c r="M345" s="101"/>
      <c r="N345" s="127"/>
      <c r="O345" s="95"/>
      <c r="P345" s="98"/>
      <c r="Q345" s="95"/>
      <c r="R345" s="128"/>
      <c r="S345" s="95"/>
      <c r="T345" s="95"/>
      <c r="U345" s="96"/>
      <c r="V345" s="96"/>
      <c r="W345" s="96"/>
      <c r="X345" s="96"/>
      <c r="Y345" s="96"/>
      <c r="Z345" s="97"/>
    </row>
    <row r="346" spans="6:26" x14ac:dyDescent="0.25">
      <c r="F346" s="103"/>
      <c r="G346" s="104"/>
      <c r="H346" s="104"/>
      <c r="I346" s="104"/>
      <c r="J346" s="104"/>
      <c r="K346" s="104"/>
      <c r="L346" s="140"/>
      <c r="M346" s="101"/>
      <c r="N346" s="127"/>
      <c r="O346" s="95"/>
      <c r="P346" s="98"/>
      <c r="Q346" s="95"/>
      <c r="R346" s="128"/>
      <c r="S346" s="95"/>
      <c r="T346" s="95"/>
      <c r="U346" s="96"/>
      <c r="V346" s="96"/>
      <c r="W346" s="96"/>
      <c r="X346" s="96"/>
      <c r="Y346" s="96"/>
      <c r="Z346" s="97"/>
    </row>
    <row r="347" spans="6:26" x14ac:dyDescent="0.25">
      <c r="F347" s="103"/>
      <c r="G347" s="104"/>
      <c r="H347" s="104"/>
      <c r="I347" s="104"/>
      <c r="J347" s="104"/>
      <c r="K347" s="104"/>
      <c r="L347" s="140"/>
      <c r="M347" s="101"/>
      <c r="N347" s="127"/>
      <c r="O347" s="95"/>
      <c r="P347" s="98"/>
      <c r="Q347" s="95"/>
      <c r="R347" s="128"/>
      <c r="S347" s="95"/>
      <c r="T347" s="95"/>
      <c r="U347" s="96"/>
      <c r="V347" s="96"/>
      <c r="W347" s="96"/>
      <c r="X347" s="96"/>
      <c r="Y347" s="96"/>
      <c r="Z347" s="97"/>
    </row>
    <row r="348" spans="6:26" x14ac:dyDescent="0.25">
      <c r="F348" s="103"/>
      <c r="G348" s="104"/>
      <c r="H348" s="104"/>
      <c r="I348" s="104"/>
      <c r="J348" s="104"/>
      <c r="K348" s="104"/>
      <c r="L348" s="140"/>
      <c r="M348" s="101"/>
      <c r="N348" s="127"/>
      <c r="O348" s="95"/>
      <c r="P348" s="98"/>
      <c r="Q348" s="95"/>
      <c r="R348" s="128"/>
      <c r="S348" s="95"/>
      <c r="T348" s="95"/>
      <c r="U348" s="96"/>
      <c r="V348" s="96"/>
      <c r="W348" s="96"/>
      <c r="X348" s="96"/>
      <c r="Y348" s="96"/>
      <c r="Z348" s="97"/>
    </row>
    <row r="349" spans="6:26" x14ac:dyDescent="0.25">
      <c r="F349" s="103"/>
      <c r="G349" s="104"/>
      <c r="H349" s="104"/>
      <c r="I349" s="104"/>
      <c r="J349" s="104"/>
      <c r="K349" s="104"/>
      <c r="L349" s="140"/>
      <c r="M349" s="101"/>
      <c r="N349" s="127"/>
      <c r="O349" s="95"/>
      <c r="P349" s="98"/>
      <c r="Q349" s="95"/>
      <c r="R349" s="128"/>
      <c r="S349" s="95"/>
      <c r="T349" s="95"/>
      <c r="U349" s="96"/>
      <c r="V349" s="96"/>
      <c r="W349" s="96"/>
      <c r="X349" s="96"/>
      <c r="Y349" s="96"/>
      <c r="Z349" s="97"/>
    </row>
    <row r="350" spans="6:26" x14ac:dyDescent="0.25">
      <c r="F350" s="103"/>
      <c r="G350" s="104"/>
      <c r="H350" s="104"/>
      <c r="I350" s="104"/>
      <c r="J350" s="104"/>
      <c r="K350" s="104"/>
      <c r="L350" s="140"/>
      <c r="M350" s="101"/>
      <c r="N350" s="127"/>
      <c r="O350" s="95"/>
      <c r="P350" s="98"/>
      <c r="Q350" s="95"/>
      <c r="R350" s="128"/>
      <c r="S350" s="95"/>
      <c r="T350" s="95"/>
      <c r="U350" s="96"/>
      <c r="V350" s="96"/>
      <c r="W350" s="96"/>
      <c r="X350" s="96"/>
      <c r="Y350" s="96"/>
      <c r="Z350" s="97"/>
    </row>
    <row r="351" spans="6:26" x14ac:dyDescent="0.25">
      <c r="F351" s="103"/>
      <c r="G351" s="104"/>
      <c r="H351" s="104"/>
      <c r="I351" s="104"/>
      <c r="J351" s="104"/>
      <c r="K351" s="104"/>
      <c r="L351" s="140"/>
      <c r="M351" s="101"/>
      <c r="N351" s="127"/>
      <c r="O351" s="95"/>
      <c r="P351" s="98"/>
      <c r="Q351" s="95"/>
      <c r="R351" s="128"/>
      <c r="S351" s="95"/>
      <c r="T351" s="95"/>
      <c r="U351" s="96"/>
      <c r="V351" s="96"/>
      <c r="W351" s="96"/>
      <c r="X351" s="96"/>
      <c r="Y351" s="96"/>
      <c r="Z351" s="97"/>
    </row>
    <row r="352" spans="6:26" x14ac:dyDescent="0.25">
      <c r="F352" s="103"/>
      <c r="G352" s="104"/>
      <c r="H352" s="104"/>
      <c r="I352" s="104"/>
      <c r="J352" s="104"/>
      <c r="K352" s="104"/>
      <c r="L352" s="140"/>
      <c r="M352" s="101"/>
      <c r="N352" s="127"/>
      <c r="O352" s="95"/>
      <c r="P352" s="98"/>
      <c r="Q352" s="95"/>
      <c r="R352" s="128"/>
      <c r="S352" s="95"/>
      <c r="T352" s="95"/>
      <c r="U352" s="96"/>
      <c r="V352" s="96"/>
      <c r="W352" s="96"/>
      <c r="X352" s="96"/>
      <c r="Y352" s="96"/>
      <c r="Z352" s="97"/>
    </row>
    <row r="353" spans="6:26" x14ac:dyDescent="0.25">
      <c r="F353" s="103"/>
      <c r="G353" s="104"/>
      <c r="H353" s="104"/>
      <c r="I353" s="104"/>
      <c r="J353" s="104"/>
      <c r="K353" s="104"/>
      <c r="L353" s="140"/>
      <c r="M353" s="101"/>
      <c r="N353" s="127"/>
      <c r="O353" s="95"/>
      <c r="P353" s="98"/>
      <c r="Q353" s="95"/>
      <c r="R353" s="128"/>
      <c r="S353" s="95"/>
      <c r="T353" s="95"/>
      <c r="U353" s="96"/>
      <c r="V353" s="96"/>
      <c r="W353" s="96"/>
      <c r="X353" s="96"/>
      <c r="Y353" s="96"/>
      <c r="Z353" s="97"/>
    </row>
    <row r="354" spans="6:26" x14ac:dyDescent="0.25">
      <c r="F354" s="103"/>
      <c r="G354" s="104"/>
      <c r="H354" s="104"/>
      <c r="I354" s="104"/>
      <c r="J354" s="104"/>
      <c r="K354" s="104"/>
      <c r="L354" s="140"/>
      <c r="M354" s="101"/>
      <c r="N354" s="127"/>
      <c r="O354" s="95"/>
      <c r="P354" s="98"/>
      <c r="Q354" s="95"/>
      <c r="R354" s="128"/>
      <c r="S354" s="95"/>
      <c r="T354" s="95"/>
      <c r="U354" s="96"/>
      <c r="V354" s="96"/>
      <c r="W354" s="96"/>
      <c r="X354" s="96"/>
      <c r="Y354" s="96"/>
      <c r="Z354" s="97"/>
    </row>
    <row r="355" spans="6:26" x14ac:dyDescent="0.25">
      <c r="F355" s="103"/>
      <c r="G355" s="104"/>
      <c r="H355" s="104"/>
      <c r="I355" s="104"/>
      <c r="J355" s="104"/>
      <c r="K355" s="104"/>
      <c r="L355" s="140"/>
      <c r="M355" s="101"/>
      <c r="N355" s="127"/>
      <c r="O355" s="95"/>
      <c r="P355" s="98"/>
      <c r="Q355" s="95"/>
      <c r="R355" s="128"/>
      <c r="S355" s="95"/>
      <c r="T355" s="95"/>
      <c r="U355" s="96"/>
      <c r="V355" s="96"/>
      <c r="W355" s="96"/>
      <c r="X355" s="96"/>
      <c r="Y355" s="96"/>
      <c r="Z355" s="97"/>
    </row>
    <row r="356" spans="6:26" x14ac:dyDescent="0.25">
      <c r="F356" s="103"/>
      <c r="G356" s="104"/>
      <c r="H356" s="104"/>
      <c r="I356" s="104"/>
      <c r="J356" s="104"/>
      <c r="K356" s="104"/>
      <c r="L356" s="140"/>
      <c r="M356" s="101"/>
      <c r="N356" s="127"/>
      <c r="O356" s="95"/>
      <c r="P356" s="98"/>
      <c r="Q356" s="95"/>
      <c r="R356" s="128"/>
      <c r="S356" s="95"/>
      <c r="T356" s="95"/>
      <c r="U356" s="96"/>
      <c r="V356" s="96"/>
      <c r="W356" s="96"/>
      <c r="X356" s="96"/>
      <c r="Y356" s="96"/>
      <c r="Z356" s="97"/>
    </row>
    <row r="357" spans="6:26" x14ac:dyDescent="0.25">
      <c r="F357" s="103"/>
      <c r="G357" s="104"/>
      <c r="H357" s="104"/>
      <c r="I357" s="104"/>
      <c r="J357" s="104"/>
      <c r="K357" s="104"/>
      <c r="L357" s="140"/>
      <c r="M357" s="101"/>
      <c r="N357" s="127"/>
      <c r="O357" s="95"/>
      <c r="P357" s="98"/>
      <c r="Q357" s="95"/>
      <c r="R357" s="128"/>
      <c r="S357" s="95"/>
      <c r="T357" s="95"/>
      <c r="U357" s="96"/>
      <c r="V357" s="96"/>
      <c r="W357" s="96"/>
      <c r="X357" s="96"/>
      <c r="Y357" s="96"/>
      <c r="Z357" s="97"/>
    </row>
    <row r="358" spans="6:26" x14ac:dyDescent="0.25">
      <c r="F358" s="103"/>
      <c r="G358" s="104"/>
      <c r="H358" s="104"/>
      <c r="I358" s="104"/>
      <c r="J358" s="104"/>
      <c r="K358" s="104"/>
      <c r="L358" s="140"/>
      <c r="M358" s="101"/>
      <c r="N358" s="127"/>
      <c r="O358" s="95"/>
      <c r="P358" s="98"/>
      <c r="Q358" s="95"/>
      <c r="R358" s="128"/>
      <c r="S358" s="95"/>
      <c r="T358" s="95"/>
      <c r="U358" s="96"/>
      <c r="V358" s="96"/>
      <c r="W358" s="96"/>
      <c r="X358" s="96"/>
      <c r="Y358" s="96"/>
      <c r="Z358" s="97"/>
    </row>
    <row r="359" spans="6:26" x14ac:dyDescent="0.25">
      <c r="F359" s="103"/>
      <c r="G359" s="104"/>
      <c r="H359" s="104"/>
      <c r="I359" s="104"/>
      <c r="J359" s="104"/>
      <c r="K359" s="104"/>
      <c r="L359" s="140"/>
      <c r="M359" s="101"/>
      <c r="N359" s="127"/>
      <c r="O359" s="95"/>
      <c r="P359" s="98"/>
      <c r="Q359" s="95"/>
      <c r="R359" s="128"/>
      <c r="S359" s="95"/>
      <c r="T359" s="95"/>
      <c r="U359" s="96"/>
      <c r="V359" s="96"/>
      <c r="W359" s="96"/>
      <c r="X359" s="96"/>
      <c r="Y359" s="96"/>
      <c r="Z359" s="97"/>
    </row>
    <row r="360" spans="6:26" x14ac:dyDescent="0.25">
      <c r="F360" s="103"/>
      <c r="G360" s="104"/>
      <c r="H360" s="104"/>
      <c r="I360" s="104"/>
      <c r="J360" s="104"/>
      <c r="K360" s="104"/>
      <c r="L360" s="140"/>
      <c r="M360" s="101"/>
      <c r="N360" s="127"/>
      <c r="O360" s="95"/>
      <c r="P360" s="98"/>
      <c r="Q360" s="95"/>
      <c r="R360" s="128"/>
      <c r="S360" s="95"/>
      <c r="T360" s="95"/>
      <c r="U360" s="96"/>
      <c r="V360" s="96"/>
      <c r="W360" s="96"/>
      <c r="X360" s="96"/>
      <c r="Y360" s="96"/>
      <c r="Z360" s="97"/>
    </row>
    <row r="361" spans="6:26" x14ac:dyDescent="0.25">
      <c r="F361" s="103"/>
      <c r="G361" s="104"/>
      <c r="H361" s="104"/>
      <c r="I361" s="104"/>
      <c r="J361" s="104"/>
      <c r="K361" s="104"/>
      <c r="L361" s="140"/>
      <c r="M361" s="101"/>
      <c r="N361" s="127"/>
      <c r="O361" s="95"/>
      <c r="P361" s="98"/>
      <c r="Q361" s="95"/>
      <c r="R361" s="128"/>
      <c r="S361" s="95"/>
      <c r="T361" s="95"/>
      <c r="U361" s="96"/>
      <c r="V361" s="96"/>
      <c r="W361" s="96"/>
      <c r="X361" s="96"/>
      <c r="Y361" s="96"/>
      <c r="Z361" s="97"/>
    </row>
    <row r="362" spans="6:26" x14ac:dyDescent="0.25">
      <c r="F362" s="103"/>
      <c r="G362" s="104"/>
      <c r="H362" s="104"/>
      <c r="I362" s="104"/>
      <c r="J362" s="104"/>
      <c r="K362" s="104"/>
      <c r="L362" s="140"/>
      <c r="M362" s="101"/>
      <c r="N362" s="127"/>
      <c r="O362" s="95"/>
      <c r="P362" s="98"/>
      <c r="Q362" s="95"/>
      <c r="R362" s="128"/>
      <c r="S362" s="95"/>
      <c r="T362" s="95"/>
      <c r="U362" s="96"/>
      <c r="V362" s="96"/>
      <c r="W362" s="96"/>
      <c r="X362" s="96"/>
      <c r="Y362" s="96"/>
      <c r="Z362" s="97"/>
    </row>
    <row r="363" spans="6:26" x14ac:dyDescent="0.25">
      <c r="F363" s="103"/>
      <c r="G363" s="104"/>
      <c r="H363" s="104"/>
      <c r="I363" s="104"/>
      <c r="J363" s="104"/>
      <c r="K363" s="104"/>
      <c r="L363" s="140"/>
      <c r="M363" s="101"/>
      <c r="N363" s="127"/>
      <c r="O363" s="95"/>
      <c r="P363" s="98"/>
      <c r="Q363" s="95"/>
      <c r="R363" s="128"/>
      <c r="S363" s="95"/>
      <c r="T363" s="95"/>
      <c r="U363" s="96"/>
      <c r="V363" s="96"/>
      <c r="W363" s="96"/>
      <c r="X363" s="96"/>
      <c r="Y363" s="96"/>
      <c r="Z363" s="97"/>
    </row>
    <row r="364" spans="6:26" x14ac:dyDescent="0.25">
      <c r="F364" s="103"/>
      <c r="G364" s="104"/>
      <c r="H364" s="104"/>
      <c r="I364" s="104"/>
      <c r="J364" s="104"/>
      <c r="K364" s="104"/>
      <c r="L364" s="140"/>
      <c r="M364" s="101"/>
      <c r="N364" s="127"/>
      <c r="O364" s="95"/>
      <c r="P364" s="98"/>
      <c r="Q364" s="95"/>
      <c r="R364" s="128"/>
      <c r="S364" s="95"/>
      <c r="T364" s="95"/>
      <c r="U364" s="96"/>
      <c r="V364" s="96"/>
      <c r="W364" s="96"/>
      <c r="X364" s="96"/>
      <c r="Y364" s="96"/>
      <c r="Z364" s="97"/>
    </row>
    <row r="365" spans="6:26" x14ac:dyDescent="0.25">
      <c r="F365" s="103"/>
      <c r="G365" s="104"/>
      <c r="H365" s="104"/>
      <c r="I365" s="104"/>
      <c r="J365" s="104"/>
      <c r="K365" s="104"/>
      <c r="L365" s="140"/>
      <c r="M365" s="101"/>
      <c r="N365" s="127"/>
      <c r="O365" s="95"/>
      <c r="P365" s="98"/>
      <c r="Q365" s="95"/>
      <c r="R365" s="128"/>
      <c r="S365" s="95"/>
      <c r="T365" s="95"/>
      <c r="U365" s="96"/>
      <c r="V365" s="96"/>
      <c r="W365" s="96"/>
      <c r="X365" s="96"/>
      <c r="Y365" s="96"/>
      <c r="Z365" s="97"/>
    </row>
    <row r="366" spans="6:26" x14ac:dyDescent="0.25">
      <c r="F366" s="103"/>
      <c r="G366" s="104"/>
      <c r="H366" s="104"/>
      <c r="I366" s="104"/>
      <c r="J366" s="104"/>
      <c r="K366" s="104"/>
      <c r="L366" s="140"/>
      <c r="M366" s="101"/>
      <c r="N366" s="127"/>
      <c r="O366" s="95"/>
      <c r="P366" s="98"/>
      <c r="Q366" s="95"/>
      <c r="R366" s="128"/>
      <c r="S366" s="95"/>
      <c r="T366" s="95"/>
      <c r="U366" s="96"/>
      <c r="V366" s="96"/>
      <c r="W366" s="96"/>
      <c r="X366" s="96"/>
      <c r="Y366" s="96"/>
      <c r="Z366" s="97"/>
    </row>
    <row r="367" spans="6:26" x14ac:dyDescent="0.25">
      <c r="F367" s="103"/>
      <c r="G367" s="104"/>
      <c r="H367" s="104"/>
      <c r="I367" s="104"/>
      <c r="J367" s="104"/>
      <c r="K367" s="104"/>
      <c r="L367" s="140"/>
      <c r="M367" s="101"/>
      <c r="N367" s="127"/>
      <c r="O367" s="95"/>
      <c r="P367" s="98"/>
      <c r="Q367" s="95"/>
      <c r="R367" s="128"/>
      <c r="S367" s="95"/>
      <c r="T367" s="95"/>
      <c r="U367" s="96"/>
      <c r="V367" s="96"/>
      <c r="W367" s="96"/>
      <c r="X367" s="96"/>
      <c r="Y367" s="96"/>
      <c r="Z367" s="97"/>
    </row>
    <row r="368" spans="6:26" x14ac:dyDescent="0.25">
      <c r="F368" s="103"/>
      <c r="G368" s="104"/>
      <c r="H368" s="104"/>
      <c r="I368" s="104"/>
      <c r="J368" s="104"/>
      <c r="K368" s="104"/>
      <c r="L368" s="140"/>
      <c r="M368" s="101"/>
      <c r="N368" s="127"/>
      <c r="O368" s="95"/>
      <c r="P368" s="98"/>
      <c r="Q368" s="95"/>
      <c r="R368" s="128"/>
      <c r="S368" s="95"/>
      <c r="T368" s="95"/>
      <c r="U368" s="96"/>
      <c r="V368" s="96"/>
      <c r="W368" s="96"/>
      <c r="X368" s="96"/>
      <c r="Y368" s="96"/>
      <c r="Z368" s="97"/>
    </row>
    <row r="369" spans="6:26" x14ac:dyDescent="0.25">
      <c r="F369" s="103"/>
      <c r="G369" s="104"/>
      <c r="H369" s="104"/>
      <c r="I369" s="104"/>
      <c r="J369" s="104"/>
      <c r="K369" s="104"/>
      <c r="L369" s="140"/>
      <c r="M369" s="101"/>
      <c r="N369" s="127"/>
      <c r="O369" s="95"/>
      <c r="P369" s="98"/>
      <c r="Q369" s="95"/>
      <c r="R369" s="128"/>
      <c r="S369" s="95"/>
      <c r="T369" s="95"/>
      <c r="U369" s="96"/>
      <c r="V369" s="96"/>
      <c r="W369" s="96"/>
      <c r="X369" s="96"/>
      <c r="Y369" s="96"/>
      <c r="Z369" s="97"/>
    </row>
    <row r="370" spans="6:26" x14ac:dyDescent="0.25">
      <c r="F370" s="103"/>
      <c r="G370" s="104"/>
      <c r="H370" s="104"/>
      <c r="I370" s="104"/>
      <c r="J370" s="104"/>
      <c r="K370" s="104"/>
      <c r="L370" s="140"/>
      <c r="M370" s="101"/>
      <c r="N370" s="127"/>
      <c r="O370" s="95"/>
      <c r="P370" s="98"/>
      <c r="Q370" s="95"/>
      <c r="R370" s="128"/>
      <c r="S370" s="95"/>
      <c r="T370" s="95"/>
      <c r="U370" s="96"/>
      <c r="V370" s="96"/>
      <c r="W370" s="96"/>
      <c r="X370" s="96"/>
      <c r="Y370" s="96"/>
      <c r="Z370" s="97"/>
    </row>
    <row r="371" spans="6:26" x14ac:dyDescent="0.25">
      <c r="F371" s="103"/>
      <c r="G371" s="104"/>
      <c r="H371" s="104"/>
      <c r="I371" s="104"/>
      <c r="J371" s="104"/>
      <c r="K371" s="104"/>
      <c r="L371" s="140"/>
      <c r="M371" s="101"/>
      <c r="N371" s="127"/>
      <c r="O371" s="95"/>
      <c r="P371" s="98"/>
      <c r="Q371" s="95"/>
      <c r="R371" s="128"/>
      <c r="S371" s="95"/>
      <c r="T371" s="95"/>
      <c r="U371" s="96"/>
      <c r="V371" s="96"/>
      <c r="W371" s="96"/>
      <c r="X371" s="96"/>
      <c r="Y371" s="96"/>
      <c r="Z371" s="97"/>
    </row>
    <row r="372" spans="6:26" x14ac:dyDescent="0.25">
      <c r="F372" s="103"/>
      <c r="G372" s="104"/>
      <c r="H372" s="104"/>
      <c r="I372" s="104"/>
      <c r="J372" s="104"/>
      <c r="K372" s="104"/>
      <c r="L372" s="140"/>
      <c r="M372" s="101"/>
      <c r="N372" s="127"/>
      <c r="O372" s="95"/>
      <c r="P372" s="98"/>
      <c r="Q372" s="95"/>
      <c r="R372" s="128"/>
      <c r="S372" s="95"/>
      <c r="T372" s="95"/>
      <c r="U372" s="96"/>
      <c r="V372" s="96"/>
      <c r="W372" s="96"/>
      <c r="X372" s="96"/>
      <c r="Y372" s="96"/>
      <c r="Z372" s="97"/>
    </row>
    <row r="373" spans="6:26" x14ac:dyDescent="0.25">
      <c r="F373" s="103"/>
      <c r="G373" s="104"/>
      <c r="H373" s="104"/>
      <c r="I373" s="104"/>
      <c r="J373" s="104"/>
      <c r="K373" s="104"/>
      <c r="L373" s="140"/>
      <c r="M373" s="101"/>
      <c r="N373" s="127"/>
      <c r="O373" s="95"/>
      <c r="P373" s="98"/>
      <c r="Q373" s="95"/>
      <c r="R373" s="128"/>
      <c r="S373" s="95"/>
      <c r="T373" s="95"/>
      <c r="U373" s="96"/>
      <c r="V373" s="96"/>
      <c r="W373" s="96"/>
      <c r="X373" s="96"/>
      <c r="Y373" s="96"/>
      <c r="Z373" s="97"/>
    </row>
    <row r="374" spans="6:26" x14ac:dyDescent="0.25">
      <c r="F374" s="103"/>
      <c r="G374" s="104"/>
      <c r="H374" s="104"/>
      <c r="I374" s="104"/>
      <c r="J374" s="104"/>
      <c r="K374" s="104"/>
      <c r="L374" s="140"/>
      <c r="M374" s="101"/>
      <c r="N374" s="127"/>
      <c r="O374" s="95"/>
      <c r="P374" s="98"/>
      <c r="Q374" s="95"/>
      <c r="R374" s="128"/>
      <c r="S374" s="95"/>
      <c r="T374" s="95"/>
      <c r="U374" s="96"/>
      <c r="V374" s="96"/>
      <c r="W374" s="96"/>
      <c r="X374" s="96"/>
      <c r="Y374" s="96"/>
      <c r="Z374" s="97"/>
    </row>
    <row r="375" spans="6:26" x14ac:dyDescent="0.25">
      <c r="F375" s="103"/>
      <c r="G375" s="104"/>
      <c r="H375" s="104"/>
      <c r="I375" s="104"/>
      <c r="J375" s="104"/>
      <c r="K375" s="104"/>
      <c r="L375" s="140"/>
      <c r="M375" s="101"/>
      <c r="N375" s="127"/>
      <c r="O375" s="95"/>
      <c r="P375" s="98"/>
      <c r="Q375" s="95"/>
      <c r="R375" s="128"/>
      <c r="S375" s="95"/>
      <c r="T375" s="95"/>
      <c r="U375" s="96"/>
      <c r="V375" s="96"/>
      <c r="W375" s="96"/>
      <c r="X375" s="96"/>
      <c r="Y375" s="96"/>
      <c r="Z375" s="97"/>
    </row>
    <row r="376" spans="6:26" x14ac:dyDescent="0.25">
      <c r="F376" s="103"/>
      <c r="G376" s="104"/>
      <c r="H376" s="104"/>
      <c r="I376" s="104"/>
      <c r="J376" s="104"/>
      <c r="K376" s="104"/>
      <c r="L376" s="140"/>
      <c r="M376" s="101"/>
      <c r="N376" s="127"/>
      <c r="O376" s="95"/>
      <c r="P376" s="98"/>
      <c r="Q376" s="95"/>
      <c r="R376" s="128"/>
      <c r="S376" s="95"/>
      <c r="T376" s="95"/>
      <c r="U376" s="96"/>
      <c r="V376" s="96"/>
      <c r="W376" s="96"/>
      <c r="X376" s="96"/>
      <c r="Y376" s="96"/>
      <c r="Z376" s="97"/>
    </row>
    <row r="377" spans="6:26" x14ac:dyDescent="0.25">
      <c r="F377" s="103"/>
      <c r="G377" s="104"/>
      <c r="H377" s="104"/>
      <c r="I377" s="104"/>
      <c r="J377" s="104"/>
      <c r="K377" s="104"/>
      <c r="L377" s="140"/>
      <c r="M377" s="101"/>
      <c r="N377" s="127"/>
      <c r="O377" s="95"/>
      <c r="P377" s="98"/>
      <c r="Q377" s="95"/>
      <c r="R377" s="128"/>
      <c r="S377" s="95"/>
      <c r="T377" s="95"/>
      <c r="U377" s="96"/>
      <c r="V377" s="96"/>
      <c r="W377" s="96"/>
      <c r="X377" s="96"/>
      <c r="Y377" s="96"/>
      <c r="Z377" s="97"/>
    </row>
    <row r="378" spans="6:26" x14ac:dyDescent="0.25">
      <c r="F378" s="103"/>
      <c r="G378" s="104"/>
      <c r="H378" s="104"/>
      <c r="I378" s="104"/>
      <c r="J378" s="104"/>
      <c r="K378" s="104"/>
      <c r="L378" s="140"/>
      <c r="M378" s="101"/>
      <c r="N378" s="127"/>
      <c r="O378" s="95"/>
      <c r="P378" s="98"/>
      <c r="Q378" s="95"/>
      <c r="R378" s="128"/>
      <c r="S378" s="95"/>
      <c r="T378" s="95"/>
      <c r="U378" s="96"/>
      <c r="V378" s="96"/>
      <c r="W378" s="96"/>
      <c r="X378" s="96"/>
      <c r="Y378" s="96"/>
      <c r="Z378" s="97"/>
    </row>
    <row r="379" spans="6:26" x14ac:dyDescent="0.25">
      <c r="F379" s="103"/>
      <c r="G379" s="104"/>
      <c r="H379" s="104"/>
      <c r="I379" s="104"/>
      <c r="J379" s="104"/>
      <c r="K379" s="104"/>
      <c r="L379" s="140"/>
      <c r="M379" s="101"/>
      <c r="N379" s="127"/>
      <c r="O379" s="95"/>
      <c r="P379" s="98"/>
      <c r="Q379" s="95"/>
      <c r="R379" s="128"/>
      <c r="S379" s="95"/>
      <c r="T379" s="95"/>
      <c r="U379" s="96"/>
      <c r="V379" s="96"/>
      <c r="W379" s="96"/>
      <c r="X379" s="96"/>
      <c r="Y379" s="96"/>
      <c r="Z379" s="97"/>
    </row>
    <row r="380" spans="6:26" x14ac:dyDescent="0.25">
      <c r="F380" s="103"/>
      <c r="G380" s="104"/>
      <c r="H380" s="104"/>
      <c r="I380" s="104"/>
      <c r="J380" s="104"/>
      <c r="K380" s="104"/>
      <c r="L380" s="140"/>
      <c r="M380" s="101"/>
      <c r="N380" s="127"/>
      <c r="O380" s="95"/>
      <c r="P380" s="98"/>
      <c r="Q380" s="95"/>
      <c r="R380" s="128"/>
      <c r="S380" s="95"/>
      <c r="T380" s="95"/>
      <c r="U380" s="96"/>
      <c r="V380" s="96"/>
      <c r="W380" s="96"/>
      <c r="X380" s="96"/>
      <c r="Y380" s="96"/>
      <c r="Z380" s="97"/>
    </row>
    <row r="381" spans="6:26" x14ac:dyDescent="0.25">
      <c r="F381" s="103"/>
      <c r="G381" s="104"/>
      <c r="H381" s="104"/>
      <c r="I381" s="104"/>
      <c r="J381" s="104"/>
      <c r="K381" s="104"/>
      <c r="L381" s="140"/>
      <c r="M381" s="101"/>
      <c r="N381" s="127"/>
      <c r="O381" s="95"/>
      <c r="P381" s="98"/>
      <c r="Q381" s="95"/>
      <c r="R381" s="128"/>
      <c r="S381" s="95"/>
      <c r="T381" s="95"/>
      <c r="U381" s="96"/>
      <c r="V381" s="96"/>
      <c r="W381" s="96"/>
      <c r="X381" s="96"/>
      <c r="Y381" s="96"/>
      <c r="Z381" s="97"/>
    </row>
    <row r="382" spans="6:26" x14ac:dyDescent="0.25">
      <c r="F382" s="103"/>
      <c r="G382" s="104"/>
      <c r="H382" s="104"/>
      <c r="I382" s="104"/>
      <c r="J382" s="104"/>
      <c r="K382" s="104"/>
      <c r="L382" s="140"/>
      <c r="M382" s="101"/>
      <c r="N382" s="127"/>
      <c r="O382" s="95"/>
      <c r="P382" s="98"/>
      <c r="Q382" s="95"/>
      <c r="R382" s="128"/>
      <c r="S382" s="95"/>
      <c r="T382" s="95"/>
      <c r="U382" s="96"/>
      <c r="V382" s="96"/>
      <c r="W382" s="96"/>
      <c r="X382" s="96"/>
      <c r="Y382" s="96"/>
      <c r="Z382" s="97"/>
    </row>
    <row r="383" spans="6:26" x14ac:dyDescent="0.25">
      <c r="F383" s="103"/>
      <c r="G383" s="104"/>
      <c r="H383" s="104"/>
      <c r="I383" s="104"/>
      <c r="J383" s="104"/>
      <c r="K383" s="104"/>
      <c r="L383" s="140"/>
      <c r="M383" s="101"/>
      <c r="N383" s="127"/>
      <c r="O383" s="95"/>
      <c r="P383" s="98"/>
      <c r="Q383" s="95"/>
      <c r="R383" s="128"/>
      <c r="S383" s="95"/>
      <c r="T383" s="95"/>
      <c r="U383" s="96"/>
      <c r="V383" s="96"/>
      <c r="W383" s="96"/>
      <c r="X383" s="96"/>
      <c r="Y383" s="96"/>
      <c r="Z383" s="97"/>
    </row>
    <row r="384" spans="6:26" x14ac:dyDescent="0.25">
      <c r="F384" s="103"/>
      <c r="G384" s="104"/>
      <c r="H384" s="104"/>
      <c r="I384" s="104"/>
      <c r="J384" s="104"/>
      <c r="K384" s="104"/>
      <c r="L384" s="140"/>
      <c r="M384" s="101"/>
      <c r="N384" s="127"/>
      <c r="O384" s="95"/>
      <c r="P384" s="98"/>
      <c r="Q384" s="95"/>
      <c r="R384" s="128"/>
      <c r="S384" s="95"/>
      <c r="T384" s="95"/>
      <c r="U384" s="96"/>
      <c r="V384" s="96"/>
      <c r="W384" s="96"/>
      <c r="X384" s="96"/>
      <c r="Y384" s="96"/>
      <c r="Z384" s="97"/>
    </row>
    <row r="385" spans="6:26" x14ac:dyDescent="0.25">
      <c r="F385" s="103"/>
      <c r="G385" s="104"/>
      <c r="H385" s="104"/>
      <c r="I385" s="104"/>
      <c r="J385" s="104"/>
      <c r="K385" s="104"/>
      <c r="L385" s="140"/>
      <c r="M385" s="101"/>
      <c r="N385" s="127"/>
      <c r="O385" s="95"/>
      <c r="P385" s="98"/>
      <c r="Q385" s="95"/>
      <c r="R385" s="128"/>
      <c r="S385" s="95"/>
      <c r="T385" s="95"/>
      <c r="U385" s="96"/>
      <c r="V385" s="96"/>
      <c r="W385" s="96"/>
      <c r="X385" s="96"/>
      <c r="Y385" s="96"/>
      <c r="Z385" s="97"/>
    </row>
    <row r="386" spans="6:26" x14ac:dyDescent="0.25">
      <c r="F386" s="103"/>
      <c r="G386" s="104"/>
      <c r="H386" s="104"/>
      <c r="I386" s="104"/>
      <c r="J386" s="104"/>
      <c r="K386" s="104"/>
      <c r="L386" s="140"/>
      <c r="M386" s="101"/>
      <c r="N386" s="127"/>
      <c r="O386" s="95"/>
      <c r="P386" s="98"/>
      <c r="Q386" s="95"/>
      <c r="R386" s="128"/>
      <c r="S386" s="95"/>
      <c r="T386" s="95"/>
      <c r="U386" s="96"/>
      <c r="V386" s="96"/>
      <c r="W386" s="96"/>
      <c r="X386" s="96"/>
      <c r="Y386" s="96"/>
      <c r="Z386" s="97"/>
    </row>
    <row r="387" spans="6:26" x14ac:dyDescent="0.25">
      <c r="F387" s="103"/>
      <c r="G387" s="104"/>
      <c r="H387" s="104"/>
      <c r="I387" s="104"/>
      <c r="J387" s="104"/>
      <c r="K387" s="104"/>
      <c r="L387" s="140"/>
      <c r="M387" s="101"/>
      <c r="N387" s="127"/>
      <c r="O387" s="95"/>
      <c r="P387" s="98"/>
      <c r="Q387" s="95"/>
      <c r="R387" s="128"/>
      <c r="S387" s="95"/>
      <c r="T387" s="95"/>
      <c r="U387" s="96"/>
      <c r="V387" s="96"/>
      <c r="W387" s="96"/>
      <c r="X387" s="96"/>
      <c r="Y387" s="96"/>
      <c r="Z387" s="97"/>
    </row>
    <row r="388" spans="6:26" x14ac:dyDescent="0.25">
      <c r="F388" s="103"/>
      <c r="G388" s="104"/>
      <c r="H388" s="104"/>
      <c r="I388" s="104"/>
      <c r="J388" s="104"/>
      <c r="K388" s="104"/>
      <c r="L388" s="140"/>
      <c r="M388" s="101"/>
      <c r="N388" s="127"/>
      <c r="O388" s="95"/>
      <c r="P388" s="98"/>
      <c r="Q388" s="95"/>
      <c r="R388" s="128"/>
      <c r="S388" s="95"/>
      <c r="T388" s="95"/>
      <c r="U388" s="96"/>
      <c r="V388" s="96"/>
      <c r="W388" s="96"/>
      <c r="X388" s="96"/>
      <c r="Y388" s="96"/>
      <c r="Z388" s="97"/>
    </row>
    <row r="389" spans="6:26" x14ac:dyDescent="0.25">
      <c r="F389" s="103"/>
      <c r="G389" s="104"/>
      <c r="H389" s="104"/>
      <c r="I389" s="104"/>
      <c r="J389" s="104"/>
      <c r="K389" s="104"/>
      <c r="L389" s="140"/>
      <c r="M389" s="101"/>
      <c r="N389" s="127"/>
      <c r="O389" s="95"/>
      <c r="P389" s="98"/>
      <c r="Q389" s="95"/>
      <c r="R389" s="128"/>
      <c r="S389" s="95"/>
      <c r="T389" s="95"/>
      <c r="U389" s="96"/>
      <c r="V389" s="96"/>
      <c r="W389" s="96"/>
      <c r="X389" s="96"/>
      <c r="Y389" s="96"/>
      <c r="Z389" s="97"/>
    </row>
    <row r="390" spans="6:26" x14ac:dyDescent="0.25">
      <c r="F390" s="103"/>
      <c r="G390" s="104"/>
      <c r="H390" s="104"/>
      <c r="I390" s="104"/>
      <c r="J390" s="104"/>
      <c r="K390" s="104"/>
      <c r="L390" s="140"/>
      <c r="M390" s="101"/>
      <c r="N390" s="127"/>
      <c r="O390" s="95"/>
      <c r="P390" s="98"/>
      <c r="Q390" s="95"/>
      <c r="R390" s="128"/>
      <c r="S390" s="95"/>
      <c r="T390" s="95"/>
      <c r="U390" s="96"/>
      <c r="V390" s="96"/>
      <c r="W390" s="96"/>
      <c r="X390" s="96"/>
      <c r="Y390" s="96"/>
      <c r="Z390" s="97"/>
    </row>
    <row r="391" spans="6:26" x14ac:dyDescent="0.25">
      <c r="F391" s="103"/>
      <c r="G391" s="104"/>
      <c r="H391" s="104"/>
      <c r="I391" s="104"/>
      <c r="J391" s="104"/>
      <c r="K391" s="104"/>
      <c r="L391" s="140"/>
      <c r="M391" s="101"/>
      <c r="N391" s="127"/>
      <c r="O391" s="95"/>
      <c r="P391" s="98"/>
      <c r="Q391" s="95"/>
      <c r="R391" s="128"/>
      <c r="S391" s="95"/>
      <c r="T391" s="95"/>
      <c r="U391" s="96"/>
      <c r="V391" s="96"/>
      <c r="W391" s="96"/>
      <c r="X391" s="96"/>
      <c r="Y391" s="96"/>
      <c r="Z391" s="97"/>
    </row>
    <row r="392" spans="6:26" x14ac:dyDescent="0.25">
      <c r="F392" s="103"/>
      <c r="G392" s="104"/>
      <c r="H392" s="104"/>
      <c r="I392" s="104"/>
      <c r="J392" s="104"/>
      <c r="K392" s="104"/>
      <c r="L392" s="140"/>
      <c r="M392" s="101"/>
      <c r="N392" s="127"/>
      <c r="O392" s="95"/>
      <c r="P392" s="98"/>
      <c r="Q392" s="95"/>
      <c r="R392" s="128"/>
      <c r="S392" s="95"/>
      <c r="T392" s="95"/>
      <c r="U392" s="96"/>
      <c r="V392" s="96"/>
      <c r="W392" s="96"/>
      <c r="X392" s="96"/>
      <c r="Y392" s="96"/>
      <c r="Z392" s="97"/>
    </row>
    <row r="393" spans="6:26" x14ac:dyDescent="0.25">
      <c r="F393" s="103"/>
      <c r="G393" s="104"/>
      <c r="H393" s="104"/>
      <c r="I393" s="104"/>
      <c r="J393" s="104"/>
      <c r="K393" s="104"/>
      <c r="L393" s="140"/>
      <c r="M393" s="101"/>
      <c r="N393" s="127"/>
      <c r="O393" s="95"/>
      <c r="P393" s="98"/>
      <c r="Q393" s="95"/>
      <c r="R393" s="128"/>
      <c r="S393" s="95"/>
      <c r="T393" s="95"/>
      <c r="U393" s="96"/>
      <c r="V393" s="96"/>
      <c r="W393" s="96"/>
      <c r="X393" s="96"/>
      <c r="Y393" s="96"/>
      <c r="Z393" s="97"/>
    </row>
    <row r="394" spans="6:26" x14ac:dyDescent="0.25">
      <c r="F394" s="103"/>
      <c r="G394" s="104"/>
      <c r="H394" s="104"/>
      <c r="I394" s="104"/>
      <c r="J394" s="104"/>
      <c r="K394" s="104"/>
      <c r="L394" s="140"/>
      <c r="M394" s="101"/>
      <c r="N394" s="127"/>
      <c r="O394" s="95"/>
      <c r="P394" s="98"/>
      <c r="Q394" s="95"/>
      <c r="R394" s="128"/>
      <c r="S394" s="95"/>
      <c r="T394" s="95"/>
      <c r="U394" s="96"/>
      <c r="V394" s="96"/>
      <c r="W394" s="96"/>
      <c r="X394" s="96"/>
      <c r="Y394" s="96"/>
      <c r="Z394" s="97"/>
    </row>
    <row r="395" spans="6:26" x14ac:dyDescent="0.25">
      <c r="F395" s="103"/>
      <c r="G395" s="104"/>
      <c r="H395" s="104"/>
      <c r="I395" s="104"/>
      <c r="J395" s="104"/>
      <c r="K395" s="104"/>
      <c r="L395" s="140"/>
      <c r="M395" s="101"/>
      <c r="N395" s="127"/>
      <c r="O395" s="95"/>
      <c r="P395" s="98"/>
      <c r="Q395" s="95"/>
      <c r="R395" s="128"/>
      <c r="S395" s="95"/>
      <c r="T395" s="95"/>
      <c r="U395" s="96"/>
      <c r="V395" s="96"/>
      <c r="W395" s="96"/>
      <c r="X395" s="96"/>
      <c r="Y395" s="96"/>
      <c r="Z395" s="97"/>
    </row>
    <row r="396" spans="6:26" x14ac:dyDescent="0.25">
      <c r="F396" s="103"/>
      <c r="G396" s="104"/>
      <c r="H396" s="104"/>
      <c r="I396" s="104"/>
      <c r="J396" s="104"/>
      <c r="K396" s="104"/>
      <c r="L396" s="140"/>
      <c r="M396" s="101"/>
      <c r="N396" s="127"/>
      <c r="O396" s="95"/>
      <c r="P396" s="98"/>
      <c r="Q396" s="95"/>
      <c r="R396" s="128"/>
      <c r="S396" s="95"/>
      <c r="T396" s="95"/>
      <c r="U396" s="96"/>
      <c r="V396" s="96"/>
      <c r="W396" s="96"/>
      <c r="X396" s="96"/>
      <c r="Y396" s="96"/>
      <c r="Z396" s="97"/>
    </row>
    <row r="397" spans="6:26" x14ac:dyDescent="0.25">
      <c r="F397" s="103"/>
      <c r="G397" s="104"/>
      <c r="H397" s="104"/>
      <c r="I397" s="104"/>
      <c r="J397" s="104"/>
      <c r="K397" s="104"/>
      <c r="L397" s="140"/>
      <c r="M397" s="101"/>
      <c r="N397" s="127"/>
      <c r="O397" s="95"/>
      <c r="P397" s="98"/>
      <c r="Q397" s="95"/>
      <c r="R397" s="128"/>
      <c r="S397" s="95"/>
      <c r="T397" s="95"/>
      <c r="U397" s="96"/>
      <c r="V397" s="96"/>
      <c r="W397" s="96"/>
      <c r="X397" s="96"/>
      <c r="Y397" s="96"/>
      <c r="Z397" s="97"/>
    </row>
    <row r="398" spans="6:26" x14ac:dyDescent="0.25">
      <c r="F398" s="103"/>
      <c r="G398" s="104"/>
      <c r="H398" s="104"/>
      <c r="I398" s="104"/>
      <c r="J398" s="104"/>
      <c r="K398" s="104"/>
      <c r="L398" s="140"/>
      <c r="M398" s="101"/>
      <c r="N398" s="127"/>
      <c r="O398" s="95"/>
      <c r="P398" s="98"/>
      <c r="Q398" s="95"/>
      <c r="R398" s="128"/>
      <c r="S398" s="95"/>
      <c r="T398" s="95"/>
      <c r="U398" s="96"/>
      <c r="V398" s="96"/>
      <c r="W398" s="96"/>
      <c r="X398" s="96"/>
      <c r="Y398" s="96"/>
      <c r="Z398" s="97"/>
    </row>
    <row r="399" spans="6:26" x14ac:dyDescent="0.25">
      <c r="F399" s="103"/>
      <c r="G399" s="104"/>
      <c r="H399" s="104"/>
      <c r="I399" s="104"/>
      <c r="J399" s="104"/>
      <c r="K399" s="104"/>
      <c r="L399" s="140"/>
      <c r="M399" s="101"/>
      <c r="N399" s="127"/>
      <c r="O399" s="95"/>
      <c r="P399" s="98"/>
      <c r="Q399" s="95"/>
      <c r="R399" s="128"/>
      <c r="S399" s="95"/>
      <c r="T399" s="95"/>
      <c r="U399" s="96"/>
      <c r="V399" s="96"/>
      <c r="W399" s="96"/>
      <c r="X399" s="96"/>
      <c r="Y399" s="96"/>
      <c r="Z399" s="97"/>
    </row>
    <row r="400" spans="6:26" x14ac:dyDescent="0.25">
      <c r="F400" s="103"/>
      <c r="G400" s="104"/>
      <c r="H400" s="104"/>
      <c r="I400" s="104"/>
      <c r="J400" s="104"/>
      <c r="K400" s="104"/>
      <c r="L400" s="140"/>
      <c r="M400" s="101"/>
      <c r="N400" s="127"/>
      <c r="O400" s="95"/>
      <c r="P400" s="98"/>
      <c r="Q400" s="95"/>
      <c r="R400" s="128"/>
      <c r="S400" s="95"/>
      <c r="T400" s="95"/>
      <c r="U400" s="96"/>
      <c r="V400" s="96"/>
      <c r="W400" s="96"/>
      <c r="X400" s="96"/>
      <c r="Y400" s="96"/>
      <c r="Z400" s="97"/>
    </row>
    <row r="401" spans="6:26" x14ac:dyDescent="0.25">
      <c r="F401" s="103"/>
      <c r="G401" s="104"/>
      <c r="H401" s="104"/>
      <c r="I401" s="104"/>
      <c r="J401" s="104"/>
      <c r="K401" s="104"/>
      <c r="L401" s="140"/>
      <c r="M401" s="101"/>
      <c r="N401" s="127"/>
      <c r="O401" s="95"/>
      <c r="P401" s="98"/>
      <c r="Q401" s="95"/>
      <c r="R401" s="128"/>
      <c r="S401" s="95"/>
      <c r="T401" s="95"/>
      <c r="U401" s="96"/>
      <c r="V401" s="96"/>
      <c r="W401" s="96"/>
      <c r="X401" s="96"/>
      <c r="Y401" s="96"/>
      <c r="Z401" s="97"/>
    </row>
    <row r="402" spans="6:26" x14ac:dyDescent="0.25">
      <c r="F402" s="103"/>
      <c r="G402" s="104"/>
      <c r="H402" s="104"/>
      <c r="I402" s="104"/>
      <c r="J402" s="104"/>
      <c r="K402" s="104"/>
      <c r="L402" s="140"/>
      <c r="M402" s="101"/>
      <c r="N402" s="127"/>
      <c r="O402" s="95"/>
      <c r="P402" s="98"/>
      <c r="Q402" s="95"/>
      <c r="R402" s="128"/>
      <c r="S402" s="95"/>
      <c r="T402" s="95"/>
      <c r="U402" s="96"/>
      <c r="V402" s="96"/>
      <c r="W402" s="96"/>
      <c r="X402" s="96"/>
      <c r="Y402" s="96"/>
      <c r="Z402" s="97"/>
    </row>
    <row r="403" spans="6:26" x14ac:dyDescent="0.25">
      <c r="F403" s="103"/>
      <c r="G403" s="104"/>
      <c r="H403" s="104"/>
      <c r="I403" s="104"/>
      <c r="J403" s="104"/>
      <c r="K403" s="104"/>
      <c r="L403" s="140"/>
      <c r="M403" s="101"/>
      <c r="N403" s="127"/>
      <c r="O403" s="95"/>
      <c r="P403" s="98"/>
      <c r="Q403" s="95"/>
      <c r="R403" s="128"/>
      <c r="S403" s="95"/>
      <c r="T403" s="95"/>
      <c r="U403" s="96"/>
      <c r="V403" s="96"/>
      <c r="W403" s="96"/>
      <c r="X403" s="96"/>
      <c r="Y403" s="96"/>
      <c r="Z403" s="97"/>
    </row>
    <row r="404" spans="6:26" x14ac:dyDescent="0.25">
      <c r="F404" s="103"/>
      <c r="G404" s="104"/>
      <c r="H404" s="104"/>
      <c r="I404" s="104"/>
      <c r="J404" s="104"/>
      <c r="K404" s="104"/>
      <c r="L404" s="140"/>
      <c r="M404" s="101"/>
      <c r="N404" s="127"/>
      <c r="O404" s="95"/>
      <c r="P404" s="98"/>
      <c r="Q404" s="95"/>
      <c r="R404" s="128"/>
      <c r="S404" s="95"/>
      <c r="T404" s="95"/>
      <c r="U404" s="96"/>
      <c r="V404" s="96"/>
      <c r="W404" s="96"/>
      <c r="X404" s="96"/>
      <c r="Y404" s="96"/>
      <c r="Z404" s="97"/>
    </row>
    <row r="405" spans="6:26" x14ac:dyDescent="0.25">
      <c r="F405" s="103"/>
      <c r="G405" s="104"/>
      <c r="H405" s="104"/>
      <c r="I405" s="104"/>
      <c r="J405" s="104"/>
      <c r="K405" s="104"/>
      <c r="L405" s="140"/>
      <c r="M405" s="101"/>
      <c r="N405" s="127"/>
      <c r="O405" s="95"/>
      <c r="P405" s="98"/>
      <c r="Q405" s="95"/>
      <c r="R405" s="128"/>
      <c r="S405" s="95"/>
      <c r="T405" s="95"/>
      <c r="U405" s="96"/>
      <c r="V405" s="96"/>
      <c r="W405" s="96"/>
      <c r="X405" s="96"/>
      <c r="Y405" s="96"/>
      <c r="Z405" s="97"/>
    </row>
    <row r="406" spans="6:26" x14ac:dyDescent="0.25">
      <c r="F406" s="103"/>
      <c r="G406" s="104"/>
      <c r="H406" s="104"/>
      <c r="I406" s="104"/>
      <c r="J406" s="104"/>
      <c r="K406" s="104"/>
      <c r="L406" s="140"/>
      <c r="M406" s="101"/>
      <c r="N406" s="127"/>
      <c r="O406" s="95"/>
      <c r="P406" s="98"/>
      <c r="Q406" s="95"/>
      <c r="R406" s="128"/>
      <c r="S406" s="95"/>
      <c r="T406" s="95"/>
      <c r="U406" s="96"/>
      <c r="V406" s="96"/>
      <c r="W406" s="96"/>
      <c r="X406" s="96"/>
      <c r="Y406" s="96"/>
      <c r="Z406" s="97"/>
    </row>
    <row r="407" spans="6:26" x14ac:dyDescent="0.25">
      <c r="F407" s="103"/>
      <c r="G407" s="104"/>
      <c r="H407" s="104"/>
      <c r="I407" s="104"/>
      <c r="J407" s="104"/>
      <c r="K407" s="104"/>
      <c r="L407" s="140"/>
      <c r="M407" s="101"/>
      <c r="N407" s="127"/>
      <c r="O407" s="95"/>
      <c r="P407" s="98"/>
      <c r="Q407" s="95"/>
      <c r="R407" s="128"/>
      <c r="S407" s="95"/>
      <c r="T407" s="95"/>
      <c r="U407" s="96"/>
      <c r="V407" s="96"/>
      <c r="W407" s="96"/>
      <c r="X407" s="96"/>
      <c r="Y407" s="96"/>
      <c r="Z407" s="97"/>
    </row>
    <row r="408" spans="6:26" x14ac:dyDescent="0.25">
      <c r="F408" s="103"/>
      <c r="G408" s="104"/>
      <c r="H408" s="104"/>
      <c r="I408" s="104"/>
      <c r="J408" s="104"/>
      <c r="K408" s="104"/>
      <c r="L408" s="140"/>
      <c r="M408" s="101"/>
      <c r="N408" s="127"/>
      <c r="O408" s="95"/>
      <c r="P408" s="98"/>
      <c r="Q408" s="95"/>
      <c r="R408" s="128"/>
      <c r="S408" s="95"/>
      <c r="T408" s="95"/>
      <c r="U408" s="96"/>
      <c r="V408" s="96"/>
      <c r="W408" s="96"/>
      <c r="X408" s="96"/>
      <c r="Y408" s="96"/>
      <c r="Z408" s="97"/>
    </row>
    <row r="409" spans="6:26" x14ac:dyDescent="0.25">
      <c r="F409" s="103"/>
      <c r="G409" s="104"/>
      <c r="H409" s="104"/>
      <c r="I409" s="104"/>
      <c r="J409" s="104"/>
      <c r="K409" s="104"/>
      <c r="L409" s="140"/>
      <c r="M409" s="101"/>
      <c r="N409" s="127"/>
      <c r="O409" s="95"/>
      <c r="P409" s="98"/>
      <c r="Q409" s="95"/>
      <c r="R409" s="128"/>
      <c r="S409" s="95"/>
      <c r="T409" s="95"/>
      <c r="U409" s="96"/>
      <c r="V409" s="96"/>
      <c r="W409" s="96"/>
      <c r="X409" s="96"/>
      <c r="Y409" s="96"/>
      <c r="Z409" s="97"/>
    </row>
    <row r="410" spans="6:26" x14ac:dyDescent="0.25">
      <c r="F410" s="103"/>
      <c r="G410" s="104"/>
      <c r="H410" s="104"/>
      <c r="I410" s="104"/>
      <c r="J410" s="104"/>
      <c r="K410" s="104"/>
      <c r="L410" s="140"/>
      <c r="M410" s="101"/>
      <c r="N410" s="127"/>
      <c r="O410" s="95"/>
      <c r="P410" s="98"/>
      <c r="Q410" s="95"/>
      <c r="R410" s="128"/>
      <c r="S410" s="95"/>
      <c r="T410" s="95"/>
      <c r="U410" s="96"/>
      <c r="V410" s="96"/>
      <c r="W410" s="96"/>
      <c r="X410" s="96"/>
      <c r="Y410" s="96"/>
      <c r="Z410" s="97"/>
    </row>
    <row r="411" spans="6:26" x14ac:dyDescent="0.25">
      <c r="F411" s="103"/>
      <c r="G411" s="104"/>
      <c r="H411" s="104"/>
      <c r="I411" s="104"/>
      <c r="J411" s="104"/>
      <c r="K411" s="104"/>
      <c r="L411" s="140"/>
      <c r="M411" s="101"/>
      <c r="N411" s="127"/>
      <c r="O411" s="95"/>
      <c r="P411" s="98"/>
      <c r="Q411" s="95"/>
      <c r="R411" s="128"/>
      <c r="S411" s="95"/>
      <c r="T411" s="95"/>
      <c r="U411" s="96"/>
      <c r="V411" s="96"/>
      <c r="W411" s="96"/>
      <c r="X411" s="96"/>
      <c r="Y411" s="96"/>
      <c r="Z411" s="97"/>
    </row>
    <row r="412" spans="6:26" x14ac:dyDescent="0.25">
      <c r="F412" s="103"/>
      <c r="G412" s="104"/>
      <c r="H412" s="104"/>
      <c r="I412" s="104"/>
      <c r="J412" s="104"/>
      <c r="K412" s="104"/>
      <c r="L412" s="140"/>
      <c r="M412" s="101"/>
      <c r="N412" s="127"/>
      <c r="O412" s="95"/>
      <c r="P412" s="98"/>
      <c r="Q412" s="95"/>
      <c r="R412" s="128"/>
      <c r="S412" s="95"/>
      <c r="T412" s="95"/>
      <c r="U412" s="96"/>
      <c r="V412" s="96"/>
      <c r="W412" s="96"/>
      <c r="X412" s="96"/>
      <c r="Y412" s="96"/>
      <c r="Z412" s="97"/>
    </row>
    <row r="413" spans="6:26" x14ac:dyDescent="0.25">
      <c r="F413" s="103"/>
      <c r="G413" s="104"/>
      <c r="H413" s="104"/>
      <c r="I413" s="104"/>
      <c r="J413" s="104"/>
      <c r="K413" s="104"/>
      <c r="L413" s="140"/>
      <c r="M413" s="101"/>
      <c r="N413" s="127"/>
      <c r="O413" s="95"/>
      <c r="P413" s="98"/>
      <c r="Q413" s="95"/>
      <c r="R413" s="128"/>
      <c r="S413" s="95"/>
      <c r="T413" s="95"/>
      <c r="U413" s="96"/>
      <c r="V413" s="96"/>
      <c r="W413" s="96"/>
      <c r="X413" s="96"/>
      <c r="Y413" s="96"/>
      <c r="Z413" s="97"/>
    </row>
    <row r="414" spans="6:26" x14ac:dyDescent="0.25">
      <c r="F414" s="103"/>
      <c r="G414" s="104"/>
      <c r="H414" s="104"/>
      <c r="I414" s="104"/>
      <c r="J414" s="104"/>
      <c r="K414" s="104"/>
      <c r="L414" s="140"/>
      <c r="M414" s="101"/>
      <c r="N414" s="127"/>
      <c r="O414" s="95"/>
      <c r="P414" s="98"/>
      <c r="Q414" s="95"/>
      <c r="R414" s="128"/>
      <c r="S414" s="95"/>
      <c r="T414" s="95"/>
      <c r="U414" s="96"/>
      <c r="V414" s="96"/>
      <c r="W414" s="96"/>
      <c r="X414" s="96"/>
      <c r="Y414" s="96"/>
      <c r="Z414" s="97"/>
    </row>
    <row r="415" spans="6:26" x14ac:dyDescent="0.25">
      <c r="F415" s="103"/>
      <c r="G415" s="104"/>
      <c r="H415" s="104"/>
      <c r="I415" s="104"/>
      <c r="J415" s="104"/>
      <c r="K415" s="104"/>
      <c r="L415" s="140"/>
      <c r="M415" s="101"/>
      <c r="N415" s="127"/>
      <c r="O415" s="95"/>
      <c r="P415" s="98"/>
      <c r="Q415" s="95"/>
      <c r="R415" s="128"/>
      <c r="S415" s="95"/>
      <c r="T415" s="95"/>
      <c r="U415" s="96"/>
      <c r="V415" s="96"/>
      <c r="W415" s="96"/>
      <c r="X415" s="96"/>
      <c r="Y415" s="96"/>
      <c r="Z415" s="97"/>
    </row>
    <row r="416" spans="6:26" x14ac:dyDescent="0.25">
      <c r="F416" s="103"/>
      <c r="G416" s="104"/>
      <c r="H416" s="104"/>
      <c r="I416" s="104"/>
      <c r="J416" s="104"/>
      <c r="K416" s="104"/>
      <c r="L416" s="140"/>
      <c r="M416" s="101"/>
      <c r="N416" s="127"/>
      <c r="O416" s="95"/>
      <c r="P416" s="98"/>
      <c r="Q416" s="95"/>
      <c r="R416" s="128"/>
      <c r="S416" s="95"/>
      <c r="T416" s="95"/>
      <c r="U416" s="96"/>
      <c r="V416" s="96"/>
      <c r="W416" s="96"/>
      <c r="X416" s="96"/>
      <c r="Y416" s="96"/>
      <c r="Z416" s="97"/>
    </row>
    <row r="417" spans="6:26" x14ac:dyDescent="0.25">
      <c r="F417" s="103"/>
      <c r="G417" s="104"/>
      <c r="H417" s="104"/>
      <c r="I417" s="104"/>
      <c r="J417" s="104"/>
      <c r="K417" s="104"/>
      <c r="L417" s="140"/>
      <c r="M417" s="101"/>
      <c r="N417" s="127"/>
      <c r="O417" s="95"/>
      <c r="P417" s="98"/>
      <c r="Q417" s="95"/>
      <c r="R417" s="128"/>
      <c r="S417" s="95"/>
      <c r="T417" s="95"/>
      <c r="U417" s="96"/>
      <c r="V417" s="96"/>
      <c r="W417" s="96"/>
      <c r="X417" s="96"/>
      <c r="Y417" s="96"/>
      <c r="Z417" s="97"/>
    </row>
    <row r="418" spans="6:26" x14ac:dyDescent="0.25">
      <c r="F418" s="103"/>
      <c r="G418" s="104"/>
      <c r="H418" s="104"/>
      <c r="I418" s="104"/>
      <c r="J418" s="104"/>
      <c r="K418" s="104"/>
      <c r="L418" s="140"/>
      <c r="M418" s="101"/>
      <c r="N418" s="127"/>
      <c r="O418" s="95"/>
      <c r="P418" s="98"/>
      <c r="Q418" s="95"/>
      <c r="R418" s="128"/>
      <c r="S418" s="95"/>
      <c r="T418" s="95"/>
      <c r="U418" s="96"/>
      <c r="V418" s="96"/>
      <c r="W418" s="96"/>
      <c r="X418" s="96"/>
      <c r="Y418" s="96"/>
      <c r="Z418" s="97"/>
    </row>
    <row r="419" spans="6:26" x14ac:dyDescent="0.25">
      <c r="F419" s="103"/>
      <c r="G419" s="104"/>
      <c r="H419" s="104"/>
      <c r="I419" s="104"/>
      <c r="J419" s="104"/>
      <c r="K419" s="104"/>
      <c r="L419" s="140"/>
      <c r="M419" s="101"/>
      <c r="N419" s="127"/>
      <c r="O419" s="95"/>
      <c r="P419" s="98"/>
      <c r="Q419" s="95"/>
      <c r="R419" s="128"/>
      <c r="S419" s="95"/>
      <c r="T419" s="95"/>
      <c r="U419" s="96"/>
      <c r="V419" s="96"/>
      <c r="W419" s="96"/>
      <c r="X419" s="96"/>
      <c r="Y419" s="96"/>
      <c r="Z419" s="97"/>
    </row>
    <row r="420" spans="6:26" x14ac:dyDescent="0.25">
      <c r="F420" s="103"/>
      <c r="G420" s="104"/>
      <c r="H420" s="104"/>
      <c r="I420" s="104"/>
      <c r="J420" s="104"/>
      <c r="K420" s="104"/>
      <c r="L420" s="140"/>
      <c r="M420" s="101"/>
      <c r="N420" s="127"/>
      <c r="O420" s="95"/>
      <c r="P420" s="98"/>
      <c r="Q420" s="95"/>
      <c r="R420" s="128"/>
      <c r="S420" s="95"/>
      <c r="T420" s="95"/>
      <c r="U420" s="96"/>
      <c r="V420" s="96"/>
      <c r="W420" s="96"/>
      <c r="X420" s="96"/>
      <c r="Y420" s="96"/>
      <c r="Z420" s="97"/>
    </row>
    <row r="421" spans="6:26" x14ac:dyDescent="0.25">
      <c r="F421" s="103"/>
      <c r="G421" s="104"/>
      <c r="H421" s="104"/>
      <c r="I421" s="104"/>
      <c r="J421" s="104"/>
      <c r="K421" s="104"/>
      <c r="L421" s="140"/>
      <c r="M421" s="101"/>
      <c r="N421" s="127"/>
      <c r="O421" s="95"/>
      <c r="P421" s="98"/>
      <c r="Q421" s="95"/>
      <c r="R421" s="128"/>
      <c r="S421" s="95"/>
      <c r="T421" s="95"/>
      <c r="U421" s="96"/>
      <c r="V421" s="96"/>
      <c r="W421" s="96"/>
      <c r="X421" s="96"/>
      <c r="Y421" s="96"/>
      <c r="Z421" s="97"/>
    </row>
    <row r="422" spans="6:26" x14ac:dyDescent="0.25">
      <c r="F422" s="103"/>
      <c r="G422" s="104"/>
      <c r="H422" s="104"/>
      <c r="I422" s="104"/>
      <c r="J422" s="104"/>
      <c r="K422" s="104"/>
      <c r="L422" s="140"/>
      <c r="M422" s="101"/>
      <c r="N422" s="127"/>
      <c r="O422" s="95"/>
      <c r="P422" s="98"/>
      <c r="Q422" s="95"/>
      <c r="R422" s="128"/>
      <c r="S422" s="95"/>
      <c r="T422" s="95"/>
      <c r="U422" s="96"/>
      <c r="V422" s="96"/>
      <c r="W422" s="96"/>
      <c r="X422" s="96"/>
      <c r="Y422" s="96"/>
      <c r="Z422" s="97"/>
    </row>
    <row r="423" spans="6:26" x14ac:dyDescent="0.25">
      <c r="F423" s="103"/>
      <c r="G423" s="104"/>
      <c r="H423" s="104"/>
      <c r="I423" s="104"/>
      <c r="J423" s="104"/>
      <c r="K423" s="104"/>
      <c r="L423" s="140"/>
      <c r="M423" s="101"/>
      <c r="N423" s="127"/>
      <c r="O423" s="95"/>
      <c r="P423" s="98"/>
      <c r="Q423" s="95"/>
      <c r="R423" s="128"/>
      <c r="S423" s="95"/>
      <c r="T423" s="95"/>
      <c r="U423" s="96"/>
      <c r="V423" s="96"/>
      <c r="W423" s="96"/>
      <c r="X423" s="96"/>
      <c r="Y423" s="96"/>
      <c r="Z423" s="97"/>
    </row>
    <row r="424" spans="6:26" x14ac:dyDescent="0.25">
      <c r="F424" s="103"/>
      <c r="G424" s="104"/>
      <c r="H424" s="104"/>
      <c r="I424" s="104"/>
      <c r="J424" s="104"/>
      <c r="K424" s="104"/>
      <c r="L424" s="140"/>
      <c r="M424" s="101"/>
      <c r="N424" s="127"/>
      <c r="O424" s="95"/>
      <c r="P424" s="98"/>
      <c r="Q424" s="95"/>
      <c r="R424" s="128"/>
      <c r="S424" s="95"/>
      <c r="T424" s="95"/>
      <c r="U424" s="96"/>
      <c r="V424" s="96"/>
      <c r="W424" s="96"/>
      <c r="X424" s="96"/>
      <c r="Y424" s="96"/>
      <c r="Z424" s="97"/>
    </row>
    <row r="425" spans="6:26" x14ac:dyDescent="0.25">
      <c r="F425" s="103"/>
      <c r="G425" s="104"/>
      <c r="H425" s="104"/>
      <c r="I425" s="104"/>
      <c r="J425" s="104"/>
      <c r="K425" s="104"/>
      <c r="L425" s="140"/>
      <c r="M425" s="101"/>
      <c r="N425" s="127"/>
      <c r="O425" s="95"/>
      <c r="P425" s="98"/>
      <c r="Q425" s="95"/>
      <c r="R425" s="128"/>
      <c r="S425" s="95"/>
      <c r="T425" s="95"/>
      <c r="U425" s="96"/>
      <c r="V425" s="96"/>
      <c r="W425" s="96"/>
      <c r="X425" s="96"/>
      <c r="Y425" s="96"/>
      <c r="Z425" s="97"/>
    </row>
    <row r="426" spans="6:26" x14ac:dyDescent="0.25">
      <c r="F426" s="103"/>
      <c r="G426" s="104"/>
      <c r="H426" s="104"/>
      <c r="I426" s="104"/>
      <c r="J426" s="104"/>
      <c r="K426" s="104"/>
      <c r="L426" s="140"/>
      <c r="M426" s="101"/>
      <c r="N426" s="127"/>
      <c r="O426" s="95"/>
      <c r="P426" s="98"/>
      <c r="Q426" s="95"/>
      <c r="R426" s="128"/>
      <c r="S426" s="95"/>
      <c r="T426" s="95"/>
      <c r="U426" s="96"/>
      <c r="V426" s="96"/>
      <c r="W426" s="96"/>
      <c r="X426" s="96"/>
      <c r="Y426" s="96"/>
      <c r="Z426" s="97"/>
    </row>
    <row r="427" spans="6:26" x14ac:dyDescent="0.25">
      <c r="F427" s="103"/>
      <c r="G427" s="104"/>
      <c r="H427" s="104"/>
      <c r="I427" s="104"/>
      <c r="J427" s="104"/>
      <c r="K427" s="104"/>
      <c r="L427" s="140"/>
      <c r="M427" s="101"/>
      <c r="N427" s="127"/>
      <c r="O427" s="95"/>
      <c r="P427" s="98"/>
      <c r="Q427" s="95"/>
      <c r="R427" s="128"/>
      <c r="S427" s="95"/>
      <c r="T427" s="95"/>
      <c r="U427" s="96"/>
      <c r="V427" s="96"/>
      <c r="W427" s="96"/>
      <c r="X427" s="96"/>
      <c r="Y427" s="96"/>
      <c r="Z427" s="97"/>
    </row>
    <row r="428" spans="6:26" x14ac:dyDescent="0.25">
      <c r="F428" s="103"/>
      <c r="G428" s="104"/>
      <c r="H428" s="104"/>
      <c r="I428" s="104"/>
      <c r="J428" s="104"/>
      <c r="K428" s="104"/>
      <c r="L428" s="140"/>
      <c r="M428" s="101"/>
      <c r="N428" s="127"/>
      <c r="O428" s="95"/>
      <c r="P428" s="98"/>
      <c r="Q428" s="95"/>
      <c r="R428" s="128"/>
      <c r="S428" s="95"/>
      <c r="T428" s="95"/>
      <c r="U428" s="96"/>
      <c r="V428" s="96"/>
      <c r="W428" s="96"/>
      <c r="X428" s="96"/>
      <c r="Y428" s="96"/>
      <c r="Z428" s="97"/>
    </row>
    <row r="429" spans="6:26" x14ac:dyDescent="0.25">
      <c r="F429" s="103"/>
      <c r="G429" s="104"/>
      <c r="H429" s="104"/>
      <c r="I429" s="104"/>
      <c r="J429" s="104"/>
      <c r="K429" s="104"/>
      <c r="L429" s="140"/>
      <c r="M429" s="101"/>
      <c r="N429" s="127"/>
      <c r="O429" s="95"/>
      <c r="P429" s="98"/>
      <c r="Q429" s="95"/>
      <c r="R429" s="128"/>
      <c r="S429" s="95"/>
      <c r="T429" s="95"/>
      <c r="U429" s="96"/>
      <c r="V429" s="96"/>
      <c r="W429" s="96"/>
      <c r="X429" s="96"/>
      <c r="Y429" s="96"/>
      <c r="Z429" s="97"/>
    </row>
    <row r="430" spans="6:26" x14ac:dyDescent="0.25">
      <c r="F430" s="103"/>
      <c r="G430" s="104"/>
      <c r="H430" s="104"/>
      <c r="I430" s="104"/>
      <c r="J430" s="104"/>
      <c r="K430" s="104"/>
      <c r="L430" s="140"/>
      <c r="M430" s="101"/>
      <c r="N430" s="127"/>
      <c r="O430" s="95"/>
      <c r="P430" s="98"/>
      <c r="Q430" s="95"/>
      <c r="R430" s="128"/>
      <c r="S430" s="95"/>
      <c r="T430" s="95"/>
      <c r="U430" s="96"/>
      <c r="V430" s="96"/>
      <c r="W430" s="96"/>
      <c r="X430" s="96"/>
      <c r="Y430" s="96"/>
      <c r="Z430" s="97"/>
    </row>
    <row r="431" spans="6:26" x14ac:dyDescent="0.25">
      <c r="F431" s="103"/>
      <c r="G431" s="104"/>
      <c r="H431" s="104"/>
      <c r="I431" s="104"/>
      <c r="J431" s="104"/>
      <c r="K431" s="104"/>
      <c r="L431" s="140"/>
      <c r="M431" s="101"/>
      <c r="N431" s="127"/>
      <c r="O431" s="95"/>
      <c r="P431" s="98"/>
      <c r="Q431" s="95"/>
      <c r="R431" s="128"/>
      <c r="S431" s="95"/>
      <c r="T431" s="95"/>
      <c r="U431" s="96"/>
      <c r="V431" s="96"/>
      <c r="W431" s="96"/>
      <c r="X431" s="96"/>
      <c r="Y431" s="96"/>
      <c r="Z431" s="97"/>
    </row>
    <row r="432" spans="6:26" x14ac:dyDescent="0.25">
      <c r="F432" s="103"/>
      <c r="G432" s="104"/>
      <c r="H432" s="104"/>
      <c r="I432" s="104"/>
      <c r="J432" s="104"/>
      <c r="K432" s="104"/>
      <c r="L432" s="140"/>
      <c r="M432" s="101"/>
      <c r="N432" s="127"/>
      <c r="O432" s="95"/>
      <c r="P432" s="98"/>
      <c r="Q432" s="95"/>
      <c r="R432" s="128"/>
      <c r="S432" s="95"/>
      <c r="T432" s="95"/>
      <c r="U432" s="96"/>
      <c r="V432" s="96"/>
      <c r="W432" s="96"/>
      <c r="X432" s="96"/>
      <c r="Y432" s="96"/>
      <c r="Z432" s="97"/>
    </row>
    <row r="433" spans="6:26" x14ac:dyDescent="0.25">
      <c r="F433" s="103"/>
      <c r="G433" s="104"/>
      <c r="H433" s="104"/>
      <c r="I433" s="104"/>
      <c r="J433" s="104"/>
      <c r="K433" s="104"/>
      <c r="L433" s="140"/>
      <c r="M433" s="101"/>
      <c r="N433" s="127"/>
      <c r="O433" s="95"/>
      <c r="P433" s="98"/>
      <c r="Q433" s="95"/>
      <c r="R433" s="128"/>
      <c r="S433" s="95"/>
      <c r="T433" s="95"/>
      <c r="U433" s="96"/>
      <c r="V433" s="96"/>
      <c r="W433" s="96"/>
      <c r="X433" s="96"/>
      <c r="Y433" s="96"/>
      <c r="Z433" s="97"/>
    </row>
    <row r="434" spans="6:26" x14ac:dyDescent="0.25">
      <c r="F434" s="103"/>
      <c r="G434" s="104"/>
      <c r="H434" s="104"/>
      <c r="I434" s="104"/>
      <c r="J434" s="104"/>
      <c r="K434" s="104"/>
      <c r="L434" s="140"/>
      <c r="M434" s="101"/>
      <c r="N434" s="127"/>
      <c r="O434" s="95"/>
      <c r="P434" s="98"/>
      <c r="Q434" s="95"/>
      <c r="R434" s="128"/>
      <c r="S434" s="95"/>
      <c r="T434" s="95"/>
      <c r="U434" s="96"/>
      <c r="V434" s="96"/>
      <c r="W434" s="96"/>
      <c r="X434" s="96"/>
      <c r="Y434" s="96"/>
      <c r="Z434" s="97"/>
    </row>
    <row r="435" spans="6:26" x14ac:dyDescent="0.25">
      <c r="F435" s="103"/>
      <c r="G435" s="104"/>
      <c r="H435" s="104"/>
      <c r="I435" s="104"/>
      <c r="J435" s="104"/>
      <c r="K435" s="104"/>
      <c r="L435" s="140"/>
      <c r="M435" s="101"/>
      <c r="N435" s="127"/>
      <c r="O435" s="95"/>
      <c r="P435" s="98"/>
      <c r="Q435" s="95"/>
      <c r="R435" s="128"/>
      <c r="S435" s="95"/>
      <c r="T435" s="95"/>
      <c r="U435" s="96"/>
      <c r="V435" s="96"/>
      <c r="W435" s="96"/>
      <c r="X435" s="96"/>
      <c r="Y435" s="96"/>
      <c r="Z435" s="97"/>
    </row>
    <row r="436" spans="6:26" x14ac:dyDescent="0.25">
      <c r="F436" s="103"/>
      <c r="G436" s="104"/>
      <c r="H436" s="104"/>
      <c r="I436" s="104"/>
      <c r="J436" s="104"/>
      <c r="K436" s="104"/>
      <c r="L436" s="140"/>
      <c r="M436" s="101"/>
      <c r="N436" s="127"/>
      <c r="O436" s="95"/>
      <c r="P436" s="98"/>
      <c r="Q436" s="95"/>
      <c r="R436" s="128"/>
      <c r="S436" s="95"/>
      <c r="T436" s="95"/>
      <c r="U436" s="96"/>
      <c r="V436" s="96"/>
      <c r="W436" s="96"/>
      <c r="X436" s="96"/>
      <c r="Y436" s="96"/>
      <c r="Z436" s="97"/>
    </row>
    <row r="437" spans="6:26" x14ac:dyDescent="0.25">
      <c r="F437" s="103"/>
      <c r="G437" s="104"/>
      <c r="H437" s="104"/>
      <c r="I437" s="104"/>
      <c r="J437" s="104"/>
      <c r="K437" s="104"/>
      <c r="L437" s="140"/>
      <c r="M437" s="101"/>
      <c r="N437" s="127"/>
      <c r="O437" s="95"/>
      <c r="P437" s="98"/>
      <c r="Q437" s="95"/>
      <c r="R437" s="128"/>
      <c r="S437" s="95"/>
      <c r="T437" s="95"/>
      <c r="U437" s="96"/>
      <c r="V437" s="96"/>
      <c r="W437" s="96"/>
      <c r="X437" s="96"/>
      <c r="Y437" s="96"/>
      <c r="Z437" s="97"/>
    </row>
    <row r="438" spans="6:26" x14ac:dyDescent="0.25">
      <c r="F438" s="103"/>
      <c r="G438" s="104"/>
      <c r="H438" s="104"/>
      <c r="I438" s="104"/>
      <c r="J438" s="104"/>
      <c r="K438" s="104"/>
      <c r="L438" s="140"/>
      <c r="M438" s="101"/>
      <c r="N438" s="127"/>
      <c r="O438" s="95"/>
      <c r="P438" s="98"/>
      <c r="Q438" s="95"/>
      <c r="R438" s="128"/>
      <c r="S438" s="95"/>
      <c r="T438" s="95"/>
      <c r="U438" s="96"/>
      <c r="V438" s="96"/>
      <c r="W438" s="96"/>
      <c r="X438" s="96"/>
      <c r="Y438" s="96"/>
      <c r="Z438" s="97"/>
    </row>
    <row r="439" spans="6:26" x14ac:dyDescent="0.25">
      <c r="F439" s="103"/>
      <c r="G439" s="104"/>
      <c r="H439" s="104"/>
      <c r="I439" s="104"/>
      <c r="J439" s="104"/>
      <c r="K439" s="104"/>
      <c r="L439" s="140"/>
      <c r="M439" s="101"/>
      <c r="N439" s="127"/>
      <c r="O439" s="95"/>
      <c r="P439" s="98"/>
      <c r="Q439" s="95"/>
      <c r="R439" s="128"/>
      <c r="S439" s="95"/>
      <c r="T439" s="95"/>
      <c r="U439" s="96"/>
      <c r="V439" s="96"/>
      <c r="W439" s="96"/>
      <c r="X439" s="96"/>
      <c r="Y439" s="96"/>
      <c r="Z439" s="97"/>
    </row>
    <row r="440" spans="6:26" x14ac:dyDescent="0.25">
      <c r="F440" s="103"/>
      <c r="G440" s="104"/>
      <c r="H440" s="104"/>
      <c r="I440" s="104"/>
      <c r="J440" s="104"/>
      <c r="K440" s="104"/>
      <c r="L440" s="140"/>
      <c r="M440" s="101"/>
      <c r="N440" s="127"/>
      <c r="O440" s="95"/>
      <c r="P440" s="98"/>
      <c r="Q440" s="95"/>
      <c r="R440" s="128"/>
      <c r="S440" s="95"/>
      <c r="T440" s="95"/>
      <c r="U440" s="96"/>
      <c r="V440" s="96"/>
      <c r="W440" s="96"/>
      <c r="X440" s="96"/>
      <c r="Y440" s="96"/>
      <c r="Z440" s="97"/>
    </row>
    <row r="441" spans="6:26" x14ac:dyDescent="0.25">
      <c r="F441" s="103"/>
      <c r="G441" s="104"/>
      <c r="H441" s="104"/>
      <c r="I441" s="104"/>
      <c r="J441" s="104"/>
      <c r="K441" s="104"/>
      <c r="L441" s="140"/>
      <c r="M441" s="101"/>
      <c r="N441" s="127"/>
      <c r="O441" s="95"/>
      <c r="P441" s="98"/>
      <c r="Q441" s="95"/>
      <c r="R441" s="128"/>
      <c r="S441" s="95"/>
      <c r="T441" s="95"/>
      <c r="U441" s="96"/>
      <c r="V441" s="96"/>
      <c r="W441" s="96"/>
      <c r="X441" s="96"/>
      <c r="Y441" s="96"/>
      <c r="Z441" s="97"/>
    </row>
    <row r="442" spans="6:26" x14ac:dyDescent="0.25">
      <c r="F442" s="103"/>
      <c r="G442" s="104"/>
      <c r="H442" s="104"/>
      <c r="I442" s="104"/>
      <c r="J442" s="104"/>
      <c r="K442" s="104"/>
      <c r="L442" s="140"/>
      <c r="M442" s="101"/>
      <c r="N442" s="127"/>
      <c r="O442" s="95"/>
      <c r="P442" s="98"/>
      <c r="Q442" s="95"/>
      <c r="R442" s="128"/>
      <c r="S442" s="95"/>
      <c r="T442" s="95"/>
      <c r="U442" s="96"/>
      <c r="V442" s="96"/>
      <c r="W442" s="96"/>
      <c r="X442" s="96"/>
      <c r="Y442" s="96"/>
      <c r="Z442" s="97"/>
    </row>
    <row r="443" spans="6:26" x14ac:dyDescent="0.25">
      <c r="F443" s="103"/>
      <c r="G443" s="104"/>
      <c r="H443" s="104"/>
      <c r="I443" s="104"/>
      <c r="J443" s="104"/>
      <c r="K443" s="104"/>
      <c r="L443" s="140"/>
      <c r="M443" s="101"/>
      <c r="N443" s="127"/>
      <c r="O443" s="95"/>
      <c r="P443" s="98"/>
      <c r="Q443" s="95"/>
      <c r="R443" s="128"/>
      <c r="S443" s="95"/>
      <c r="T443" s="95"/>
      <c r="U443" s="96"/>
      <c r="V443" s="96"/>
      <c r="W443" s="96"/>
      <c r="X443" s="96"/>
      <c r="Y443" s="96"/>
      <c r="Z443" s="97"/>
    </row>
    <row r="444" spans="6:26" x14ac:dyDescent="0.25">
      <c r="F444" s="103"/>
      <c r="G444" s="104"/>
      <c r="H444" s="104"/>
      <c r="I444" s="104"/>
      <c r="J444" s="104"/>
      <c r="K444" s="104"/>
      <c r="L444" s="140"/>
      <c r="M444" s="101"/>
      <c r="N444" s="127"/>
      <c r="O444" s="95"/>
      <c r="P444" s="98"/>
      <c r="Q444" s="95"/>
      <c r="R444" s="128"/>
      <c r="S444" s="95"/>
      <c r="T444" s="95"/>
      <c r="U444" s="96"/>
      <c r="V444" s="96"/>
      <c r="W444" s="96"/>
      <c r="X444" s="96"/>
      <c r="Y444" s="96"/>
      <c r="Z444" s="97"/>
    </row>
    <row r="445" spans="6:26" x14ac:dyDescent="0.25">
      <c r="F445" s="103"/>
      <c r="G445" s="104"/>
      <c r="H445" s="104"/>
      <c r="I445" s="104"/>
      <c r="J445" s="104"/>
      <c r="K445" s="104"/>
      <c r="L445" s="140"/>
      <c r="M445" s="101"/>
      <c r="N445" s="127"/>
      <c r="O445" s="95"/>
      <c r="P445" s="98"/>
      <c r="Q445" s="95"/>
      <c r="R445" s="128"/>
      <c r="S445" s="95"/>
      <c r="T445" s="95"/>
      <c r="U445" s="96"/>
      <c r="V445" s="96"/>
      <c r="W445" s="96"/>
      <c r="X445" s="96"/>
      <c r="Y445" s="96"/>
      <c r="Z445" s="97"/>
    </row>
    <row r="446" spans="6:26" x14ac:dyDescent="0.25">
      <c r="F446" s="103"/>
      <c r="G446" s="104"/>
      <c r="H446" s="104"/>
      <c r="I446" s="104"/>
      <c r="J446" s="104"/>
      <c r="K446" s="104"/>
      <c r="L446" s="140"/>
      <c r="M446" s="101"/>
      <c r="N446" s="127"/>
      <c r="O446" s="95"/>
      <c r="P446" s="98"/>
      <c r="Q446" s="95"/>
      <c r="R446" s="128"/>
      <c r="S446" s="95"/>
      <c r="T446" s="95"/>
      <c r="U446" s="96"/>
      <c r="V446" s="96"/>
      <c r="W446" s="96"/>
      <c r="X446" s="96"/>
      <c r="Y446" s="96"/>
      <c r="Z446" s="97"/>
    </row>
    <row r="447" spans="6:26" x14ac:dyDescent="0.25">
      <c r="F447" s="103"/>
      <c r="G447" s="104"/>
      <c r="H447" s="104"/>
      <c r="I447" s="104"/>
      <c r="J447" s="104"/>
      <c r="K447" s="104"/>
      <c r="L447" s="140"/>
      <c r="M447" s="101"/>
      <c r="N447" s="127"/>
      <c r="O447" s="95"/>
      <c r="P447" s="98"/>
      <c r="Q447" s="95"/>
      <c r="R447" s="128"/>
      <c r="S447" s="95"/>
      <c r="T447" s="95"/>
      <c r="U447" s="96"/>
      <c r="V447" s="96"/>
      <c r="W447" s="96"/>
      <c r="X447" s="96"/>
      <c r="Y447" s="96"/>
      <c r="Z447" s="97"/>
    </row>
    <row r="448" spans="6:26" x14ac:dyDescent="0.25">
      <c r="F448" s="103"/>
      <c r="G448" s="104"/>
      <c r="H448" s="104"/>
      <c r="I448" s="104"/>
      <c r="J448" s="104"/>
      <c r="K448" s="104"/>
      <c r="L448" s="140"/>
      <c r="M448" s="101"/>
      <c r="N448" s="127"/>
      <c r="O448" s="95"/>
      <c r="P448" s="98"/>
      <c r="Q448" s="95"/>
      <c r="R448" s="128"/>
      <c r="S448" s="95"/>
      <c r="T448" s="95"/>
      <c r="U448" s="96"/>
      <c r="V448" s="96"/>
      <c r="W448" s="96"/>
      <c r="X448" s="96"/>
      <c r="Y448" s="96"/>
      <c r="Z448" s="97"/>
    </row>
    <row r="449" spans="6:26" x14ac:dyDescent="0.25">
      <c r="F449" s="103"/>
      <c r="G449" s="104"/>
      <c r="H449" s="104"/>
      <c r="I449" s="104"/>
      <c r="J449" s="104"/>
      <c r="K449" s="104"/>
      <c r="L449" s="140"/>
      <c r="M449" s="101"/>
      <c r="N449" s="127"/>
      <c r="O449" s="95"/>
      <c r="P449" s="98"/>
      <c r="Q449" s="95"/>
      <c r="R449" s="128"/>
      <c r="S449" s="95"/>
      <c r="T449" s="95"/>
      <c r="U449" s="96"/>
      <c r="V449" s="96"/>
      <c r="W449" s="96"/>
      <c r="X449" s="96"/>
      <c r="Y449" s="96"/>
      <c r="Z449" s="97"/>
    </row>
    <row r="450" spans="6:26" x14ac:dyDescent="0.25">
      <c r="F450" s="103"/>
      <c r="G450" s="104"/>
      <c r="H450" s="104"/>
      <c r="I450" s="104"/>
      <c r="J450" s="104"/>
      <c r="K450" s="104"/>
      <c r="L450" s="140"/>
      <c r="M450" s="101"/>
      <c r="N450" s="127"/>
      <c r="O450" s="95"/>
      <c r="P450" s="98"/>
      <c r="Q450" s="95"/>
      <c r="R450" s="128"/>
      <c r="S450" s="95"/>
      <c r="T450" s="95"/>
      <c r="U450" s="96"/>
      <c r="V450" s="96"/>
      <c r="W450" s="96"/>
      <c r="X450" s="96"/>
      <c r="Y450" s="96"/>
      <c r="Z450" s="97"/>
    </row>
    <row r="451" spans="6:26" x14ac:dyDescent="0.25">
      <c r="F451" s="103"/>
      <c r="G451" s="104"/>
      <c r="H451" s="104"/>
      <c r="I451" s="104"/>
      <c r="J451" s="104"/>
      <c r="K451" s="104"/>
      <c r="L451" s="140"/>
      <c r="M451" s="101"/>
      <c r="N451" s="127"/>
      <c r="O451" s="95"/>
      <c r="P451" s="98"/>
      <c r="Q451" s="95"/>
      <c r="R451" s="128"/>
      <c r="S451" s="95"/>
      <c r="T451" s="95"/>
      <c r="U451" s="96"/>
      <c r="V451" s="96"/>
      <c r="W451" s="96"/>
      <c r="X451" s="96"/>
      <c r="Y451" s="96"/>
      <c r="Z451" s="97"/>
    </row>
    <row r="452" spans="6:26" x14ac:dyDescent="0.25">
      <c r="F452" s="103"/>
      <c r="G452" s="104"/>
      <c r="H452" s="104"/>
      <c r="I452" s="104"/>
      <c r="J452" s="104"/>
      <c r="K452" s="104"/>
      <c r="L452" s="140"/>
      <c r="M452" s="101"/>
      <c r="N452" s="127"/>
      <c r="O452" s="95"/>
      <c r="P452" s="98"/>
      <c r="Q452" s="95"/>
      <c r="R452" s="128"/>
      <c r="S452" s="95"/>
      <c r="T452" s="95"/>
      <c r="U452" s="96"/>
      <c r="V452" s="96"/>
      <c r="W452" s="96"/>
      <c r="X452" s="96"/>
      <c r="Y452" s="96"/>
      <c r="Z452" s="97"/>
    </row>
    <row r="453" spans="6:26" x14ac:dyDescent="0.25">
      <c r="F453" s="103"/>
      <c r="G453" s="104"/>
      <c r="H453" s="104"/>
      <c r="I453" s="104"/>
      <c r="J453" s="104"/>
      <c r="K453" s="104"/>
      <c r="L453" s="140"/>
      <c r="M453" s="101"/>
      <c r="N453" s="127"/>
      <c r="O453" s="95"/>
      <c r="P453" s="98"/>
      <c r="Q453" s="95"/>
      <c r="R453" s="128"/>
      <c r="S453" s="95"/>
      <c r="T453" s="95"/>
      <c r="U453" s="96"/>
      <c r="V453" s="96"/>
      <c r="W453" s="96"/>
      <c r="X453" s="96"/>
      <c r="Y453" s="96"/>
      <c r="Z453" s="97"/>
    </row>
    <row r="454" spans="6:26" x14ac:dyDescent="0.25">
      <c r="F454" s="103"/>
      <c r="G454" s="104"/>
      <c r="H454" s="104"/>
      <c r="I454" s="104"/>
      <c r="J454" s="104"/>
      <c r="K454" s="104"/>
      <c r="L454" s="140"/>
      <c r="M454" s="101"/>
      <c r="N454" s="127"/>
      <c r="O454" s="95"/>
      <c r="P454" s="98"/>
      <c r="Q454" s="95"/>
      <c r="R454" s="128"/>
      <c r="S454" s="95"/>
      <c r="T454" s="95"/>
      <c r="U454" s="96"/>
      <c r="V454" s="96"/>
      <c r="W454" s="96"/>
      <c r="X454" s="96"/>
      <c r="Y454" s="96"/>
      <c r="Z454" s="97"/>
    </row>
    <row r="455" spans="6:26" x14ac:dyDescent="0.25">
      <c r="F455" s="103"/>
      <c r="G455" s="104"/>
      <c r="H455" s="104"/>
      <c r="I455" s="104"/>
      <c r="J455" s="104"/>
      <c r="K455" s="104"/>
      <c r="L455" s="140"/>
      <c r="M455" s="101"/>
      <c r="N455" s="127"/>
      <c r="O455" s="95"/>
      <c r="P455" s="98"/>
      <c r="Q455" s="95"/>
      <c r="R455" s="128"/>
      <c r="S455" s="95"/>
      <c r="T455" s="95"/>
      <c r="U455" s="96"/>
      <c r="V455" s="96"/>
      <c r="W455" s="96"/>
      <c r="X455" s="96"/>
      <c r="Y455" s="96"/>
      <c r="Z455" s="97"/>
    </row>
    <row r="456" spans="6:26" x14ac:dyDescent="0.25">
      <c r="F456" s="103"/>
      <c r="G456" s="104"/>
      <c r="H456" s="104"/>
      <c r="I456" s="104"/>
      <c r="J456" s="104"/>
      <c r="K456" s="104"/>
      <c r="L456" s="140"/>
      <c r="M456" s="101"/>
      <c r="N456" s="127"/>
      <c r="O456" s="95"/>
      <c r="P456" s="98"/>
      <c r="Q456" s="95"/>
      <c r="R456" s="128"/>
      <c r="S456" s="95"/>
      <c r="T456" s="95"/>
      <c r="U456" s="96"/>
      <c r="V456" s="96"/>
      <c r="W456" s="96"/>
      <c r="X456" s="96"/>
      <c r="Y456" s="96"/>
      <c r="Z456" s="97"/>
    </row>
    <row r="457" spans="6:26" x14ac:dyDescent="0.25">
      <c r="F457" s="103"/>
      <c r="G457" s="104"/>
      <c r="H457" s="104"/>
      <c r="I457" s="104"/>
      <c r="J457" s="104"/>
      <c r="K457" s="104"/>
      <c r="L457" s="140"/>
      <c r="M457" s="101"/>
      <c r="N457" s="127"/>
      <c r="O457" s="95"/>
      <c r="P457" s="98"/>
      <c r="Q457" s="95"/>
      <c r="R457" s="128"/>
      <c r="S457" s="95"/>
      <c r="T457" s="95"/>
      <c r="U457" s="96"/>
      <c r="V457" s="96"/>
      <c r="W457" s="96"/>
      <c r="X457" s="96"/>
      <c r="Y457" s="96"/>
      <c r="Z457" s="97"/>
    </row>
    <row r="458" spans="6:26" x14ac:dyDescent="0.25">
      <c r="F458" s="103"/>
      <c r="G458" s="104"/>
      <c r="H458" s="104"/>
      <c r="I458" s="104"/>
      <c r="J458" s="104"/>
      <c r="K458" s="104"/>
      <c r="L458" s="140"/>
      <c r="M458" s="101"/>
      <c r="N458" s="127"/>
      <c r="O458" s="95"/>
      <c r="P458" s="98"/>
      <c r="Q458" s="95"/>
      <c r="R458" s="128"/>
      <c r="S458" s="95"/>
      <c r="T458" s="95"/>
      <c r="U458" s="96"/>
      <c r="V458" s="96"/>
      <c r="W458" s="96"/>
      <c r="X458" s="96"/>
      <c r="Y458" s="96"/>
      <c r="Z458" s="97"/>
    </row>
    <row r="459" spans="6:26" x14ac:dyDescent="0.25">
      <c r="F459" s="103"/>
      <c r="G459" s="104"/>
      <c r="H459" s="104"/>
      <c r="I459" s="104"/>
      <c r="J459" s="104"/>
      <c r="K459" s="104"/>
      <c r="L459" s="140"/>
      <c r="M459" s="101"/>
      <c r="N459" s="127"/>
      <c r="O459" s="95"/>
      <c r="P459" s="98"/>
      <c r="Q459" s="95"/>
      <c r="R459" s="128"/>
      <c r="S459" s="95"/>
      <c r="T459" s="95"/>
      <c r="U459" s="96"/>
      <c r="V459" s="96"/>
      <c r="W459" s="96"/>
      <c r="X459" s="96"/>
      <c r="Y459" s="96"/>
      <c r="Z459" s="97"/>
    </row>
    <row r="460" spans="6:26" x14ac:dyDescent="0.25">
      <c r="F460" s="103"/>
      <c r="G460" s="104"/>
      <c r="H460" s="104"/>
      <c r="I460" s="104"/>
      <c r="J460" s="104"/>
      <c r="K460" s="104"/>
      <c r="L460" s="140"/>
      <c r="M460" s="101"/>
      <c r="N460" s="127"/>
      <c r="O460" s="95"/>
      <c r="P460" s="98"/>
      <c r="Q460" s="95"/>
      <c r="R460" s="128"/>
      <c r="S460" s="95"/>
      <c r="T460" s="95"/>
      <c r="U460" s="96"/>
      <c r="V460" s="96"/>
      <c r="W460" s="96"/>
      <c r="X460" s="96"/>
      <c r="Y460" s="96"/>
      <c r="Z460" s="97"/>
    </row>
    <row r="461" spans="6:26" x14ac:dyDescent="0.25">
      <c r="F461" s="103"/>
      <c r="G461" s="104"/>
      <c r="H461" s="104"/>
      <c r="I461" s="104"/>
      <c r="J461" s="104"/>
      <c r="K461" s="104"/>
      <c r="L461" s="140"/>
      <c r="M461" s="101"/>
      <c r="N461" s="127"/>
      <c r="O461" s="95"/>
      <c r="P461" s="98"/>
      <c r="Q461" s="95"/>
      <c r="R461" s="128"/>
      <c r="S461" s="95"/>
      <c r="T461" s="95"/>
      <c r="U461" s="96"/>
      <c r="V461" s="96"/>
      <c r="W461" s="96"/>
      <c r="X461" s="96"/>
      <c r="Y461" s="96"/>
      <c r="Z461" s="97"/>
    </row>
    <row r="462" spans="6:26" x14ac:dyDescent="0.25">
      <c r="F462" s="103"/>
      <c r="G462" s="104"/>
      <c r="H462" s="104"/>
      <c r="I462" s="104"/>
      <c r="J462" s="104"/>
      <c r="K462" s="104"/>
      <c r="L462" s="140"/>
      <c r="M462" s="101"/>
      <c r="N462" s="127"/>
      <c r="O462" s="95"/>
      <c r="P462" s="98"/>
      <c r="Q462" s="95"/>
      <c r="R462" s="128"/>
      <c r="S462" s="95"/>
      <c r="T462" s="95"/>
      <c r="U462" s="96"/>
      <c r="V462" s="96"/>
      <c r="W462" s="96"/>
      <c r="X462" s="96"/>
      <c r="Y462" s="96"/>
      <c r="Z462" s="97"/>
    </row>
    <row r="463" spans="6:26" x14ac:dyDescent="0.25">
      <c r="F463" s="103"/>
      <c r="G463" s="104"/>
      <c r="H463" s="104"/>
      <c r="I463" s="104"/>
      <c r="J463" s="104"/>
      <c r="K463" s="104"/>
      <c r="L463" s="140"/>
      <c r="M463" s="101"/>
      <c r="N463" s="127"/>
      <c r="O463" s="95"/>
      <c r="P463" s="98"/>
      <c r="Q463" s="95"/>
      <c r="R463" s="128"/>
      <c r="S463" s="95"/>
      <c r="T463" s="95"/>
      <c r="U463" s="96"/>
      <c r="V463" s="96"/>
      <c r="W463" s="96"/>
      <c r="X463" s="96"/>
      <c r="Y463" s="96"/>
      <c r="Z463" s="97"/>
    </row>
    <row r="464" spans="6:26" x14ac:dyDescent="0.25">
      <c r="F464" s="103"/>
      <c r="G464" s="104"/>
      <c r="H464" s="104"/>
      <c r="I464" s="104"/>
      <c r="J464" s="104"/>
      <c r="K464" s="104"/>
      <c r="L464" s="140"/>
      <c r="M464" s="101"/>
      <c r="N464" s="127"/>
      <c r="O464" s="95"/>
      <c r="P464" s="98"/>
      <c r="Q464" s="95"/>
      <c r="R464" s="128"/>
      <c r="S464" s="95"/>
      <c r="T464" s="95"/>
      <c r="U464" s="96"/>
      <c r="V464" s="96"/>
      <c r="W464" s="96"/>
      <c r="X464" s="96"/>
      <c r="Y464" s="96"/>
      <c r="Z464" s="97"/>
    </row>
    <row r="465" spans="6:26" x14ac:dyDescent="0.25">
      <c r="F465" s="103"/>
      <c r="G465" s="104"/>
      <c r="H465" s="104"/>
      <c r="I465" s="104"/>
      <c r="J465" s="104"/>
      <c r="K465" s="104"/>
      <c r="L465" s="140"/>
      <c r="M465" s="101"/>
      <c r="N465" s="127"/>
      <c r="O465" s="95"/>
      <c r="P465" s="98"/>
      <c r="Q465" s="95"/>
      <c r="R465" s="128"/>
      <c r="S465" s="95"/>
      <c r="T465" s="95"/>
      <c r="U465" s="96"/>
      <c r="V465" s="96"/>
      <c r="W465" s="96"/>
      <c r="X465" s="96"/>
      <c r="Y465" s="96"/>
      <c r="Z465" s="97"/>
    </row>
    <row r="466" spans="6:26" x14ac:dyDescent="0.25">
      <c r="F466" s="103"/>
      <c r="G466" s="104"/>
      <c r="H466" s="104"/>
      <c r="I466" s="104"/>
      <c r="J466" s="104"/>
      <c r="K466" s="104"/>
      <c r="L466" s="140"/>
      <c r="M466" s="101"/>
      <c r="N466" s="127"/>
      <c r="O466" s="95"/>
      <c r="P466" s="98"/>
      <c r="Q466" s="95"/>
      <c r="R466" s="128"/>
      <c r="S466" s="95"/>
      <c r="T466" s="95"/>
      <c r="U466" s="96"/>
      <c r="V466" s="96"/>
      <c r="W466" s="96"/>
      <c r="X466" s="96"/>
      <c r="Y466" s="96"/>
      <c r="Z466" s="97"/>
    </row>
    <row r="467" spans="6:26" x14ac:dyDescent="0.25">
      <c r="F467" s="103"/>
      <c r="G467" s="104"/>
      <c r="H467" s="104"/>
      <c r="I467" s="104"/>
      <c r="J467" s="104"/>
      <c r="K467" s="104"/>
      <c r="L467" s="140"/>
      <c r="M467" s="101"/>
      <c r="N467" s="127"/>
      <c r="O467" s="95"/>
      <c r="P467" s="98"/>
      <c r="Q467" s="95"/>
      <c r="R467" s="128"/>
      <c r="S467" s="95"/>
      <c r="T467" s="95"/>
      <c r="U467" s="96"/>
      <c r="V467" s="96"/>
      <c r="W467" s="96"/>
      <c r="X467" s="96"/>
      <c r="Y467" s="96"/>
      <c r="Z467" s="97"/>
    </row>
    <row r="468" spans="6:26" x14ac:dyDescent="0.25">
      <c r="F468" s="103"/>
      <c r="G468" s="104"/>
      <c r="H468" s="104"/>
      <c r="I468" s="104"/>
      <c r="J468" s="104"/>
      <c r="K468" s="104"/>
      <c r="L468" s="140"/>
      <c r="M468" s="101"/>
      <c r="N468" s="127"/>
      <c r="O468" s="95"/>
      <c r="P468" s="98"/>
      <c r="Q468" s="95"/>
      <c r="R468" s="128"/>
      <c r="S468" s="95"/>
      <c r="T468" s="95"/>
      <c r="U468" s="96"/>
      <c r="V468" s="96"/>
      <c r="W468" s="96"/>
      <c r="X468" s="96"/>
      <c r="Y468" s="96"/>
      <c r="Z468" s="97"/>
    </row>
    <row r="469" spans="6:26" x14ac:dyDescent="0.25">
      <c r="F469" s="103"/>
      <c r="G469" s="104"/>
      <c r="H469" s="104"/>
      <c r="I469" s="104"/>
      <c r="J469" s="104"/>
      <c r="K469" s="104"/>
      <c r="L469" s="140"/>
      <c r="M469" s="101"/>
      <c r="N469" s="127"/>
      <c r="O469" s="95"/>
      <c r="P469" s="98"/>
      <c r="Q469" s="95"/>
      <c r="R469" s="128"/>
      <c r="S469" s="95"/>
      <c r="T469" s="95"/>
      <c r="U469" s="96"/>
      <c r="V469" s="96"/>
      <c r="W469" s="96"/>
      <c r="X469" s="96"/>
      <c r="Y469" s="96"/>
      <c r="Z469" s="97"/>
    </row>
    <row r="470" spans="6:26" x14ac:dyDescent="0.25">
      <c r="F470" s="103"/>
      <c r="G470" s="104"/>
      <c r="H470" s="104"/>
      <c r="I470" s="104"/>
      <c r="J470" s="104"/>
      <c r="K470" s="104"/>
      <c r="L470" s="140"/>
      <c r="M470" s="101"/>
      <c r="N470" s="127"/>
      <c r="O470" s="95"/>
      <c r="P470" s="98"/>
      <c r="Q470" s="95"/>
      <c r="R470" s="128"/>
      <c r="S470" s="95"/>
      <c r="T470" s="95"/>
      <c r="U470" s="96"/>
      <c r="V470" s="96"/>
      <c r="W470" s="96"/>
      <c r="X470" s="96"/>
      <c r="Y470" s="96"/>
      <c r="Z470" s="97"/>
    </row>
    <row r="471" spans="6:26" x14ac:dyDescent="0.25">
      <c r="F471" s="103"/>
      <c r="G471" s="104"/>
      <c r="H471" s="104"/>
      <c r="I471" s="104"/>
      <c r="J471" s="104"/>
      <c r="K471" s="104"/>
      <c r="L471" s="140"/>
      <c r="M471" s="101"/>
      <c r="N471" s="127"/>
      <c r="O471" s="95"/>
      <c r="P471" s="98"/>
      <c r="Q471" s="95"/>
      <c r="R471" s="128"/>
      <c r="S471" s="95"/>
      <c r="T471" s="95"/>
      <c r="U471" s="96"/>
      <c r="V471" s="96"/>
      <c r="W471" s="96"/>
      <c r="X471" s="96"/>
      <c r="Y471" s="96"/>
      <c r="Z471" s="97"/>
    </row>
    <row r="472" spans="6:26" x14ac:dyDescent="0.25">
      <c r="F472" s="103"/>
      <c r="G472" s="104"/>
      <c r="H472" s="104"/>
      <c r="I472" s="104"/>
      <c r="J472" s="104"/>
      <c r="K472" s="104"/>
      <c r="L472" s="140"/>
      <c r="M472" s="101"/>
      <c r="N472" s="127"/>
      <c r="O472" s="95"/>
      <c r="P472" s="98"/>
      <c r="Q472" s="95"/>
      <c r="R472" s="128"/>
      <c r="S472" s="95"/>
      <c r="T472" s="95"/>
      <c r="U472" s="96"/>
      <c r="V472" s="96"/>
      <c r="W472" s="96"/>
      <c r="X472" s="96"/>
      <c r="Y472" s="96"/>
      <c r="Z472" s="97"/>
    </row>
    <row r="473" spans="6:26" x14ac:dyDescent="0.25">
      <c r="F473" s="103"/>
      <c r="G473" s="104"/>
      <c r="H473" s="104"/>
      <c r="I473" s="104"/>
      <c r="J473" s="104"/>
      <c r="K473" s="104"/>
      <c r="L473" s="140"/>
      <c r="M473" s="101"/>
      <c r="N473" s="127"/>
      <c r="O473" s="95"/>
      <c r="P473" s="98"/>
      <c r="Q473" s="95"/>
      <c r="R473" s="128"/>
      <c r="S473" s="95"/>
      <c r="T473" s="95"/>
      <c r="U473" s="96"/>
      <c r="V473" s="96"/>
      <c r="W473" s="96"/>
      <c r="X473" s="96"/>
      <c r="Y473" s="96"/>
      <c r="Z473" s="97"/>
    </row>
    <row r="474" spans="6:26" x14ac:dyDescent="0.25">
      <c r="F474" s="103"/>
      <c r="G474" s="104"/>
      <c r="H474" s="104"/>
      <c r="I474" s="104"/>
      <c r="J474" s="104"/>
      <c r="K474" s="104"/>
      <c r="L474" s="140"/>
      <c r="M474" s="101"/>
      <c r="N474" s="127"/>
      <c r="O474" s="95"/>
      <c r="P474" s="98"/>
      <c r="Q474" s="95"/>
      <c r="R474" s="128"/>
      <c r="S474" s="95"/>
      <c r="T474" s="95"/>
      <c r="U474" s="96"/>
      <c r="V474" s="96"/>
      <c r="W474" s="96"/>
      <c r="X474" s="96"/>
      <c r="Y474" s="96"/>
      <c r="Z474" s="97"/>
    </row>
    <row r="475" spans="6:26" x14ac:dyDescent="0.25">
      <c r="F475" s="103"/>
      <c r="G475" s="104"/>
      <c r="H475" s="104"/>
      <c r="I475" s="104"/>
      <c r="J475" s="104"/>
      <c r="K475" s="104"/>
      <c r="L475" s="140"/>
      <c r="M475" s="101"/>
      <c r="N475" s="127"/>
      <c r="O475" s="95"/>
      <c r="P475" s="98"/>
      <c r="Q475" s="95"/>
      <c r="R475" s="128"/>
      <c r="S475" s="95"/>
      <c r="T475" s="95"/>
      <c r="U475" s="96"/>
      <c r="V475" s="96"/>
      <c r="W475" s="96"/>
      <c r="X475" s="96"/>
      <c r="Y475" s="96"/>
      <c r="Z475" s="97"/>
    </row>
    <row r="476" spans="6:26" x14ac:dyDescent="0.25">
      <c r="F476" s="103"/>
      <c r="G476" s="104"/>
      <c r="H476" s="104"/>
      <c r="I476" s="104"/>
      <c r="J476" s="104"/>
      <c r="K476" s="104"/>
      <c r="L476" s="140"/>
      <c r="M476" s="101"/>
      <c r="N476" s="127"/>
      <c r="O476" s="95"/>
      <c r="P476" s="98"/>
      <c r="Q476" s="95"/>
      <c r="R476" s="128"/>
      <c r="S476" s="95"/>
      <c r="T476" s="95"/>
      <c r="U476" s="96"/>
      <c r="V476" s="96"/>
      <c r="W476" s="96"/>
      <c r="X476" s="96"/>
      <c r="Y476" s="96"/>
      <c r="Z476" s="97"/>
    </row>
    <row r="477" spans="6:26" x14ac:dyDescent="0.25">
      <c r="F477" s="103"/>
      <c r="G477" s="104"/>
      <c r="H477" s="104"/>
      <c r="I477" s="104"/>
      <c r="J477" s="104"/>
      <c r="K477" s="104"/>
      <c r="L477" s="140"/>
      <c r="M477" s="101"/>
      <c r="N477" s="127"/>
      <c r="O477" s="95"/>
      <c r="P477" s="98"/>
      <c r="Q477" s="95"/>
      <c r="R477" s="128"/>
      <c r="S477" s="95"/>
      <c r="T477" s="95"/>
      <c r="U477" s="96"/>
      <c r="V477" s="96"/>
      <c r="W477" s="96"/>
      <c r="X477" s="96"/>
      <c r="Y477" s="96"/>
      <c r="Z477" s="97"/>
    </row>
    <row r="478" spans="6:26" x14ac:dyDescent="0.25">
      <c r="F478" s="103"/>
      <c r="G478" s="104"/>
      <c r="H478" s="104"/>
      <c r="I478" s="104"/>
      <c r="J478" s="104"/>
      <c r="K478" s="104"/>
      <c r="L478" s="140"/>
      <c r="M478" s="101"/>
      <c r="N478" s="127"/>
      <c r="O478" s="95"/>
      <c r="P478" s="98"/>
      <c r="Q478" s="95"/>
      <c r="R478" s="128"/>
      <c r="S478" s="95"/>
      <c r="T478" s="95"/>
      <c r="U478" s="96"/>
      <c r="V478" s="96"/>
      <c r="W478" s="96"/>
      <c r="X478" s="96"/>
      <c r="Y478" s="96"/>
      <c r="Z478" s="97"/>
    </row>
    <row r="479" spans="6:26" x14ac:dyDescent="0.25">
      <c r="F479" s="103"/>
      <c r="G479" s="104"/>
      <c r="H479" s="104"/>
      <c r="I479" s="104"/>
      <c r="J479" s="104"/>
      <c r="K479" s="104"/>
      <c r="L479" s="140"/>
      <c r="M479" s="101"/>
      <c r="N479" s="127"/>
      <c r="O479" s="95"/>
      <c r="P479" s="98"/>
      <c r="Q479" s="95"/>
      <c r="R479" s="128"/>
      <c r="S479" s="95"/>
      <c r="T479" s="95"/>
      <c r="U479" s="96"/>
      <c r="V479" s="96"/>
      <c r="W479" s="96"/>
      <c r="X479" s="96"/>
      <c r="Y479" s="96"/>
      <c r="Z479" s="97"/>
    </row>
    <row r="480" spans="6:26" x14ac:dyDescent="0.25">
      <c r="F480" s="103"/>
      <c r="G480" s="104"/>
      <c r="H480" s="104"/>
      <c r="I480" s="104"/>
      <c r="J480" s="104"/>
      <c r="K480" s="104"/>
      <c r="L480" s="140"/>
      <c r="M480" s="101"/>
      <c r="N480" s="127"/>
      <c r="O480" s="95"/>
      <c r="P480" s="98"/>
      <c r="Q480" s="95"/>
      <c r="R480" s="128"/>
      <c r="S480" s="95"/>
      <c r="T480" s="95"/>
      <c r="U480" s="96"/>
      <c r="V480" s="96"/>
      <c r="W480" s="96"/>
      <c r="X480" s="96"/>
      <c r="Y480" s="96"/>
      <c r="Z480" s="97"/>
    </row>
    <row r="481" spans="6:26" x14ac:dyDescent="0.25">
      <c r="F481" s="103"/>
      <c r="G481" s="104"/>
      <c r="H481" s="104"/>
      <c r="I481" s="104"/>
      <c r="J481" s="104"/>
      <c r="K481" s="104"/>
      <c r="L481" s="140"/>
      <c r="M481" s="101"/>
      <c r="N481" s="127"/>
      <c r="O481" s="95"/>
      <c r="P481" s="98"/>
      <c r="Q481" s="95"/>
      <c r="R481" s="128"/>
      <c r="S481" s="95"/>
      <c r="T481" s="95"/>
      <c r="U481" s="96"/>
      <c r="V481" s="96"/>
      <c r="W481" s="96"/>
      <c r="X481" s="96"/>
      <c r="Y481" s="96"/>
      <c r="Z481" s="97"/>
    </row>
    <row r="482" spans="6:26" x14ac:dyDescent="0.25">
      <c r="F482" s="103"/>
      <c r="G482" s="104"/>
      <c r="H482" s="104"/>
      <c r="I482" s="104"/>
      <c r="J482" s="104"/>
      <c r="K482" s="104"/>
      <c r="L482" s="140"/>
      <c r="M482" s="101"/>
      <c r="N482" s="127"/>
      <c r="O482" s="95"/>
      <c r="P482" s="98"/>
      <c r="Q482" s="95"/>
      <c r="R482" s="128"/>
      <c r="S482" s="95"/>
      <c r="T482" s="95"/>
      <c r="U482" s="96"/>
      <c r="V482" s="96"/>
      <c r="W482" s="96"/>
      <c r="X482" s="96"/>
      <c r="Y482" s="96"/>
      <c r="Z482" s="97"/>
    </row>
    <row r="483" spans="6:26" x14ac:dyDescent="0.25">
      <c r="F483" s="103"/>
      <c r="G483" s="104"/>
      <c r="H483" s="104"/>
      <c r="I483" s="104"/>
      <c r="J483" s="104"/>
      <c r="K483" s="104"/>
      <c r="L483" s="140"/>
      <c r="M483" s="101"/>
      <c r="N483" s="127"/>
      <c r="O483" s="95"/>
      <c r="P483" s="98"/>
      <c r="Q483" s="95"/>
      <c r="R483" s="128"/>
      <c r="S483" s="95"/>
      <c r="T483" s="95"/>
      <c r="U483" s="96"/>
      <c r="V483" s="96"/>
      <c r="W483" s="96"/>
      <c r="X483" s="96"/>
      <c r="Y483" s="96"/>
      <c r="Z483" s="97"/>
    </row>
    <row r="484" spans="6:26" x14ac:dyDescent="0.25">
      <c r="F484" s="103"/>
      <c r="G484" s="104"/>
      <c r="H484" s="104"/>
      <c r="I484" s="104"/>
      <c r="J484" s="104"/>
      <c r="K484" s="104"/>
      <c r="L484" s="140"/>
      <c r="M484" s="101"/>
      <c r="N484" s="127"/>
      <c r="O484" s="95"/>
      <c r="P484" s="98"/>
      <c r="Q484" s="95"/>
      <c r="R484" s="128"/>
      <c r="S484" s="95"/>
      <c r="T484" s="95"/>
      <c r="U484" s="96"/>
      <c r="V484" s="96"/>
      <c r="W484" s="96"/>
      <c r="X484" s="96"/>
      <c r="Y484" s="96"/>
      <c r="Z484" s="97"/>
    </row>
    <row r="485" spans="6:26" x14ac:dyDescent="0.25">
      <c r="F485" s="103"/>
      <c r="G485" s="104"/>
      <c r="H485" s="104"/>
      <c r="I485" s="104"/>
      <c r="J485" s="104"/>
      <c r="K485" s="104"/>
      <c r="L485" s="140"/>
      <c r="M485" s="101"/>
      <c r="N485" s="127"/>
      <c r="O485" s="95"/>
      <c r="P485" s="98"/>
      <c r="Q485" s="95"/>
      <c r="R485" s="128"/>
      <c r="S485" s="95"/>
      <c r="T485" s="95"/>
      <c r="U485" s="96"/>
      <c r="V485" s="96"/>
      <c r="W485" s="96"/>
      <c r="X485" s="96"/>
      <c r="Y485" s="96"/>
      <c r="Z485" s="97"/>
    </row>
    <row r="486" spans="6:26" x14ac:dyDescent="0.25">
      <c r="F486" s="103"/>
      <c r="G486" s="104"/>
      <c r="H486" s="104"/>
      <c r="I486" s="104"/>
      <c r="J486" s="104"/>
      <c r="K486" s="104"/>
      <c r="L486" s="140"/>
      <c r="M486" s="101"/>
      <c r="N486" s="127"/>
      <c r="O486" s="95"/>
      <c r="P486" s="98"/>
      <c r="Q486" s="95"/>
      <c r="R486" s="128"/>
      <c r="S486" s="95"/>
      <c r="T486" s="95"/>
      <c r="U486" s="96"/>
      <c r="V486" s="96"/>
      <c r="W486" s="96"/>
      <c r="X486" s="96"/>
      <c r="Y486" s="96"/>
      <c r="Z486" s="97"/>
    </row>
    <row r="487" spans="6:26" x14ac:dyDescent="0.25">
      <c r="F487" s="103"/>
      <c r="G487" s="104"/>
      <c r="H487" s="104"/>
      <c r="I487" s="104"/>
      <c r="J487" s="104"/>
      <c r="K487" s="104"/>
      <c r="L487" s="140"/>
      <c r="M487" s="101"/>
      <c r="N487" s="127"/>
      <c r="O487" s="95"/>
      <c r="P487" s="98"/>
      <c r="Q487" s="95"/>
      <c r="R487" s="128"/>
      <c r="S487" s="95"/>
      <c r="T487" s="95"/>
      <c r="U487" s="96"/>
      <c r="V487" s="96"/>
      <c r="W487" s="96"/>
      <c r="X487" s="96"/>
      <c r="Y487" s="96"/>
      <c r="Z487" s="97"/>
    </row>
    <row r="488" spans="6:26" x14ac:dyDescent="0.25">
      <c r="F488" s="103"/>
      <c r="G488" s="104"/>
      <c r="H488" s="104"/>
      <c r="I488" s="104"/>
      <c r="J488" s="104"/>
      <c r="K488" s="104"/>
      <c r="L488" s="140"/>
      <c r="M488" s="101"/>
      <c r="N488" s="127"/>
      <c r="O488" s="95"/>
      <c r="P488" s="98"/>
      <c r="Q488" s="95"/>
      <c r="R488" s="128"/>
      <c r="S488" s="95"/>
      <c r="T488" s="95"/>
      <c r="U488" s="96"/>
      <c r="V488" s="96"/>
      <c r="W488" s="96"/>
      <c r="X488" s="96"/>
      <c r="Y488" s="96"/>
      <c r="Z488" s="97"/>
    </row>
    <row r="489" spans="6:26" x14ac:dyDescent="0.25">
      <c r="F489" s="103"/>
      <c r="G489" s="104"/>
      <c r="H489" s="104"/>
      <c r="I489" s="104"/>
      <c r="J489" s="104"/>
      <c r="K489" s="104"/>
      <c r="L489" s="140"/>
      <c r="M489" s="101"/>
      <c r="N489" s="127"/>
      <c r="O489" s="95"/>
      <c r="P489" s="98"/>
      <c r="Q489" s="95"/>
      <c r="R489" s="128"/>
      <c r="S489" s="95"/>
      <c r="T489" s="95"/>
      <c r="U489" s="96"/>
      <c r="V489" s="96"/>
      <c r="W489" s="96"/>
      <c r="X489" s="96"/>
      <c r="Y489" s="96"/>
      <c r="Z489" s="97"/>
    </row>
    <row r="490" spans="6:26" x14ac:dyDescent="0.25">
      <c r="F490" s="103"/>
      <c r="G490" s="104"/>
      <c r="H490" s="104"/>
      <c r="I490" s="104"/>
      <c r="J490" s="104"/>
      <c r="K490" s="104"/>
      <c r="L490" s="140"/>
      <c r="M490" s="101"/>
      <c r="N490" s="127"/>
      <c r="O490" s="95"/>
      <c r="P490" s="98"/>
      <c r="Q490" s="95"/>
      <c r="R490" s="128"/>
      <c r="S490" s="95"/>
      <c r="T490" s="95"/>
      <c r="U490" s="96"/>
      <c r="V490" s="96"/>
      <c r="W490" s="96"/>
      <c r="X490" s="96"/>
      <c r="Y490" s="96"/>
      <c r="Z490" s="97"/>
    </row>
    <row r="491" spans="6:26" x14ac:dyDescent="0.25">
      <c r="F491" s="103"/>
      <c r="G491" s="104"/>
      <c r="H491" s="104"/>
      <c r="I491" s="104"/>
      <c r="J491" s="104"/>
      <c r="K491" s="104"/>
      <c r="L491" s="140"/>
      <c r="M491" s="101"/>
      <c r="N491" s="127"/>
      <c r="O491" s="95"/>
      <c r="P491" s="98"/>
      <c r="Q491" s="95"/>
      <c r="R491" s="128"/>
      <c r="S491" s="95"/>
      <c r="T491" s="95"/>
      <c r="U491" s="96"/>
      <c r="V491" s="96"/>
      <c r="W491" s="96"/>
      <c r="X491" s="96"/>
      <c r="Y491" s="96"/>
      <c r="Z491" s="97"/>
    </row>
    <row r="492" spans="6:26" x14ac:dyDescent="0.25">
      <c r="F492" s="103"/>
      <c r="G492" s="104"/>
      <c r="H492" s="104"/>
      <c r="I492" s="104"/>
      <c r="J492" s="104"/>
      <c r="K492" s="104"/>
      <c r="L492" s="140"/>
      <c r="M492" s="101"/>
      <c r="N492" s="127"/>
      <c r="O492" s="95"/>
      <c r="P492" s="98"/>
      <c r="Q492" s="95"/>
      <c r="R492" s="128"/>
      <c r="S492" s="95"/>
      <c r="T492" s="95"/>
      <c r="U492" s="96"/>
      <c r="V492" s="96"/>
      <c r="W492" s="96"/>
      <c r="X492" s="96"/>
      <c r="Y492" s="96"/>
      <c r="Z492" s="97"/>
    </row>
    <row r="493" spans="6:26" x14ac:dyDescent="0.25">
      <c r="F493" s="103"/>
      <c r="G493" s="104"/>
      <c r="H493" s="104"/>
      <c r="I493" s="104"/>
      <c r="J493" s="104"/>
      <c r="K493" s="104"/>
      <c r="L493" s="140"/>
      <c r="M493" s="101"/>
      <c r="N493" s="127"/>
      <c r="O493" s="95"/>
      <c r="P493" s="98"/>
      <c r="Q493" s="95"/>
      <c r="R493" s="128"/>
      <c r="S493" s="95"/>
      <c r="T493" s="95"/>
      <c r="U493" s="96"/>
      <c r="V493" s="96"/>
      <c r="W493" s="96"/>
      <c r="X493" s="96"/>
      <c r="Y493" s="96"/>
      <c r="Z493" s="97"/>
    </row>
    <row r="494" spans="6:26" x14ac:dyDescent="0.25">
      <c r="F494" s="103"/>
      <c r="G494" s="104"/>
      <c r="H494" s="104"/>
      <c r="I494" s="104"/>
      <c r="J494" s="104"/>
      <c r="K494" s="104"/>
      <c r="L494" s="140"/>
      <c r="M494" s="101"/>
      <c r="N494" s="127"/>
      <c r="O494" s="95"/>
      <c r="P494" s="98"/>
      <c r="Q494" s="95"/>
      <c r="R494" s="128"/>
      <c r="S494" s="95"/>
      <c r="T494" s="95"/>
      <c r="U494" s="96"/>
      <c r="V494" s="96"/>
      <c r="W494" s="96"/>
      <c r="X494" s="96"/>
      <c r="Y494" s="96"/>
      <c r="Z494" s="97"/>
    </row>
    <row r="495" spans="6:26" x14ac:dyDescent="0.25">
      <c r="F495" s="103"/>
      <c r="G495" s="104"/>
      <c r="H495" s="104"/>
      <c r="I495" s="104"/>
      <c r="J495" s="104"/>
      <c r="K495" s="104"/>
      <c r="L495" s="140"/>
      <c r="M495" s="101"/>
      <c r="N495" s="127"/>
      <c r="O495" s="95"/>
      <c r="P495" s="98"/>
      <c r="Q495" s="95"/>
      <c r="R495" s="128"/>
      <c r="S495" s="95"/>
      <c r="T495" s="95"/>
      <c r="U495" s="96"/>
      <c r="V495" s="96"/>
      <c r="W495" s="96"/>
      <c r="X495" s="96"/>
      <c r="Y495" s="96"/>
      <c r="Z495" s="97"/>
    </row>
    <row r="496" spans="6:26" x14ac:dyDescent="0.25">
      <c r="F496" s="103"/>
      <c r="G496" s="104"/>
      <c r="H496" s="104"/>
      <c r="I496" s="104"/>
      <c r="J496" s="104"/>
      <c r="K496" s="104"/>
      <c r="L496" s="140"/>
      <c r="M496" s="101"/>
      <c r="N496" s="127"/>
      <c r="O496" s="95"/>
      <c r="P496" s="98"/>
      <c r="Q496" s="95"/>
      <c r="R496" s="128"/>
      <c r="S496" s="95"/>
      <c r="T496" s="95"/>
      <c r="U496" s="96"/>
      <c r="V496" s="96"/>
      <c r="W496" s="96"/>
      <c r="X496" s="96"/>
      <c r="Y496" s="96"/>
      <c r="Z496" s="97"/>
    </row>
    <row r="497" spans="6:26" x14ac:dyDescent="0.25">
      <c r="F497" s="103"/>
      <c r="G497" s="104"/>
      <c r="H497" s="104"/>
      <c r="I497" s="104"/>
      <c r="J497" s="104"/>
      <c r="K497" s="104"/>
      <c r="L497" s="140"/>
      <c r="M497" s="101"/>
      <c r="N497" s="127"/>
      <c r="O497" s="95"/>
      <c r="P497" s="98"/>
      <c r="Q497" s="95"/>
      <c r="R497" s="128"/>
      <c r="S497" s="95"/>
      <c r="T497" s="95"/>
      <c r="U497" s="96"/>
      <c r="V497" s="96"/>
      <c r="W497" s="96"/>
      <c r="X497" s="96"/>
      <c r="Y497" s="96"/>
      <c r="Z497" s="97"/>
    </row>
    <row r="498" spans="6:26" x14ac:dyDescent="0.25">
      <c r="F498" s="103"/>
      <c r="G498" s="104"/>
      <c r="H498" s="104"/>
      <c r="I498" s="104"/>
      <c r="J498" s="104"/>
      <c r="K498" s="104"/>
      <c r="L498" s="140"/>
      <c r="M498" s="101"/>
      <c r="N498" s="127"/>
      <c r="O498" s="95"/>
      <c r="P498" s="98"/>
      <c r="Q498" s="95"/>
      <c r="R498" s="128"/>
      <c r="S498" s="95"/>
      <c r="T498" s="95"/>
      <c r="U498" s="96"/>
      <c r="V498" s="96"/>
      <c r="W498" s="96"/>
      <c r="X498" s="96"/>
      <c r="Y498" s="96"/>
      <c r="Z498" s="97"/>
    </row>
    <row r="499" spans="6:26" x14ac:dyDescent="0.25">
      <c r="F499" s="103"/>
      <c r="G499" s="104"/>
      <c r="H499" s="104"/>
      <c r="I499" s="104"/>
      <c r="J499" s="104"/>
      <c r="K499" s="104"/>
      <c r="L499" s="140"/>
      <c r="M499" s="101"/>
      <c r="N499" s="127"/>
      <c r="O499" s="95"/>
      <c r="P499" s="98"/>
      <c r="Q499" s="95"/>
      <c r="R499" s="128"/>
      <c r="S499" s="95"/>
      <c r="T499" s="95"/>
      <c r="U499" s="96"/>
      <c r="V499" s="96"/>
      <c r="W499" s="96"/>
      <c r="X499" s="96"/>
      <c r="Y499" s="96"/>
      <c r="Z499" s="97"/>
    </row>
    <row r="500" spans="6:26" x14ac:dyDescent="0.25">
      <c r="F500" s="103"/>
      <c r="G500" s="104"/>
      <c r="H500" s="104"/>
      <c r="I500" s="104"/>
      <c r="J500" s="104"/>
      <c r="K500" s="104"/>
      <c r="L500" s="140"/>
      <c r="M500" s="101"/>
      <c r="N500" s="127"/>
      <c r="O500" s="95"/>
      <c r="P500" s="98"/>
      <c r="Q500" s="95"/>
      <c r="R500" s="128"/>
      <c r="S500" s="95"/>
      <c r="T500" s="95"/>
      <c r="U500" s="96"/>
      <c r="V500" s="96"/>
      <c r="W500" s="96"/>
      <c r="X500" s="96"/>
      <c r="Y500" s="96"/>
      <c r="Z500" s="97"/>
    </row>
    <row r="501" spans="6:26" x14ac:dyDescent="0.25">
      <c r="F501" s="103"/>
      <c r="G501" s="104"/>
      <c r="H501" s="104"/>
      <c r="I501" s="104"/>
      <c r="J501" s="104"/>
      <c r="K501" s="104"/>
      <c r="L501" s="140"/>
      <c r="M501" s="101"/>
      <c r="N501" s="127"/>
      <c r="O501" s="95"/>
      <c r="P501" s="98"/>
      <c r="Q501" s="95"/>
      <c r="R501" s="128"/>
      <c r="S501" s="95"/>
      <c r="T501" s="95"/>
      <c r="U501" s="96"/>
      <c r="V501" s="96"/>
      <c r="W501" s="96"/>
      <c r="X501" s="96"/>
      <c r="Y501" s="96"/>
      <c r="Z501" s="97"/>
    </row>
    <row r="502" spans="6:26" x14ac:dyDescent="0.25">
      <c r="F502" s="103"/>
      <c r="G502" s="104"/>
      <c r="H502" s="104"/>
      <c r="I502" s="104"/>
      <c r="J502" s="104"/>
      <c r="K502" s="104"/>
      <c r="L502" s="140"/>
      <c r="M502" s="101"/>
      <c r="N502" s="127"/>
      <c r="O502" s="95"/>
      <c r="P502" s="98"/>
      <c r="Q502" s="95"/>
      <c r="R502" s="128"/>
      <c r="S502" s="95"/>
      <c r="T502" s="95"/>
      <c r="U502" s="96"/>
      <c r="V502" s="96"/>
      <c r="W502" s="96"/>
      <c r="X502" s="96"/>
      <c r="Y502" s="96"/>
      <c r="Z502" s="97"/>
    </row>
    <row r="503" spans="6:26" x14ac:dyDescent="0.25">
      <c r="F503" s="103"/>
      <c r="G503" s="104"/>
      <c r="H503" s="104"/>
      <c r="I503" s="104"/>
      <c r="J503" s="104"/>
      <c r="K503" s="104"/>
      <c r="L503" s="140"/>
      <c r="M503" s="101"/>
      <c r="N503" s="127"/>
      <c r="O503" s="95"/>
      <c r="P503" s="98"/>
      <c r="Q503" s="95"/>
      <c r="R503" s="128"/>
      <c r="S503" s="95"/>
      <c r="T503" s="95"/>
      <c r="U503" s="96"/>
      <c r="V503" s="96"/>
      <c r="W503" s="96"/>
      <c r="X503" s="96"/>
      <c r="Y503" s="96"/>
      <c r="Z503" s="97"/>
    </row>
    <row r="504" spans="6:26" x14ac:dyDescent="0.25">
      <c r="F504" s="103"/>
      <c r="G504" s="104"/>
      <c r="H504" s="104"/>
      <c r="I504" s="104"/>
      <c r="J504" s="104"/>
      <c r="K504" s="104"/>
      <c r="L504" s="140"/>
      <c r="M504" s="101"/>
      <c r="N504" s="127"/>
      <c r="O504" s="95"/>
      <c r="P504" s="98"/>
      <c r="Q504" s="95"/>
      <c r="R504" s="128"/>
      <c r="S504" s="95"/>
      <c r="T504" s="95"/>
      <c r="U504" s="96"/>
      <c r="V504" s="96"/>
      <c r="W504" s="96"/>
      <c r="X504" s="96"/>
      <c r="Y504" s="96"/>
      <c r="Z504" s="97"/>
    </row>
    <row r="505" spans="6:26" x14ac:dyDescent="0.25">
      <c r="F505" s="103"/>
      <c r="G505" s="104"/>
      <c r="H505" s="104"/>
      <c r="I505" s="104"/>
      <c r="J505" s="104"/>
      <c r="K505" s="104"/>
      <c r="L505" s="140"/>
      <c r="M505" s="101"/>
      <c r="N505" s="127"/>
      <c r="O505" s="95"/>
      <c r="P505" s="98"/>
      <c r="Q505" s="95"/>
      <c r="R505" s="128"/>
      <c r="S505" s="95"/>
      <c r="T505" s="95"/>
      <c r="U505" s="96"/>
      <c r="V505" s="96"/>
      <c r="W505" s="96"/>
      <c r="X505" s="96"/>
      <c r="Y505" s="96"/>
      <c r="Z505" s="97"/>
    </row>
    <row r="506" spans="6:26" x14ac:dyDescent="0.25">
      <c r="F506" s="103"/>
      <c r="G506" s="104"/>
      <c r="H506" s="104"/>
      <c r="I506" s="104"/>
      <c r="J506" s="104"/>
      <c r="K506" s="104"/>
      <c r="L506" s="140"/>
      <c r="M506" s="101"/>
      <c r="N506" s="127"/>
      <c r="O506" s="95"/>
      <c r="P506" s="98"/>
      <c r="Q506" s="95"/>
      <c r="R506" s="128"/>
      <c r="S506" s="95"/>
      <c r="T506" s="95"/>
      <c r="U506" s="96"/>
      <c r="V506" s="96"/>
      <c r="W506" s="96"/>
      <c r="X506" s="96"/>
      <c r="Y506" s="96"/>
      <c r="Z506" s="97"/>
    </row>
    <row r="507" spans="6:26" x14ac:dyDescent="0.25">
      <c r="F507" s="103"/>
      <c r="G507" s="104"/>
      <c r="H507" s="104"/>
      <c r="I507" s="104"/>
      <c r="J507" s="104"/>
      <c r="K507" s="104"/>
      <c r="L507" s="140"/>
      <c r="M507" s="101"/>
      <c r="N507" s="127"/>
      <c r="O507" s="95"/>
      <c r="P507" s="98"/>
      <c r="Q507" s="95"/>
      <c r="R507" s="128"/>
      <c r="S507" s="95"/>
      <c r="T507" s="95"/>
      <c r="U507" s="96"/>
      <c r="V507" s="96"/>
      <c r="W507" s="96"/>
      <c r="X507" s="96"/>
      <c r="Y507" s="96"/>
      <c r="Z507" s="97"/>
    </row>
    <row r="508" spans="6:26" x14ac:dyDescent="0.25">
      <c r="F508" s="103"/>
      <c r="G508" s="104"/>
      <c r="H508" s="104"/>
      <c r="I508" s="104"/>
      <c r="J508" s="104"/>
      <c r="K508" s="104"/>
      <c r="L508" s="140"/>
      <c r="M508" s="101"/>
      <c r="N508" s="127"/>
      <c r="O508" s="95"/>
      <c r="P508" s="98"/>
      <c r="Q508" s="95"/>
      <c r="R508" s="128"/>
      <c r="S508" s="95"/>
      <c r="T508" s="95"/>
      <c r="U508" s="96"/>
      <c r="V508" s="96"/>
      <c r="W508" s="96"/>
      <c r="X508" s="96"/>
      <c r="Y508" s="96"/>
      <c r="Z508" s="97"/>
    </row>
    <row r="509" spans="6:26" x14ac:dyDescent="0.25">
      <c r="F509" s="103"/>
      <c r="G509" s="104"/>
      <c r="H509" s="104"/>
      <c r="I509" s="104"/>
      <c r="J509" s="104"/>
      <c r="K509" s="104"/>
      <c r="L509" s="140"/>
      <c r="M509" s="101"/>
      <c r="N509" s="127"/>
      <c r="O509" s="95"/>
      <c r="P509" s="98"/>
      <c r="Q509" s="95"/>
      <c r="R509" s="128"/>
      <c r="S509" s="95"/>
      <c r="T509" s="95"/>
      <c r="U509" s="96"/>
      <c r="V509" s="96"/>
      <c r="W509" s="96"/>
      <c r="X509" s="96"/>
      <c r="Y509" s="96"/>
      <c r="Z509" s="97"/>
    </row>
    <row r="510" spans="6:26" x14ac:dyDescent="0.25">
      <c r="F510" s="103"/>
      <c r="G510" s="104"/>
      <c r="H510" s="104"/>
      <c r="I510" s="104"/>
      <c r="J510" s="104"/>
      <c r="K510" s="104"/>
      <c r="L510" s="140"/>
      <c r="M510" s="101"/>
      <c r="N510" s="127"/>
      <c r="O510" s="95"/>
      <c r="P510" s="98"/>
      <c r="Q510" s="95"/>
      <c r="R510" s="128"/>
      <c r="S510" s="95"/>
      <c r="T510" s="95"/>
      <c r="U510" s="96"/>
      <c r="V510" s="96"/>
      <c r="W510" s="96"/>
      <c r="X510" s="96"/>
      <c r="Y510" s="96"/>
      <c r="Z510" s="97"/>
    </row>
    <row r="511" spans="6:26" x14ac:dyDescent="0.25">
      <c r="F511" s="103"/>
      <c r="G511" s="104"/>
      <c r="H511" s="104"/>
      <c r="I511" s="104"/>
      <c r="J511" s="104"/>
      <c r="K511" s="104"/>
      <c r="L511" s="140"/>
      <c r="M511" s="101"/>
      <c r="N511" s="127"/>
      <c r="O511" s="95"/>
      <c r="P511" s="98"/>
      <c r="Q511" s="95"/>
      <c r="R511" s="128"/>
      <c r="S511" s="95"/>
      <c r="T511" s="95"/>
      <c r="U511" s="96"/>
      <c r="V511" s="96"/>
      <c r="W511" s="96"/>
      <c r="X511" s="96"/>
      <c r="Y511" s="96"/>
      <c r="Z511" s="97"/>
    </row>
    <row r="512" spans="6:26" x14ac:dyDescent="0.25">
      <c r="F512" s="103"/>
      <c r="G512" s="104"/>
      <c r="H512" s="104"/>
      <c r="I512" s="104"/>
      <c r="J512" s="104"/>
      <c r="K512" s="104"/>
      <c r="L512" s="140"/>
      <c r="M512" s="101"/>
      <c r="N512" s="127"/>
      <c r="O512" s="95"/>
      <c r="P512" s="98"/>
      <c r="Q512" s="95"/>
      <c r="R512" s="128"/>
      <c r="S512" s="95"/>
      <c r="T512" s="95"/>
      <c r="U512" s="96"/>
      <c r="V512" s="96"/>
      <c r="W512" s="96"/>
      <c r="X512" s="96"/>
      <c r="Y512" s="96"/>
      <c r="Z512" s="97"/>
    </row>
    <row r="513" spans="6:26" x14ac:dyDescent="0.25">
      <c r="F513" s="103"/>
      <c r="G513" s="104"/>
      <c r="H513" s="104"/>
      <c r="I513" s="104"/>
      <c r="J513" s="104"/>
      <c r="K513" s="104"/>
      <c r="L513" s="140"/>
      <c r="M513" s="101"/>
      <c r="N513" s="127"/>
      <c r="O513" s="95"/>
      <c r="P513" s="98"/>
      <c r="Q513" s="95"/>
      <c r="R513" s="128"/>
      <c r="S513" s="95"/>
      <c r="T513" s="95"/>
      <c r="U513" s="96"/>
      <c r="V513" s="96"/>
      <c r="W513" s="96"/>
      <c r="X513" s="96"/>
      <c r="Y513" s="96"/>
      <c r="Z513" s="97"/>
    </row>
    <row r="514" spans="6:26" x14ac:dyDescent="0.25">
      <c r="F514" s="103"/>
      <c r="G514" s="104"/>
      <c r="H514" s="104"/>
      <c r="I514" s="104"/>
      <c r="J514" s="104"/>
      <c r="K514" s="104"/>
      <c r="L514" s="140"/>
      <c r="M514" s="101"/>
      <c r="N514" s="127"/>
      <c r="O514" s="95"/>
      <c r="P514" s="98"/>
      <c r="Q514" s="95"/>
      <c r="R514" s="128"/>
      <c r="S514" s="95"/>
      <c r="T514" s="95"/>
      <c r="U514" s="96"/>
      <c r="V514" s="96"/>
      <c r="W514" s="96"/>
      <c r="X514" s="96"/>
      <c r="Y514" s="96"/>
      <c r="Z514" s="97"/>
    </row>
    <row r="515" spans="6:26" x14ac:dyDescent="0.25">
      <c r="F515" s="103"/>
      <c r="G515" s="104"/>
      <c r="H515" s="104"/>
      <c r="I515" s="104"/>
      <c r="J515" s="104"/>
      <c r="K515" s="104"/>
      <c r="L515" s="140"/>
      <c r="M515" s="101"/>
      <c r="N515" s="127"/>
      <c r="O515" s="95"/>
      <c r="P515" s="98"/>
      <c r="Q515" s="95"/>
      <c r="R515" s="128"/>
      <c r="S515" s="95"/>
      <c r="T515" s="95"/>
      <c r="U515" s="96"/>
      <c r="V515" s="96"/>
      <c r="W515" s="96"/>
      <c r="X515" s="96"/>
      <c r="Y515" s="96"/>
      <c r="Z515" s="97"/>
    </row>
    <row r="516" spans="6:26" x14ac:dyDescent="0.25">
      <c r="F516" s="103"/>
      <c r="G516" s="104"/>
      <c r="H516" s="104"/>
      <c r="I516" s="104"/>
      <c r="J516" s="104"/>
      <c r="K516" s="104"/>
      <c r="L516" s="140"/>
      <c r="M516" s="101"/>
      <c r="N516" s="127"/>
      <c r="O516" s="95"/>
      <c r="P516" s="98"/>
      <c r="Q516" s="95"/>
      <c r="R516" s="128"/>
      <c r="S516" s="95"/>
      <c r="T516" s="95"/>
      <c r="U516" s="96"/>
      <c r="V516" s="96"/>
      <c r="W516" s="96"/>
      <c r="X516" s="96"/>
      <c r="Y516" s="96"/>
      <c r="Z516" s="97"/>
    </row>
    <row r="517" spans="6:26" x14ac:dyDescent="0.25">
      <c r="F517" s="103"/>
      <c r="G517" s="104"/>
      <c r="H517" s="104"/>
      <c r="I517" s="104"/>
      <c r="J517" s="104"/>
      <c r="K517" s="104"/>
      <c r="L517" s="140"/>
      <c r="M517" s="101"/>
      <c r="N517" s="127"/>
      <c r="O517" s="95"/>
      <c r="P517" s="98"/>
      <c r="Q517" s="95"/>
      <c r="R517" s="128"/>
      <c r="S517" s="95"/>
      <c r="T517" s="95"/>
      <c r="U517" s="96"/>
      <c r="V517" s="96"/>
      <c r="W517" s="96"/>
      <c r="X517" s="96"/>
      <c r="Y517" s="96"/>
      <c r="Z517" s="97"/>
    </row>
    <row r="518" spans="6:26" x14ac:dyDescent="0.25">
      <c r="F518" s="103"/>
      <c r="G518" s="104"/>
      <c r="H518" s="104"/>
      <c r="I518" s="104"/>
      <c r="J518" s="104"/>
      <c r="K518" s="104"/>
      <c r="L518" s="140"/>
      <c r="M518" s="101"/>
      <c r="N518" s="127"/>
      <c r="O518" s="95"/>
      <c r="P518" s="98"/>
      <c r="Q518" s="95"/>
      <c r="R518" s="128"/>
      <c r="S518" s="95"/>
      <c r="T518" s="95"/>
      <c r="U518" s="96"/>
      <c r="V518" s="96"/>
      <c r="W518" s="96"/>
      <c r="X518" s="96"/>
      <c r="Y518" s="96"/>
      <c r="Z518" s="97"/>
    </row>
    <row r="519" spans="6:26" x14ac:dyDescent="0.25">
      <c r="F519" s="103"/>
      <c r="G519" s="104"/>
      <c r="H519" s="104"/>
      <c r="I519" s="104"/>
      <c r="J519" s="104"/>
      <c r="K519" s="104"/>
      <c r="L519" s="140"/>
      <c r="M519" s="101"/>
      <c r="N519" s="127"/>
      <c r="O519" s="95"/>
      <c r="P519" s="98"/>
      <c r="Q519" s="95"/>
      <c r="R519" s="128"/>
      <c r="S519" s="95"/>
      <c r="T519" s="95"/>
      <c r="U519" s="96"/>
      <c r="V519" s="96"/>
      <c r="W519" s="96"/>
      <c r="X519" s="96"/>
      <c r="Y519" s="96"/>
      <c r="Z519" s="97"/>
    </row>
    <row r="520" spans="6:26" x14ac:dyDescent="0.25">
      <c r="F520" s="103"/>
      <c r="G520" s="104"/>
      <c r="H520" s="104"/>
      <c r="I520" s="104"/>
      <c r="J520" s="104"/>
      <c r="K520" s="104"/>
      <c r="L520" s="140"/>
      <c r="M520" s="101"/>
      <c r="N520" s="127"/>
      <c r="O520" s="95"/>
      <c r="P520" s="98"/>
      <c r="Q520" s="95"/>
      <c r="R520" s="128"/>
      <c r="S520" s="95"/>
      <c r="T520" s="95"/>
      <c r="U520" s="96"/>
      <c r="V520" s="96"/>
      <c r="W520" s="96"/>
      <c r="X520" s="96"/>
      <c r="Y520" s="96"/>
      <c r="Z520" s="97"/>
    </row>
    <row r="521" spans="6:26" x14ac:dyDescent="0.25">
      <c r="F521" s="103"/>
      <c r="G521" s="104"/>
      <c r="H521" s="104"/>
      <c r="I521" s="104"/>
      <c r="J521" s="104"/>
      <c r="K521" s="104"/>
      <c r="L521" s="140"/>
      <c r="M521" s="101"/>
      <c r="N521" s="127"/>
      <c r="O521" s="95"/>
      <c r="P521" s="98"/>
      <c r="Q521" s="95"/>
      <c r="R521" s="128"/>
      <c r="S521" s="95"/>
      <c r="T521" s="95"/>
      <c r="U521" s="96"/>
      <c r="V521" s="96"/>
      <c r="W521" s="96"/>
      <c r="X521" s="96"/>
      <c r="Y521" s="96"/>
      <c r="Z521" s="97"/>
    </row>
    <row r="522" spans="6:26" x14ac:dyDescent="0.25">
      <c r="F522" s="103"/>
      <c r="G522" s="104"/>
      <c r="H522" s="104"/>
      <c r="I522" s="104"/>
      <c r="J522" s="104"/>
      <c r="K522" s="104"/>
      <c r="L522" s="140"/>
      <c r="M522" s="101"/>
      <c r="N522" s="127"/>
      <c r="O522" s="95"/>
      <c r="P522" s="98"/>
      <c r="Q522" s="95"/>
      <c r="R522" s="128"/>
      <c r="S522" s="95"/>
      <c r="T522" s="95"/>
      <c r="U522" s="96"/>
      <c r="V522" s="96"/>
      <c r="W522" s="96"/>
      <c r="X522" s="96"/>
      <c r="Y522" s="96"/>
      <c r="Z522" s="97"/>
    </row>
    <row r="523" spans="6:26" x14ac:dyDescent="0.25">
      <c r="F523" s="103"/>
      <c r="G523" s="104"/>
      <c r="H523" s="104"/>
      <c r="I523" s="104"/>
      <c r="J523" s="104"/>
      <c r="K523" s="104"/>
      <c r="L523" s="140"/>
      <c r="M523" s="101"/>
      <c r="N523" s="127"/>
      <c r="O523" s="95"/>
      <c r="P523" s="98"/>
      <c r="Q523" s="95"/>
      <c r="R523" s="128"/>
      <c r="S523" s="95"/>
      <c r="T523" s="95"/>
      <c r="U523" s="96"/>
      <c r="V523" s="96"/>
      <c r="W523" s="96"/>
      <c r="X523" s="96"/>
      <c r="Y523" s="96"/>
      <c r="Z523" s="97"/>
    </row>
    <row r="524" spans="6:26" x14ac:dyDescent="0.25">
      <c r="F524" s="103"/>
      <c r="G524" s="104"/>
      <c r="H524" s="104"/>
      <c r="I524" s="104"/>
      <c r="J524" s="104"/>
      <c r="K524" s="104"/>
      <c r="L524" s="140"/>
      <c r="M524" s="101"/>
      <c r="N524" s="127"/>
      <c r="O524" s="95"/>
      <c r="P524" s="98"/>
      <c r="Q524" s="95"/>
      <c r="R524" s="128"/>
      <c r="S524" s="95"/>
      <c r="T524" s="95"/>
      <c r="U524" s="96"/>
      <c r="V524" s="96"/>
      <c r="W524" s="96"/>
      <c r="X524" s="96"/>
      <c r="Y524" s="96"/>
      <c r="Z524" s="97"/>
    </row>
    <row r="525" spans="6:26" x14ac:dyDescent="0.25">
      <c r="F525" s="103"/>
      <c r="G525" s="104"/>
      <c r="H525" s="104"/>
      <c r="I525" s="104"/>
      <c r="J525" s="104"/>
      <c r="K525" s="104"/>
      <c r="L525" s="140"/>
      <c r="M525" s="101"/>
      <c r="N525" s="127"/>
      <c r="O525" s="95"/>
      <c r="P525" s="98"/>
      <c r="Q525" s="95"/>
      <c r="R525" s="128"/>
      <c r="S525" s="95"/>
      <c r="T525" s="95"/>
      <c r="U525" s="96"/>
      <c r="V525" s="96"/>
      <c r="W525" s="96"/>
      <c r="X525" s="96"/>
      <c r="Y525" s="96"/>
      <c r="Z525" s="97"/>
    </row>
    <row r="526" spans="6:26" x14ac:dyDescent="0.25">
      <c r="F526" s="103"/>
      <c r="G526" s="104"/>
      <c r="H526" s="104"/>
      <c r="I526" s="104"/>
      <c r="J526" s="104"/>
      <c r="K526" s="104"/>
      <c r="L526" s="140"/>
      <c r="M526" s="101"/>
      <c r="N526" s="127"/>
      <c r="O526" s="95"/>
      <c r="P526" s="98"/>
      <c r="Q526" s="95"/>
      <c r="R526" s="128"/>
      <c r="S526" s="95"/>
      <c r="T526" s="95"/>
      <c r="U526" s="96"/>
      <c r="V526" s="96"/>
      <c r="W526" s="96"/>
      <c r="X526" s="96"/>
      <c r="Y526" s="96"/>
      <c r="Z526" s="97"/>
    </row>
    <row r="527" spans="6:26" x14ac:dyDescent="0.25">
      <c r="F527" s="103"/>
      <c r="G527" s="104"/>
      <c r="H527" s="104"/>
      <c r="I527" s="104"/>
      <c r="J527" s="104"/>
      <c r="K527" s="104"/>
      <c r="L527" s="140"/>
      <c r="M527" s="101"/>
      <c r="N527" s="127"/>
      <c r="O527" s="95"/>
      <c r="P527" s="98"/>
      <c r="Q527" s="95"/>
      <c r="R527" s="128"/>
      <c r="S527" s="95"/>
      <c r="T527" s="95"/>
      <c r="U527" s="96"/>
      <c r="V527" s="96"/>
      <c r="W527" s="96"/>
      <c r="X527" s="96"/>
      <c r="Y527" s="96"/>
      <c r="Z527" s="97"/>
    </row>
    <row r="528" spans="6:26" x14ac:dyDescent="0.25">
      <c r="F528" s="103"/>
      <c r="G528" s="104"/>
      <c r="H528" s="104"/>
      <c r="I528" s="104"/>
      <c r="J528" s="104"/>
      <c r="K528" s="104"/>
      <c r="L528" s="140"/>
      <c r="M528" s="101"/>
      <c r="N528" s="127"/>
      <c r="O528" s="95"/>
      <c r="P528" s="98"/>
      <c r="Q528" s="95"/>
      <c r="R528" s="128"/>
      <c r="S528" s="95"/>
      <c r="T528" s="95"/>
      <c r="U528" s="96"/>
      <c r="V528" s="96"/>
      <c r="W528" s="96"/>
      <c r="X528" s="96"/>
      <c r="Y528" s="96"/>
      <c r="Z528" s="97"/>
    </row>
    <row r="529" spans="6:26" x14ac:dyDescent="0.25">
      <c r="F529" s="103"/>
      <c r="G529" s="104"/>
      <c r="H529" s="104"/>
      <c r="I529" s="104"/>
      <c r="J529" s="104"/>
      <c r="K529" s="104"/>
      <c r="L529" s="140"/>
      <c r="M529" s="101"/>
      <c r="N529" s="127"/>
      <c r="O529" s="95"/>
      <c r="P529" s="98"/>
      <c r="Q529" s="95"/>
      <c r="R529" s="128"/>
      <c r="S529" s="95"/>
      <c r="T529" s="95"/>
      <c r="U529" s="96"/>
      <c r="V529" s="96"/>
      <c r="W529" s="96"/>
      <c r="X529" s="96"/>
      <c r="Y529" s="96"/>
      <c r="Z529" s="97"/>
    </row>
    <row r="530" spans="6:26" x14ac:dyDescent="0.25">
      <c r="F530" s="103"/>
      <c r="G530" s="104"/>
      <c r="H530" s="104"/>
      <c r="I530" s="104"/>
      <c r="J530" s="104"/>
      <c r="K530" s="104"/>
      <c r="L530" s="140"/>
      <c r="M530" s="101"/>
      <c r="N530" s="127"/>
      <c r="O530" s="95"/>
      <c r="P530" s="98"/>
      <c r="Q530" s="95"/>
      <c r="R530" s="128"/>
      <c r="S530" s="95"/>
      <c r="T530" s="95"/>
      <c r="U530" s="96"/>
      <c r="V530" s="96"/>
      <c r="W530" s="96"/>
      <c r="X530" s="96"/>
      <c r="Y530" s="96"/>
      <c r="Z530" s="97"/>
    </row>
    <row r="531" spans="6:26" x14ac:dyDescent="0.25">
      <c r="F531" s="103"/>
      <c r="G531" s="104"/>
      <c r="H531" s="104"/>
      <c r="I531" s="104"/>
      <c r="J531" s="104"/>
      <c r="K531" s="104"/>
      <c r="L531" s="140"/>
      <c r="M531" s="101"/>
      <c r="N531" s="127"/>
      <c r="O531" s="95"/>
      <c r="P531" s="98"/>
      <c r="Q531" s="95"/>
      <c r="R531" s="128"/>
      <c r="S531" s="95"/>
      <c r="T531" s="95"/>
      <c r="U531" s="96"/>
      <c r="V531" s="96"/>
      <c r="W531" s="96"/>
      <c r="X531" s="96"/>
      <c r="Y531" s="96"/>
      <c r="Z531" s="97"/>
    </row>
    <row r="532" spans="6:26" x14ac:dyDescent="0.25">
      <c r="F532" s="103"/>
      <c r="G532" s="104"/>
      <c r="H532" s="104"/>
      <c r="I532" s="104"/>
      <c r="J532" s="104"/>
      <c r="K532" s="104"/>
      <c r="L532" s="140"/>
      <c r="M532" s="101"/>
      <c r="N532" s="127"/>
      <c r="O532" s="95"/>
      <c r="P532" s="98"/>
      <c r="Q532" s="95"/>
      <c r="R532" s="128"/>
      <c r="S532" s="95"/>
      <c r="T532" s="95"/>
      <c r="U532" s="96"/>
      <c r="V532" s="96"/>
      <c r="W532" s="96"/>
      <c r="X532" s="96"/>
      <c r="Y532" s="96"/>
      <c r="Z532" s="97"/>
    </row>
    <row r="533" spans="6:26" x14ac:dyDescent="0.25">
      <c r="F533" s="103"/>
      <c r="G533" s="104"/>
      <c r="H533" s="104"/>
      <c r="I533" s="104"/>
      <c r="J533" s="104"/>
      <c r="K533" s="104"/>
      <c r="L533" s="140"/>
      <c r="M533" s="101"/>
      <c r="N533" s="127"/>
      <c r="O533" s="95"/>
      <c r="P533" s="98"/>
      <c r="Q533" s="95"/>
      <c r="R533" s="128"/>
      <c r="S533" s="95"/>
      <c r="T533" s="95"/>
      <c r="U533" s="96"/>
      <c r="V533" s="96"/>
      <c r="W533" s="96"/>
      <c r="X533" s="96"/>
      <c r="Y533" s="96"/>
      <c r="Z533" s="97"/>
    </row>
    <row r="534" spans="6:26" x14ac:dyDescent="0.25">
      <c r="F534" s="103"/>
      <c r="G534" s="104"/>
      <c r="H534" s="104"/>
      <c r="I534" s="104"/>
      <c r="J534" s="104"/>
      <c r="K534" s="104"/>
      <c r="L534" s="140"/>
      <c r="M534" s="101"/>
      <c r="N534" s="127"/>
      <c r="O534" s="95"/>
      <c r="P534" s="98"/>
      <c r="Q534" s="95"/>
      <c r="R534" s="128"/>
      <c r="S534" s="95"/>
      <c r="T534" s="95"/>
      <c r="U534" s="96"/>
      <c r="V534" s="96"/>
      <c r="W534" s="96"/>
      <c r="X534" s="96"/>
      <c r="Y534" s="96"/>
      <c r="Z534" s="97"/>
    </row>
    <row r="535" spans="6:26" x14ac:dyDescent="0.25">
      <c r="F535" s="103"/>
      <c r="G535" s="104"/>
      <c r="H535" s="104"/>
      <c r="I535" s="104"/>
      <c r="J535" s="104"/>
      <c r="K535" s="104"/>
      <c r="L535" s="140"/>
      <c r="M535" s="101"/>
      <c r="N535" s="127"/>
      <c r="O535" s="95"/>
      <c r="P535" s="98"/>
      <c r="Q535" s="95"/>
      <c r="R535" s="128"/>
      <c r="S535" s="95"/>
      <c r="T535" s="95"/>
      <c r="U535" s="96"/>
      <c r="V535" s="96"/>
      <c r="W535" s="96"/>
      <c r="X535" s="96"/>
      <c r="Y535" s="96"/>
      <c r="Z535" s="97"/>
    </row>
    <row r="536" spans="6:26" x14ac:dyDescent="0.25">
      <c r="F536" s="103"/>
      <c r="G536" s="104"/>
      <c r="H536" s="104"/>
      <c r="I536" s="104"/>
      <c r="J536" s="104"/>
      <c r="K536" s="104"/>
      <c r="L536" s="140"/>
      <c r="M536" s="101"/>
      <c r="N536" s="127"/>
      <c r="O536" s="95"/>
      <c r="P536" s="98"/>
      <c r="Q536" s="95"/>
      <c r="R536" s="128"/>
      <c r="S536" s="95"/>
      <c r="T536" s="95"/>
      <c r="U536" s="96"/>
      <c r="V536" s="96"/>
      <c r="W536" s="96"/>
      <c r="X536" s="96"/>
      <c r="Y536" s="96"/>
      <c r="Z536" s="97"/>
    </row>
    <row r="537" spans="6:26" x14ac:dyDescent="0.25">
      <c r="F537" s="103"/>
      <c r="G537" s="104"/>
      <c r="H537" s="104"/>
      <c r="I537" s="104"/>
      <c r="J537" s="104"/>
      <c r="K537" s="104"/>
      <c r="L537" s="140"/>
      <c r="M537" s="101"/>
      <c r="N537" s="127"/>
      <c r="O537" s="95"/>
      <c r="P537" s="98"/>
      <c r="Q537" s="95"/>
      <c r="R537" s="128"/>
      <c r="S537" s="95"/>
      <c r="T537" s="95"/>
      <c r="U537" s="96"/>
      <c r="V537" s="96"/>
      <c r="W537" s="96"/>
      <c r="X537" s="96"/>
      <c r="Y537" s="96"/>
      <c r="Z537" s="97"/>
    </row>
    <row r="538" spans="6:26" x14ac:dyDescent="0.25">
      <c r="F538" s="103"/>
      <c r="G538" s="104"/>
      <c r="H538" s="104"/>
      <c r="I538" s="104"/>
      <c r="J538" s="104"/>
      <c r="K538" s="104"/>
      <c r="L538" s="140"/>
      <c r="M538" s="101"/>
      <c r="N538" s="127"/>
      <c r="O538" s="95"/>
      <c r="P538" s="98"/>
      <c r="Q538" s="95"/>
      <c r="R538" s="128"/>
      <c r="S538" s="95"/>
      <c r="T538" s="95"/>
      <c r="U538" s="96"/>
      <c r="V538" s="96"/>
      <c r="W538" s="96"/>
      <c r="X538" s="96"/>
      <c r="Y538" s="96"/>
      <c r="Z538" s="97"/>
    </row>
    <row r="539" spans="6:26" x14ac:dyDescent="0.25">
      <c r="F539" s="103"/>
      <c r="G539" s="104"/>
      <c r="H539" s="104"/>
      <c r="I539" s="104"/>
      <c r="J539" s="104"/>
      <c r="K539" s="104"/>
      <c r="L539" s="140"/>
      <c r="M539" s="101"/>
      <c r="N539" s="127"/>
      <c r="O539" s="95"/>
      <c r="P539" s="98"/>
      <c r="Q539" s="95"/>
      <c r="R539" s="128"/>
      <c r="S539" s="95"/>
      <c r="T539" s="95"/>
      <c r="U539" s="96"/>
      <c r="V539" s="96"/>
      <c r="W539" s="96"/>
      <c r="X539" s="96"/>
      <c r="Y539" s="96"/>
      <c r="Z539" s="97"/>
    </row>
    <row r="540" spans="6:26" x14ac:dyDescent="0.25">
      <c r="F540" s="103"/>
      <c r="G540" s="104"/>
      <c r="H540" s="104"/>
      <c r="I540" s="104"/>
      <c r="J540" s="104"/>
      <c r="K540" s="104"/>
      <c r="L540" s="140"/>
      <c r="M540" s="101"/>
      <c r="N540" s="127"/>
      <c r="O540" s="95"/>
      <c r="P540" s="98"/>
      <c r="Q540" s="95"/>
      <c r="R540" s="128"/>
      <c r="S540" s="95"/>
      <c r="T540" s="95"/>
      <c r="U540" s="96"/>
      <c r="V540" s="96"/>
      <c r="W540" s="96"/>
      <c r="X540" s="96"/>
      <c r="Y540" s="96"/>
      <c r="Z540" s="97"/>
    </row>
    <row r="541" spans="6:26" x14ac:dyDescent="0.25">
      <c r="F541" s="103"/>
      <c r="G541" s="104"/>
      <c r="H541" s="104"/>
      <c r="I541" s="104"/>
      <c r="J541" s="104"/>
      <c r="K541" s="104"/>
      <c r="L541" s="140"/>
      <c r="M541" s="101"/>
      <c r="N541" s="127"/>
      <c r="O541" s="95"/>
      <c r="P541" s="98"/>
      <c r="Q541" s="95"/>
      <c r="R541" s="128"/>
      <c r="S541" s="95"/>
      <c r="T541" s="95"/>
      <c r="U541" s="96"/>
      <c r="V541" s="96"/>
      <c r="W541" s="96"/>
      <c r="X541" s="96"/>
      <c r="Y541" s="96"/>
      <c r="Z541" s="97"/>
    </row>
    <row r="542" spans="6:26" x14ac:dyDescent="0.25">
      <c r="F542" s="103"/>
      <c r="G542" s="104"/>
      <c r="H542" s="104"/>
      <c r="I542" s="104"/>
      <c r="J542" s="104"/>
      <c r="K542" s="104"/>
      <c r="L542" s="140"/>
      <c r="M542" s="101"/>
      <c r="N542" s="127"/>
      <c r="O542" s="95"/>
      <c r="P542" s="98"/>
      <c r="Q542" s="95"/>
      <c r="R542" s="128"/>
      <c r="S542" s="95"/>
      <c r="T542" s="95"/>
      <c r="U542" s="96"/>
      <c r="V542" s="96"/>
      <c r="W542" s="96"/>
      <c r="X542" s="96"/>
      <c r="Y542" s="96"/>
      <c r="Z542" s="97"/>
    </row>
    <row r="543" spans="6:26" x14ac:dyDescent="0.25">
      <c r="F543" s="103"/>
      <c r="G543" s="104"/>
      <c r="H543" s="104"/>
      <c r="I543" s="104"/>
      <c r="J543" s="104"/>
      <c r="K543" s="104"/>
      <c r="L543" s="140"/>
      <c r="M543" s="101"/>
      <c r="N543" s="127"/>
      <c r="O543" s="95"/>
      <c r="P543" s="98"/>
      <c r="Q543" s="95"/>
      <c r="R543" s="128"/>
      <c r="S543" s="95"/>
      <c r="T543" s="95"/>
      <c r="U543" s="96"/>
      <c r="V543" s="96"/>
      <c r="W543" s="96"/>
      <c r="X543" s="96"/>
      <c r="Y543" s="96"/>
      <c r="Z543" s="97"/>
    </row>
    <row r="544" spans="6:26" x14ac:dyDescent="0.25">
      <c r="F544" s="103"/>
      <c r="G544" s="104"/>
      <c r="H544" s="104"/>
      <c r="I544" s="104"/>
      <c r="J544" s="104"/>
      <c r="K544" s="104"/>
      <c r="L544" s="140"/>
      <c r="M544" s="101"/>
      <c r="N544" s="127"/>
      <c r="O544" s="95"/>
      <c r="P544" s="98"/>
      <c r="Q544" s="95"/>
      <c r="R544" s="128"/>
      <c r="S544" s="95"/>
      <c r="T544" s="95"/>
      <c r="U544" s="96"/>
      <c r="V544" s="96"/>
      <c r="W544" s="96"/>
      <c r="X544" s="96"/>
      <c r="Y544" s="96"/>
      <c r="Z544" s="97"/>
    </row>
    <row r="545" spans="6:26" x14ac:dyDescent="0.25">
      <c r="F545" s="103"/>
      <c r="G545" s="104"/>
      <c r="H545" s="104"/>
      <c r="I545" s="104"/>
      <c r="J545" s="104"/>
      <c r="K545" s="104"/>
      <c r="L545" s="140"/>
      <c r="M545" s="101"/>
      <c r="N545" s="127"/>
      <c r="O545" s="95"/>
      <c r="P545" s="98"/>
      <c r="Q545" s="95"/>
      <c r="R545" s="128"/>
      <c r="S545" s="95"/>
      <c r="T545" s="95"/>
      <c r="U545" s="96"/>
      <c r="V545" s="96"/>
      <c r="W545" s="96"/>
      <c r="X545" s="96"/>
      <c r="Y545" s="96"/>
      <c r="Z545" s="97"/>
    </row>
    <row r="546" spans="6:26" x14ac:dyDescent="0.25">
      <c r="F546" s="103"/>
      <c r="G546" s="104"/>
      <c r="H546" s="104"/>
      <c r="I546" s="104"/>
      <c r="J546" s="104"/>
      <c r="K546" s="104"/>
      <c r="L546" s="140"/>
      <c r="M546" s="101"/>
      <c r="N546" s="127"/>
      <c r="O546" s="95"/>
      <c r="P546" s="98"/>
      <c r="Q546" s="95"/>
      <c r="R546" s="128"/>
      <c r="S546" s="95"/>
      <c r="T546" s="95"/>
      <c r="U546" s="96"/>
      <c r="V546" s="96"/>
      <c r="W546" s="96"/>
      <c r="X546" s="96"/>
      <c r="Y546" s="96"/>
      <c r="Z546" s="97"/>
    </row>
    <row r="547" spans="6:26" x14ac:dyDescent="0.25">
      <c r="F547" s="103"/>
      <c r="G547" s="104"/>
      <c r="H547" s="104"/>
      <c r="I547" s="104"/>
      <c r="J547" s="104"/>
      <c r="K547" s="104"/>
      <c r="L547" s="140"/>
      <c r="M547" s="101"/>
      <c r="N547" s="127"/>
      <c r="O547" s="95"/>
      <c r="P547" s="98"/>
      <c r="Q547" s="95"/>
      <c r="R547" s="128"/>
      <c r="S547" s="95"/>
      <c r="T547" s="95"/>
      <c r="U547" s="96"/>
      <c r="V547" s="96"/>
      <c r="W547" s="96"/>
      <c r="X547" s="96"/>
      <c r="Y547" s="96"/>
      <c r="Z547" s="97"/>
    </row>
    <row r="548" spans="6:26" x14ac:dyDescent="0.25">
      <c r="F548" s="103"/>
      <c r="G548" s="104"/>
      <c r="H548" s="104"/>
      <c r="I548" s="104"/>
      <c r="J548" s="104"/>
      <c r="K548" s="104"/>
      <c r="L548" s="140"/>
      <c r="M548" s="101"/>
      <c r="N548" s="127"/>
      <c r="O548" s="95"/>
      <c r="P548" s="98"/>
      <c r="Q548" s="95"/>
      <c r="R548" s="128"/>
      <c r="S548" s="95"/>
      <c r="T548" s="95"/>
      <c r="U548" s="96"/>
      <c r="V548" s="96"/>
      <c r="W548" s="96"/>
      <c r="X548" s="96"/>
      <c r="Y548" s="96"/>
      <c r="Z548" s="97"/>
    </row>
    <row r="549" spans="6:26" x14ac:dyDescent="0.25">
      <c r="F549" s="103"/>
      <c r="G549" s="104"/>
      <c r="H549" s="104"/>
      <c r="I549" s="104"/>
      <c r="J549" s="104"/>
      <c r="K549" s="104"/>
      <c r="L549" s="140"/>
      <c r="M549" s="101"/>
      <c r="N549" s="127"/>
      <c r="O549" s="95"/>
      <c r="P549" s="98"/>
      <c r="Q549" s="95"/>
      <c r="R549" s="128"/>
      <c r="S549" s="95"/>
      <c r="T549" s="95"/>
      <c r="U549" s="96"/>
      <c r="V549" s="96"/>
      <c r="W549" s="96"/>
      <c r="X549" s="96"/>
      <c r="Y549" s="96"/>
      <c r="Z549" s="97"/>
    </row>
    <row r="550" spans="6:26" x14ac:dyDescent="0.25">
      <c r="F550" s="103"/>
      <c r="G550" s="104"/>
      <c r="H550" s="104"/>
      <c r="I550" s="104"/>
      <c r="J550" s="104"/>
      <c r="K550" s="104"/>
      <c r="L550" s="140"/>
      <c r="M550" s="101"/>
      <c r="N550" s="127"/>
      <c r="O550" s="95"/>
      <c r="P550" s="98"/>
      <c r="Q550" s="95"/>
      <c r="R550" s="128"/>
      <c r="S550" s="95"/>
      <c r="T550" s="95"/>
      <c r="U550" s="96"/>
      <c r="V550" s="96"/>
      <c r="W550" s="96"/>
      <c r="X550" s="96"/>
      <c r="Y550" s="96"/>
      <c r="Z550" s="97"/>
    </row>
    <row r="551" spans="6:26" x14ac:dyDescent="0.25">
      <c r="F551" s="103"/>
      <c r="G551" s="104"/>
      <c r="H551" s="104"/>
      <c r="I551" s="104"/>
      <c r="J551" s="104"/>
      <c r="K551" s="104"/>
      <c r="L551" s="140"/>
      <c r="M551" s="101"/>
      <c r="N551" s="127"/>
      <c r="O551" s="95"/>
      <c r="P551" s="98"/>
      <c r="Q551" s="95"/>
      <c r="R551" s="128"/>
      <c r="S551" s="95"/>
      <c r="T551" s="95"/>
      <c r="U551" s="96"/>
      <c r="V551" s="96"/>
      <c r="W551" s="96"/>
      <c r="X551" s="96"/>
      <c r="Y551" s="96"/>
      <c r="Z551" s="97"/>
    </row>
    <row r="552" spans="6:26" x14ac:dyDescent="0.25">
      <c r="F552" s="103"/>
      <c r="G552" s="104"/>
      <c r="H552" s="104"/>
      <c r="I552" s="104"/>
      <c r="J552" s="104"/>
      <c r="K552" s="104"/>
      <c r="L552" s="140"/>
      <c r="M552" s="101"/>
      <c r="N552" s="127"/>
      <c r="O552" s="95"/>
      <c r="P552" s="98"/>
      <c r="Q552" s="95"/>
      <c r="R552" s="128"/>
      <c r="S552" s="95"/>
      <c r="T552" s="95"/>
      <c r="U552" s="96"/>
      <c r="V552" s="96"/>
      <c r="W552" s="96"/>
      <c r="X552" s="96"/>
      <c r="Y552" s="96"/>
      <c r="Z552" s="97"/>
    </row>
    <row r="553" spans="6:26" x14ac:dyDescent="0.25">
      <c r="F553" s="103"/>
      <c r="G553" s="104"/>
      <c r="H553" s="104"/>
      <c r="I553" s="104"/>
      <c r="J553" s="104"/>
      <c r="K553" s="104"/>
      <c r="L553" s="140"/>
      <c r="M553" s="101"/>
      <c r="N553" s="127"/>
      <c r="O553" s="95"/>
      <c r="P553" s="98"/>
      <c r="Q553" s="95"/>
      <c r="R553" s="128"/>
      <c r="S553" s="95"/>
      <c r="T553" s="95"/>
      <c r="U553" s="96"/>
      <c r="V553" s="96"/>
      <c r="W553" s="96"/>
      <c r="X553" s="96"/>
      <c r="Y553" s="96"/>
      <c r="Z553" s="97"/>
    </row>
    <row r="554" spans="6:26" x14ac:dyDescent="0.25">
      <c r="F554" s="103"/>
      <c r="G554" s="104"/>
      <c r="H554" s="104"/>
      <c r="I554" s="104"/>
      <c r="J554" s="104"/>
      <c r="K554" s="104"/>
      <c r="L554" s="140"/>
      <c r="M554" s="101"/>
      <c r="N554" s="127"/>
      <c r="O554" s="95"/>
      <c r="P554" s="98"/>
      <c r="Q554" s="95"/>
      <c r="R554" s="128"/>
      <c r="S554" s="95"/>
      <c r="T554" s="95"/>
      <c r="U554" s="96"/>
      <c r="V554" s="96"/>
      <c r="W554" s="96"/>
      <c r="X554" s="96"/>
      <c r="Y554" s="96"/>
      <c r="Z554" s="97"/>
    </row>
    <row r="555" spans="6:26" x14ac:dyDescent="0.25">
      <c r="F555" s="103"/>
      <c r="G555" s="104"/>
      <c r="H555" s="104"/>
      <c r="I555" s="104"/>
      <c r="J555" s="104"/>
      <c r="K555" s="104"/>
      <c r="L555" s="140"/>
      <c r="M555" s="101"/>
      <c r="N555" s="127"/>
      <c r="O555" s="95"/>
      <c r="P555" s="98"/>
      <c r="Q555" s="95"/>
      <c r="R555" s="128"/>
      <c r="S555" s="95"/>
      <c r="T555" s="95"/>
      <c r="U555" s="96"/>
      <c r="V555" s="96"/>
      <c r="W555" s="96"/>
      <c r="X555" s="96"/>
      <c r="Y555" s="96"/>
      <c r="Z555" s="97"/>
    </row>
    <row r="556" spans="6:26" x14ac:dyDescent="0.25">
      <c r="F556" s="103"/>
      <c r="G556" s="104"/>
      <c r="H556" s="104"/>
      <c r="I556" s="104"/>
      <c r="J556" s="104"/>
      <c r="K556" s="104"/>
      <c r="L556" s="140"/>
      <c r="M556" s="101"/>
      <c r="N556" s="127"/>
      <c r="O556" s="95"/>
      <c r="P556" s="98"/>
      <c r="Q556" s="95"/>
      <c r="R556" s="128"/>
      <c r="S556" s="95"/>
      <c r="T556" s="95"/>
      <c r="U556" s="96"/>
      <c r="V556" s="96"/>
      <c r="W556" s="96"/>
      <c r="X556" s="96"/>
      <c r="Y556" s="96"/>
      <c r="Z556" s="97"/>
    </row>
    <row r="557" spans="6:26" x14ac:dyDescent="0.25">
      <c r="F557" s="103"/>
      <c r="G557" s="104"/>
      <c r="H557" s="104"/>
      <c r="I557" s="104"/>
      <c r="J557" s="104"/>
      <c r="K557" s="104"/>
      <c r="L557" s="140"/>
      <c r="M557" s="101"/>
      <c r="N557" s="127"/>
      <c r="O557" s="95"/>
      <c r="P557" s="98"/>
      <c r="Q557" s="95"/>
      <c r="R557" s="128"/>
      <c r="S557" s="95"/>
      <c r="T557" s="95"/>
      <c r="U557" s="96"/>
      <c r="V557" s="96"/>
      <c r="W557" s="96"/>
      <c r="X557" s="96"/>
      <c r="Y557" s="96"/>
      <c r="Z557" s="97"/>
    </row>
    <row r="558" spans="6:26" x14ac:dyDescent="0.25">
      <c r="F558" s="103"/>
      <c r="G558" s="104"/>
      <c r="H558" s="104"/>
      <c r="I558" s="104"/>
      <c r="J558" s="104"/>
      <c r="K558" s="104"/>
      <c r="L558" s="140"/>
      <c r="M558" s="101"/>
      <c r="N558" s="127"/>
      <c r="O558" s="95"/>
      <c r="P558" s="98"/>
      <c r="Q558" s="95"/>
      <c r="R558" s="128"/>
      <c r="S558" s="95"/>
      <c r="T558" s="95"/>
      <c r="U558" s="96"/>
      <c r="V558" s="96"/>
      <c r="W558" s="96"/>
      <c r="X558" s="96"/>
      <c r="Y558" s="96"/>
      <c r="Z558" s="97"/>
    </row>
    <row r="559" spans="6:26" x14ac:dyDescent="0.25">
      <c r="F559" s="103"/>
      <c r="G559" s="104"/>
      <c r="H559" s="104"/>
      <c r="I559" s="104"/>
      <c r="J559" s="104"/>
      <c r="K559" s="104"/>
      <c r="L559" s="140"/>
      <c r="M559" s="101"/>
      <c r="N559" s="127"/>
      <c r="O559" s="95"/>
      <c r="P559" s="98"/>
      <c r="Q559" s="95"/>
      <c r="R559" s="128"/>
      <c r="S559" s="95"/>
      <c r="T559" s="95"/>
      <c r="U559" s="96"/>
      <c r="V559" s="96"/>
      <c r="W559" s="96"/>
      <c r="X559" s="96"/>
      <c r="Y559" s="96"/>
      <c r="Z559" s="97"/>
    </row>
    <row r="560" spans="6:26" x14ac:dyDescent="0.25">
      <c r="F560" s="103"/>
      <c r="G560" s="104"/>
      <c r="H560" s="104"/>
      <c r="I560" s="104"/>
      <c r="J560" s="104"/>
      <c r="K560" s="104"/>
      <c r="L560" s="140"/>
      <c r="M560" s="101"/>
      <c r="N560" s="127"/>
      <c r="O560" s="95"/>
      <c r="P560" s="98"/>
      <c r="Q560" s="95"/>
      <c r="R560" s="128"/>
      <c r="S560" s="95"/>
      <c r="T560" s="95"/>
      <c r="U560" s="96"/>
      <c r="V560" s="96"/>
      <c r="W560" s="96"/>
      <c r="X560" s="96"/>
      <c r="Y560" s="96"/>
      <c r="Z560" s="97"/>
    </row>
    <row r="561" spans="6:26" x14ac:dyDescent="0.25">
      <c r="F561" s="103"/>
      <c r="G561" s="104"/>
      <c r="H561" s="104"/>
      <c r="I561" s="104"/>
      <c r="J561" s="104"/>
      <c r="K561" s="104"/>
      <c r="L561" s="140"/>
      <c r="M561" s="101"/>
      <c r="N561" s="127"/>
      <c r="O561" s="95"/>
      <c r="P561" s="98"/>
      <c r="Q561" s="95"/>
      <c r="R561" s="128"/>
      <c r="S561" s="95"/>
      <c r="T561" s="95"/>
      <c r="U561" s="96"/>
      <c r="V561" s="96"/>
      <c r="W561" s="96"/>
      <c r="X561" s="96"/>
      <c r="Y561" s="96"/>
      <c r="Z561" s="97"/>
    </row>
    <row r="562" spans="6:26" x14ac:dyDescent="0.25">
      <c r="F562" s="103"/>
      <c r="G562" s="104"/>
      <c r="H562" s="104"/>
      <c r="I562" s="104"/>
      <c r="J562" s="104"/>
      <c r="K562" s="104"/>
      <c r="L562" s="140"/>
      <c r="M562" s="101"/>
      <c r="N562" s="127"/>
      <c r="O562" s="95"/>
      <c r="P562" s="98"/>
      <c r="Q562" s="95"/>
      <c r="R562" s="128"/>
      <c r="S562" s="95"/>
      <c r="T562" s="95"/>
      <c r="U562" s="96"/>
      <c r="V562" s="96"/>
      <c r="W562" s="96"/>
      <c r="X562" s="96"/>
      <c r="Y562" s="96"/>
      <c r="Z562" s="97"/>
    </row>
    <row r="563" spans="6:26" x14ac:dyDescent="0.25">
      <c r="F563" s="103"/>
      <c r="G563" s="104"/>
      <c r="H563" s="104"/>
      <c r="I563" s="104"/>
      <c r="J563" s="104"/>
      <c r="K563" s="104"/>
      <c r="L563" s="140"/>
      <c r="M563" s="101"/>
      <c r="N563" s="127"/>
      <c r="O563" s="95"/>
      <c r="P563" s="98"/>
      <c r="Q563" s="95"/>
      <c r="R563" s="128"/>
      <c r="S563" s="95"/>
      <c r="T563" s="95"/>
      <c r="U563" s="96"/>
      <c r="V563" s="96"/>
      <c r="W563" s="96"/>
      <c r="X563" s="96"/>
      <c r="Y563" s="96"/>
      <c r="Z563" s="97"/>
    </row>
    <row r="564" spans="6:26" x14ac:dyDescent="0.25">
      <c r="F564" s="103"/>
      <c r="G564" s="104"/>
      <c r="H564" s="104"/>
      <c r="I564" s="104"/>
      <c r="J564" s="104"/>
      <c r="K564" s="104"/>
      <c r="L564" s="140"/>
      <c r="M564" s="101"/>
      <c r="N564" s="127"/>
      <c r="O564" s="95"/>
      <c r="P564" s="98"/>
      <c r="Q564" s="95"/>
      <c r="R564" s="128"/>
      <c r="S564" s="95"/>
      <c r="T564" s="95"/>
      <c r="U564" s="96"/>
      <c r="V564" s="96"/>
      <c r="W564" s="96"/>
      <c r="X564" s="96"/>
      <c r="Y564" s="96"/>
      <c r="Z564" s="97"/>
    </row>
    <row r="565" spans="6:26" x14ac:dyDescent="0.25">
      <c r="F565" s="103"/>
      <c r="G565" s="104"/>
      <c r="H565" s="104"/>
      <c r="I565" s="104"/>
      <c r="J565" s="104"/>
      <c r="K565" s="104"/>
      <c r="L565" s="140"/>
      <c r="M565" s="101"/>
      <c r="N565" s="127"/>
      <c r="O565" s="95"/>
      <c r="P565" s="98"/>
      <c r="Q565" s="95"/>
      <c r="R565" s="128"/>
      <c r="S565" s="95"/>
      <c r="T565" s="95"/>
      <c r="U565" s="96"/>
      <c r="V565" s="96"/>
      <c r="W565" s="96"/>
      <c r="X565" s="96"/>
      <c r="Y565" s="96"/>
      <c r="Z565" s="97"/>
    </row>
    <row r="566" spans="6:26" x14ac:dyDescent="0.25">
      <c r="F566" s="103"/>
      <c r="G566" s="104"/>
      <c r="H566" s="104"/>
      <c r="I566" s="104"/>
      <c r="J566" s="104"/>
      <c r="K566" s="104"/>
      <c r="L566" s="140"/>
      <c r="M566" s="101"/>
      <c r="N566" s="127"/>
      <c r="O566" s="95"/>
      <c r="P566" s="98"/>
      <c r="Q566" s="95"/>
      <c r="R566" s="128"/>
      <c r="S566" s="95"/>
      <c r="T566" s="95"/>
      <c r="U566" s="96"/>
      <c r="V566" s="96"/>
      <c r="W566" s="96"/>
      <c r="X566" s="96"/>
      <c r="Y566" s="96"/>
      <c r="Z566" s="97"/>
    </row>
    <row r="567" spans="6:26" x14ac:dyDescent="0.25">
      <c r="F567" s="103"/>
      <c r="G567" s="104"/>
      <c r="H567" s="104"/>
      <c r="I567" s="104"/>
      <c r="J567" s="104"/>
      <c r="K567" s="104"/>
      <c r="L567" s="140"/>
      <c r="M567" s="101"/>
      <c r="N567" s="127"/>
      <c r="O567" s="95"/>
      <c r="P567" s="98"/>
      <c r="Q567" s="95"/>
      <c r="R567" s="128"/>
      <c r="S567" s="95"/>
      <c r="T567" s="95"/>
      <c r="U567" s="96"/>
      <c r="V567" s="96"/>
      <c r="W567" s="96"/>
      <c r="X567" s="96"/>
      <c r="Y567" s="96"/>
      <c r="Z567" s="97"/>
    </row>
    <row r="568" spans="6:26" x14ac:dyDescent="0.25">
      <c r="F568" s="103"/>
      <c r="G568" s="104"/>
      <c r="H568" s="104"/>
      <c r="I568" s="104"/>
      <c r="J568" s="104"/>
      <c r="K568" s="104"/>
      <c r="L568" s="140"/>
      <c r="M568" s="101"/>
      <c r="N568" s="127"/>
      <c r="O568" s="95"/>
      <c r="P568" s="98"/>
      <c r="Q568" s="95"/>
      <c r="R568" s="128"/>
      <c r="S568" s="95"/>
      <c r="T568" s="95"/>
      <c r="U568" s="96"/>
      <c r="V568" s="96"/>
      <c r="W568" s="96"/>
      <c r="X568" s="96"/>
      <c r="Y568" s="96"/>
      <c r="Z568" s="97"/>
    </row>
    <row r="569" spans="6:26" x14ac:dyDescent="0.25">
      <c r="F569" s="103"/>
      <c r="G569" s="104"/>
      <c r="H569" s="104"/>
      <c r="I569" s="104"/>
      <c r="J569" s="104"/>
      <c r="K569" s="104"/>
      <c r="L569" s="140"/>
      <c r="M569" s="101"/>
      <c r="N569" s="127"/>
      <c r="O569" s="95"/>
      <c r="P569" s="98"/>
      <c r="Q569" s="95"/>
      <c r="R569" s="128"/>
      <c r="S569" s="95"/>
      <c r="T569" s="95"/>
      <c r="U569" s="96"/>
      <c r="V569" s="96"/>
      <c r="W569" s="96"/>
      <c r="X569" s="96"/>
      <c r="Y569" s="96"/>
      <c r="Z569" s="97"/>
    </row>
    <row r="570" spans="6:26" x14ac:dyDescent="0.25">
      <c r="F570" s="103"/>
      <c r="G570" s="104"/>
      <c r="H570" s="104"/>
      <c r="I570" s="104"/>
      <c r="J570" s="104"/>
      <c r="K570" s="104"/>
      <c r="L570" s="140"/>
      <c r="M570" s="101"/>
      <c r="N570" s="127"/>
      <c r="O570" s="95"/>
      <c r="P570" s="98"/>
      <c r="Q570" s="95"/>
      <c r="R570" s="128"/>
      <c r="S570" s="95"/>
      <c r="T570" s="95"/>
      <c r="U570" s="96"/>
      <c r="V570" s="96"/>
      <c r="W570" s="96"/>
      <c r="X570" s="96"/>
      <c r="Y570" s="96"/>
      <c r="Z570" s="97"/>
    </row>
    <row r="571" spans="6:26" x14ac:dyDescent="0.25">
      <c r="F571" s="103"/>
      <c r="G571" s="104"/>
      <c r="H571" s="104"/>
      <c r="I571" s="104"/>
      <c r="J571" s="104"/>
      <c r="K571" s="104"/>
      <c r="L571" s="140"/>
      <c r="M571" s="101"/>
      <c r="N571" s="127"/>
      <c r="O571" s="95"/>
      <c r="P571" s="98"/>
      <c r="Q571" s="95"/>
      <c r="R571" s="128"/>
      <c r="S571" s="95"/>
      <c r="T571" s="95"/>
      <c r="U571" s="96"/>
      <c r="V571" s="96"/>
      <c r="W571" s="96"/>
      <c r="X571" s="96"/>
      <c r="Y571" s="96"/>
      <c r="Z571" s="97"/>
    </row>
    <row r="572" spans="6:26" x14ac:dyDescent="0.25">
      <c r="F572" s="103"/>
      <c r="G572" s="104"/>
      <c r="H572" s="104"/>
      <c r="I572" s="104"/>
      <c r="J572" s="104"/>
      <c r="K572" s="104"/>
      <c r="L572" s="140"/>
      <c r="M572" s="101"/>
      <c r="N572" s="127"/>
      <c r="O572" s="95"/>
      <c r="P572" s="98"/>
      <c r="Q572" s="95"/>
      <c r="R572" s="128"/>
      <c r="S572" s="95"/>
      <c r="T572" s="95"/>
      <c r="U572" s="96"/>
      <c r="V572" s="96"/>
      <c r="W572" s="96"/>
      <c r="X572" s="96"/>
      <c r="Y572" s="96"/>
      <c r="Z572" s="97"/>
    </row>
    <row r="573" spans="6:26" x14ac:dyDescent="0.25">
      <c r="F573" s="103"/>
      <c r="G573" s="104"/>
      <c r="H573" s="104"/>
      <c r="I573" s="104"/>
      <c r="J573" s="104"/>
      <c r="K573" s="104"/>
      <c r="L573" s="140"/>
      <c r="M573" s="101"/>
      <c r="N573" s="127"/>
      <c r="O573" s="95"/>
      <c r="P573" s="98"/>
      <c r="Q573" s="95"/>
      <c r="R573" s="128"/>
      <c r="S573" s="95"/>
      <c r="T573" s="95"/>
      <c r="U573" s="96"/>
      <c r="V573" s="96"/>
      <c r="W573" s="96"/>
      <c r="X573" s="96"/>
      <c r="Y573" s="96"/>
      <c r="Z573" s="97"/>
    </row>
    <row r="574" spans="6:26" x14ac:dyDescent="0.25">
      <c r="F574" s="103"/>
      <c r="G574" s="104"/>
      <c r="H574" s="104"/>
      <c r="I574" s="104"/>
      <c r="J574" s="104"/>
      <c r="K574" s="104"/>
      <c r="L574" s="140"/>
      <c r="M574" s="101"/>
      <c r="N574" s="127"/>
      <c r="O574" s="95"/>
      <c r="P574" s="98"/>
      <c r="Q574" s="95"/>
      <c r="R574" s="128"/>
      <c r="S574" s="95"/>
      <c r="T574" s="95"/>
      <c r="U574" s="96"/>
      <c r="V574" s="96"/>
      <c r="W574" s="96"/>
      <c r="X574" s="96"/>
      <c r="Y574" s="96"/>
      <c r="Z574" s="97"/>
    </row>
    <row r="575" spans="6:26" x14ac:dyDescent="0.25">
      <c r="F575" s="103"/>
      <c r="G575" s="104"/>
      <c r="H575" s="104"/>
      <c r="I575" s="104"/>
      <c r="J575" s="104"/>
      <c r="K575" s="104"/>
      <c r="L575" s="140"/>
      <c r="M575" s="101"/>
      <c r="N575" s="127"/>
      <c r="O575" s="95"/>
      <c r="P575" s="98"/>
      <c r="Q575" s="95"/>
      <c r="R575" s="128"/>
      <c r="S575" s="95"/>
      <c r="T575" s="95"/>
      <c r="U575" s="96"/>
      <c r="V575" s="96"/>
      <c r="W575" s="96"/>
      <c r="X575" s="96"/>
      <c r="Y575" s="96"/>
      <c r="Z575" s="97"/>
    </row>
    <row r="576" spans="6:26" x14ac:dyDescent="0.25">
      <c r="F576" s="103"/>
      <c r="G576" s="104"/>
      <c r="H576" s="104"/>
      <c r="I576" s="104"/>
      <c r="J576" s="104"/>
      <c r="K576" s="104"/>
      <c r="L576" s="140"/>
      <c r="M576" s="101"/>
      <c r="N576" s="127"/>
      <c r="O576" s="95"/>
      <c r="P576" s="98"/>
      <c r="Q576" s="95"/>
      <c r="R576" s="128"/>
      <c r="S576" s="95"/>
      <c r="T576" s="95"/>
      <c r="U576" s="96"/>
      <c r="V576" s="96"/>
      <c r="W576" s="96"/>
      <c r="X576" s="96"/>
      <c r="Y576" s="96"/>
      <c r="Z576" s="97"/>
    </row>
    <row r="577" spans="6:26" x14ac:dyDescent="0.25">
      <c r="F577" s="103"/>
      <c r="G577" s="104"/>
      <c r="H577" s="104"/>
      <c r="I577" s="104"/>
      <c r="J577" s="104"/>
      <c r="K577" s="104"/>
      <c r="L577" s="140"/>
      <c r="M577" s="101"/>
      <c r="N577" s="127"/>
      <c r="O577" s="95"/>
      <c r="P577" s="98"/>
      <c r="Q577" s="95"/>
      <c r="R577" s="128"/>
      <c r="S577" s="95"/>
      <c r="T577" s="95"/>
      <c r="U577" s="96"/>
      <c r="V577" s="96"/>
      <c r="W577" s="96"/>
      <c r="X577" s="96"/>
      <c r="Y577" s="96"/>
      <c r="Z577" s="97"/>
    </row>
    <row r="578" spans="6:26" x14ac:dyDescent="0.25">
      <c r="N578" s="127"/>
      <c r="O578" s="95"/>
      <c r="P578" s="98"/>
      <c r="Q578" s="95"/>
      <c r="R578" s="128"/>
      <c r="S578" s="95"/>
      <c r="T578" s="95"/>
      <c r="U578" s="96"/>
      <c r="V578" s="96"/>
      <c r="W578" s="96"/>
      <c r="X578" s="96"/>
      <c r="Y578" s="96"/>
      <c r="Z578" s="97"/>
    </row>
    <row r="579" spans="6:26" x14ac:dyDescent="0.25">
      <c r="N579" s="127"/>
      <c r="O579" s="95"/>
      <c r="P579" s="98"/>
      <c r="Q579" s="95"/>
      <c r="R579" s="128"/>
      <c r="S579" s="95"/>
      <c r="T579" s="95"/>
      <c r="U579" s="96"/>
      <c r="V579" s="96"/>
      <c r="W579" s="96"/>
      <c r="X579" s="96"/>
      <c r="Y579" s="96"/>
      <c r="Z579" s="97"/>
    </row>
    <row r="580" spans="6:26" x14ac:dyDescent="0.25">
      <c r="N580" s="127"/>
      <c r="O580" s="95"/>
      <c r="P580" s="98"/>
      <c r="Q580" s="95"/>
      <c r="R580" s="128"/>
      <c r="S580" s="95"/>
      <c r="T580" s="95"/>
      <c r="U580" s="96"/>
      <c r="V580" s="96"/>
      <c r="W580" s="96"/>
      <c r="X580" s="96"/>
      <c r="Y580" s="96"/>
      <c r="Z580" s="97"/>
    </row>
    <row r="581" spans="6:26" x14ac:dyDescent="0.25">
      <c r="N581" s="127"/>
      <c r="O581" s="95"/>
      <c r="P581" s="98"/>
      <c r="Q581" s="95"/>
      <c r="R581" s="128"/>
      <c r="S581" s="95"/>
      <c r="T581" s="95"/>
      <c r="U581" s="96"/>
      <c r="V581" s="96"/>
      <c r="W581" s="96"/>
      <c r="X581" s="96"/>
      <c r="Y581" s="96"/>
      <c r="Z581" s="97"/>
    </row>
    <row r="582" spans="6:26" x14ac:dyDescent="0.25">
      <c r="N582" s="127"/>
      <c r="O582" s="95"/>
      <c r="P582" s="98"/>
      <c r="Q582" s="95"/>
      <c r="R582" s="128"/>
      <c r="S582" s="95"/>
      <c r="T582" s="95"/>
      <c r="U582" s="96"/>
      <c r="V582" s="96"/>
      <c r="W582" s="96"/>
      <c r="X582" s="96"/>
      <c r="Y582" s="96"/>
      <c r="Z582" s="97"/>
    </row>
    <row r="583" spans="6:26" x14ac:dyDescent="0.25">
      <c r="N583" s="127"/>
      <c r="O583" s="95"/>
      <c r="P583" s="98"/>
      <c r="Q583" s="95"/>
      <c r="R583" s="128"/>
      <c r="S583" s="95"/>
      <c r="T583" s="95"/>
      <c r="U583" s="96"/>
      <c r="V583" s="96"/>
      <c r="W583" s="96"/>
      <c r="X583" s="96"/>
      <c r="Y583" s="96"/>
      <c r="Z583" s="97"/>
    </row>
    <row r="584" spans="6:26" x14ac:dyDescent="0.25">
      <c r="N584" s="127"/>
      <c r="O584" s="95"/>
      <c r="P584" s="98"/>
      <c r="Q584" s="95"/>
      <c r="R584" s="128"/>
      <c r="S584" s="95"/>
      <c r="T584" s="95"/>
      <c r="U584" s="96"/>
      <c r="V584" s="96"/>
      <c r="W584" s="96"/>
      <c r="X584" s="96"/>
      <c r="Y584" s="96"/>
      <c r="Z584" s="97"/>
    </row>
    <row r="585" spans="6:26" x14ac:dyDescent="0.25">
      <c r="N585" s="127"/>
      <c r="O585" s="95"/>
      <c r="P585" s="98"/>
      <c r="Q585" s="95"/>
      <c r="R585" s="128"/>
      <c r="S585" s="95"/>
      <c r="T585" s="95"/>
      <c r="U585" s="96"/>
      <c r="V585" s="96"/>
      <c r="W585" s="96"/>
      <c r="X585" s="96"/>
      <c r="Y585" s="96"/>
      <c r="Z585" s="97"/>
    </row>
    <row r="586" spans="6:26" x14ac:dyDescent="0.25">
      <c r="N586" s="127"/>
      <c r="O586" s="95"/>
      <c r="P586" s="98"/>
      <c r="Q586" s="95"/>
      <c r="R586" s="128"/>
      <c r="S586" s="95"/>
      <c r="T586" s="95"/>
      <c r="U586" s="96"/>
      <c r="V586" s="96"/>
      <c r="W586" s="96"/>
      <c r="X586" s="96"/>
      <c r="Y586" s="96"/>
      <c r="Z586" s="97"/>
    </row>
    <row r="587" spans="6:26" x14ac:dyDescent="0.25">
      <c r="N587" s="127"/>
      <c r="O587" s="95"/>
      <c r="P587" s="98"/>
      <c r="Q587" s="95"/>
      <c r="R587" s="128"/>
      <c r="S587" s="95"/>
      <c r="T587" s="95"/>
      <c r="U587" s="96"/>
      <c r="V587" s="96"/>
      <c r="W587" s="96"/>
      <c r="X587" s="96"/>
      <c r="Y587" s="96"/>
      <c r="Z587" s="97"/>
    </row>
    <row r="588" spans="6:26" x14ac:dyDescent="0.25">
      <c r="N588" s="127"/>
      <c r="O588" s="95"/>
      <c r="P588" s="98"/>
      <c r="Q588" s="95"/>
      <c r="R588" s="128"/>
      <c r="S588" s="95"/>
      <c r="T588" s="95"/>
      <c r="U588" s="96"/>
      <c r="V588" s="96"/>
      <c r="W588" s="96"/>
      <c r="X588" s="96"/>
      <c r="Y588" s="96"/>
      <c r="Z588" s="97"/>
    </row>
    <row r="589" spans="6:26" x14ac:dyDescent="0.25">
      <c r="N589" s="127"/>
      <c r="O589" s="95"/>
      <c r="P589" s="98"/>
      <c r="Q589" s="95"/>
      <c r="R589" s="128"/>
      <c r="S589" s="95"/>
      <c r="T589" s="95"/>
      <c r="U589" s="96"/>
      <c r="V589" s="96"/>
      <c r="W589" s="96"/>
      <c r="X589" s="96"/>
      <c r="Y589" s="96"/>
      <c r="Z589" s="97"/>
    </row>
    <row r="590" spans="6:26" x14ac:dyDescent="0.25">
      <c r="N590" s="127"/>
      <c r="O590" s="95"/>
      <c r="P590" s="98"/>
      <c r="Q590" s="95"/>
      <c r="R590" s="128"/>
      <c r="S590" s="95"/>
      <c r="T590" s="95"/>
      <c r="U590" s="96"/>
      <c r="V590" s="96"/>
      <c r="W590" s="96"/>
      <c r="X590" s="96"/>
      <c r="Y590" s="96"/>
      <c r="Z590" s="97"/>
    </row>
    <row r="591" spans="6:26" x14ac:dyDescent="0.25">
      <c r="N591" s="127"/>
      <c r="O591" s="95"/>
      <c r="P591" s="98"/>
      <c r="Q591" s="95"/>
      <c r="R591" s="128"/>
      <c r="S591" s="95"/>
      <c r="T591" s="95"/>
      <c r="U591" s="96"/>
      <c r="V591" s="96"/>
      <c r="W591" s="96"/>
      <c r="X591" s="96"/>
      <c r="Y591" s="96"/>
      <c r="Z591" s="97"/>
    </row>
    <row r="592" spans="6:26" x14ac:dyDescent="0.25">
      <c r="N592" s="127"/>
      <c r="O592" s="95"/>
      <c r="P592" s="98"/>
      <c r="Q592" s="95"/>
      <c r="R592" s="128"/>
      <c r="S592" s="95"/>
      <c r="T592" s="95"/>
      <c r="U592" s="96"/>
      <c r="V592" s="96"/>
      <c r="W592" s="96"/>
      <c r="X592" s="96"/>
      <c r="Y592" s="96"/>
      <c r="Z592" s="97"/>
    </row>
    <row r="593" spans="14:26" x14ac:dyDescent="0.25">
      <c r="N593" s="127"/>
      <c r="O593" s="95"/>
      <c r="P593" s="98"/>
      <c r="Q593" s="95"/>
      <c r="R593" s="128"/>
      <c r="S593" s="95"/>
      <c r="T593" s="95"/>
      <c r="U593" s="96"/>
      <c r="V593" s="96"/>
      <c r="W593" s="96"/>
      <c r="X593" s="96"/>
      <c r="Y593" s="96"/>
      <c r="Z593" s="97"/>
    </row>
    <row r="594" spans="14:26" x14ac:dyDescent="0.25">
      <c r="N594" s="127"/>
      <c r="O594" s="95"/>
      <c r="P594" s="98"/>
      <c r="Q594" s="95"/>
      <c r="R594" s="128"/>
      <c r="S594" s="95"/>
      <c r="T594" s="95"/>
      <c r="U594" s="96"/>
      <c r="V594" s="96"/>
      <c r="W594" s="96"/>
      <c r="X594" s="96"/>
      <c r="Y594" s="96"/>
      <c r="Z594" s="97"/>
    </row>
  </sheetData>
  <autoFilter ref="F2:Z31" xr:uid="{00000000-0009-0000-0000-000001000000}"/>
  <mergeCells count="3">
    <mergeCell ref="A3:A31"/>
    <mergeCell ref="B3:B31"/>
    <mergeCell ref="C3:C31"/>
  </mergeCells>
  <dataValidations count="3">
    <dataValidation type="list" allowBlank="1" showInputMessage="1" showErrorMessage="1" sqref="A3" xr:uid="{00000000-0002-0000-0100-000000000000}">
      <formula1>Module</formula1>
    </dataValidation>
    <dataValidation type="list" allowBlank="1" showInputMessage="1" showErrorMessage="1" sqref="M1 M3:M31" xr:uid="{00000000-0002-0000-0100-000001000000}">
      <formula1>Objecte</formula1>
    </dataValidation>
    <dataValidation type="list" allowBlank="1" showInputMessage="1" showErrorMessage="1" sqref="Q3:Q31" xr:uid="{00000000-0002-0000-0100-000002000000}">
      <formula1>INDIRECT(M3)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B5DD-F185-4DBA-A725-35DD2130AF5F}">
  <sheetPr codeName="Tabelle12">
    <tabColor rgb="FFC7E8FF"/>
  </sheetPr>
  <dimension ref="E1:R75"/>
  <sheetViews>
    <sheetView zoomScaleNormal="100" workbookViewId="0">
      <selection activeCell="I35" sqref="I35"/>
    </sheetView>
  </sheetViews>
  <sheetFormatPr baseColWidth="10" defaultRowHeight="15" x14ac:dyDescent="0.25"/>
  <cols>
    <col min="1" max="4" width="1.140625" customWidth="1"/>
    <col min="5" max="5" width="13.140625" style="20" customWidth="1"/>
    <col min="6" max="6" width="13.85546875" style="20" bestFit="1" customWidth="1"/>
    <col min="7" max="7" width="12.42578125" style="20" customWidth="1"/>
    <col min="8" max="8" width="13.85546875" style="20" customWidth="1"/>
    <col min="9" max="9" width="23.42578125" style="20" customWidth="1"/>
    <col min="10" max="18" width="11.42578125" style="20"/>
  </cols>
  <sheetData>
    <row r="1" spans="5:18" ht="18" customHeight="1" x14ac:dyDescent="0.25">
      <c r="E1" s="7" t="str">
        <f>PSDUS0202!A1</f>
        <v>PCD3.M5360</v>
      </c>
      <c r="F1" s="517" t="s">
        <v>858</v>
      </c>
      <c r="G1" s="517"/>
    </row>
    <row r="2" spans="5:18" x14ac:dyDescent="0.25">
      <c r="F2" s="517" t="s">
        <v>859</v>
      </c>
      <c r="G2" s="517"/>
    </row>
    <row r="3" spans="5:18" x14ac:dyDescent="0.25">
      <c r="F3" s="517" t="s">
        <v>860</v>
      </c>
      <c r="G3" s="517"/>
    </row>
    <row r="4" spans="5:18" x14ac:dyDescent="0.25">
      <c r="F4" s="517" t="s">
        <v>861</v>
      </c>
      <c r="G4" s="517"/>
    </row>
    <row r="5" spans="5:18" x14ac:dyDescent="0.25">
      <c r="F5" s="517" t="s">
        <v>862</v>
      </c>
      <c r="G5" s="517"/>
    </row>
    <row r="6" spans="5:18" x14ac:dyDescent="0.25">
      <c r="E6" s="7" t="s">
        <v>475</v>
      </c>
      <c r="F6" s="7" t="s">
        <v>144</v>
      </c>
      <c r="G6" s="7" t="s">
        <v>482</v>
      </c>
      <c r="H6" s="7" t="s">
        <v>474</v>
      </c>
      <c r="I6" s="7" t="s">
        <v>476</v>
      </c>
    </row>
    <row r="7" spans="5:18" s="2" customFormat="1" x14ac:dyDescent="0.25">
      <c r="E7" s="22">
        <f>PSDUS0202!E2</f>
        <v>0</v>
      </c>
      <c r="F7" s="22" t="s">
        <v>481</v>
      </c>
      <c r="G7" s="22" t="str">
        <f ca="1">OFFSET(PSDUS0202!$C$2,E7,0)</f>
        <v>Slot0</v>
      </c>
      <c r="H7" s="22" t="str">
        <f ca="1">OFFSET(PSDUS0202!$A$2,E7,0)</f>
        <v>x</v>
      </c>
      <c r="I7" s="22" t="str">
        <f ca="1">OFFSET(PSDUS0202!$B$2,E7,0)</f>
        <v>.</v>
      </c>
      <c r="J7" s="22"/>
      <c r="K7" s="22"/>
      <c r="L7" s="22"/>
      <c r="M7" s="22"/>
      <c r="N7" s="22"/>
      <c r="O7" s="22"/>
      <c r="P7" s="22"/>
      <c r="Q7" s="22"/>
      <c r="R7" s="22"/>
    </row>
    <row r="8" spans="5:18" s="2" customFormat="1" x14ac:dyDescent="0.25">
      <c r="E8" s="22">
        <v>16</v>
      </c>
      <c r="F8" s="22" t="s">
        <v>481</v>
      </c>
      <c r="G8" s="22" t="str">
        <f ca="1">OFFSET(PSDUS0202!$C$2,E8,0)</f>
        <v>Slot1</v>
      </c>
      <c r="H8" s="22" t="str">
        <f ca="1">OFFSET(PSDUS0202!$A$2,E8,0)</f>
        <v>x</v>
      </c>
      <c r="I8" s="22" t="str">
        <f ca="1">OFFSET(PSDUS0202!$B$2,E8,0)</f>
        <v>.</v>
      </c>
      <c r="J8" s="22"/>
      <c r="K8" s="22"/>
      <c r="L8" s="22"/>
      <c r="M8" s="22"/>
      <c r="N8" s="22"/>
      <c r="O8" s="22"/>
      <c r="P8" s="22"/>
      <c r="Q8" s="22"/>
      <c r="R8" s="22"/>
    </row>
    <row r="9" spans="5:18" s="2" customFormat="1" x14ac:dyDescent="0.25">
      <c r="E9" s="22">
        <f>E8+16</f>
        <v>32</v>
      </c>
      <c r="F9" s="22" t="s">
        <v>481</v>
      </c>
      <c r="G9" s="22" t="str">
        <f ca="1">OFFSET(PSDUS0202!$C$2,E9,0)</f>
        <v>Slot2</v>
      </c>
      <c r="H9" s="22" t="str">
        <f ca="1">OFFSET(PSDUS0202!$A$2,E9,0)</f>
        <v>x</v>
      </c>
      <c r="I9" s="22" t="str">
        <f ca="1">OFFSET(PSDUS0202!$B$2,E9,0)</f>
        <v>.</v>
      </c>
      <c r="J9" s="22"/>
      <c r="K9" s="22"/>
      <c r="L9" s="22"/>
      <c r="M9" s="22"/>
      <c r="N9" s="22"/>
      <c r="O9" s="22"/>
      <c r="P9" s="22"/>
      <c r="Q9" s="22"/>
      <c r="R9" s="22"/>
    </row>
    <row r="10" spans="5:18" s="35" customFormat="1" ht="15.75" thickBot="1" x14ac:dyDescent="0.3">
      <c r="E10" s="36">
        <f t="shared" ref="E10:E73" si="0">E9+16</f>
        <v>48</v>
      </c>
      <c r="F10" s="36" t="s">
        <v>481</v>
      </c>
      <c r="G10" s="36" t="str">
        <f ca="1">OFFSET(PSDUS0202!$C$2,E10,0)</f>
        <v>Slot3</v>
      </c>
      <c r="H10" s="36" t="str">
        <f ca="1">OFFSET(PSDUS0202!$A$2,E10,0)</f>
        <v>x</v>
      </c>
      <c r="I10" s="36" t="str">
        <f ca="1">OFFSET(PSDUS0202!$B$2,E10,0)</f>
        <v>.</v>
      </c>
      <c r="J10" s="36"/>
      <c r="K10" s="36"/>
      <c r="L10" s="36"/>
      <c r="M10" s="36"/>
      <c r="N10" s="36"/>
      <c r="O10" s="36"/>
      <c r="P10" s="36"/>
      <c r="Q10" s="36"/>
      <c r="R10" s="36"/>
    </row>
    <row r="11" spans="5:18" s="31" customFormat="1" x14ac:dyDescent="0.25">
      <c r="E11" s="37">
        <f t="shared" si="0"/>
        <v>64</v>
      </c>
      <c r="F11" s="37" t="s">
        <v>477</v>
      </c>
      <c r="G11" s="37" t="str">
        <f ca="1">OFFSET(PSDUS0202!$C$2,E11,0)</f>
        <v>Slot4</v>
      </c>
      <c r="H11" s="37" t="str">
        <f ca="1">OFFSET(PSDUS0202!$A$2,E11,0)</f>
        <v>PCD3.A465</v>
      </c>
      <c r="I11" s="37" t="str">
        <f ca="1">OFFSET(PSDUS0202!$B$2,E11,0)</f>
        <v>DigitalOutput</v>
      </c>
      <c r="J11" s="37"/>
      <c r="K11" s="37"/>
      <c r="L11" s="37"/>
      <c r="M11" s="37"/>
      <c r="N11" s="37"/>
      <c r="O11" s="37"/>
      <c r="P11" s="37"/>
      <c r="Q11" s="37"/>
      <c r="R11" s="37"/>
    </row>
    <row r="12" spans="5:18" s="2" customFormat="1" x14ac:dyDescent="0.25">
      <c r="E12" s="22">
        <f t="shared" si="0"/>
        <v>80</v>
      </c>
      <c r="F12" s="22" t="s">
        <v>477</v>
      </c>
      <c r="G12" s="22" t="str">
        <f ca="1">OFFSET(PSDUS0202!$C$2,E12,0)</f>
        <v>Slot5</v>
      </c>
      <c r="H12" s="22" t="str">
        <f ca="1">OFFSET(PSDUS0202!$A$2,E12,0)</f>
        <v>PCD3.A465</v>
      </c>
      <c r="I12" s="22" t="str">
        <f ca="1">OFFSET(PSDUS0202!$B$2,E12,0)</f>
        <v>DigitalOutput</v>
      </c>
      <c r="J12" s="22"/>
      <c r="K12" s="22"/>
      <c r="L12" s="22"/>
      <c r="M12" s="22"/>
      <c r="N12" s="22"/>
      <c r="O12" s="22"/>
      <c r="P12" s="22"/>
      <c r="Q12" s="22"/>
      <c r="R12" s="22"/>
    </row>
    <row r="13" spans="5:18" s="2" customFormat="1" x14ac:dyDescent="0.25">
      <c r="E13" s="22">
        <f t="shared" si="0"/>
        <v>96</v>
      </c>
      <c r="F13" s="22" t="s">
        <v>477</v>
      </c>
      <c r="G13" s="22" t="str">
        <f ca="1">OFFSET(PSDUS0202!$C$2,E13,0)</f>
        <v>Slot6</v>
      </c>
      <c r="H13" s="22" t="str">
        <f ca="1">OFFSET(PSDUS0202!$A$2,E13,0)</f>
        <v>PCD3.A465</v>
      </c>
      <c r="I13" s="22" t="str">
        <f ca="1">OFFSET(PSDUS0202!$B$2,E13,0)</f>
        <v>DigitalOutput</v>
      </c>
      <c r="J13" s="22"/>
      <c r="K13" s="22"/>
      <c r="L13" s="22"/>
      <c r="M13" s="22"/>
      <c r="N13" s="22"/>
      <c r="O13" s="22"/>
      <c r="P13" s="22"/>
      <c r="Q13" s="22"/>
      <c r="R13" s="22"/>
    </row>
    <row r="14" spans="5:18" s="35" customFormat="1" ht="15.75" thickBot="1" x14ac:dyDescent="0.3">
      <c r="E14" s="36">
        <f t="shared" si="0"/>
        <v>112</v>
      </c>
      <c r="F14" s="36" t="s">
        <v>477</v>
      </c>
      <c r="G14" s="36" t="str">
        <f ca="1">OFFSET(PSDUS0202!$C$2,E14,0)</f>
        <v>Slot7</v>
      </c>
      <c r="H14" s="36" t="str">
        <f ca="1">OFFSET(PSDUS0202!$A$2,E14,0)</f>
        <v>PCD3.E165</v>
      </c>
      <c r="I14" s="36" t="str">
        <f ca="1">OFFSET(PSDUS0202!$B$2,E14,0)</f>
        <v>DigitalInput</v>
      </c>
      <c r="J14" s="36"/>
      <c r="K14" s="36"/>
      <c r="L14" s="36"/>
      <c r="M14" s="36"/>
      <c r="N14" s="36"/>
      <c r="O14" s="36"/>
      <c r="P14" s="36"/>
      <c r="Q14" s="36"/>
      <c r="R14" s="36"/>
    </row>
    <row r="15" spans="5:18" s="31" customFormat="1" x14ac:dyDescent="0.25">
      <c r="E15" s="37">
        <f t="shared" si="0"/>
        <v>128</v>
      </c>
      <c r="F15" s="37" t="s">
        <v>477</v>
      </c>
      <c r="G15" s="37" t="str">
        <f ca="1">OFFSET(PSDUS0202!$C$2,E15,0)</f>
        <v>Slot8</v>
      </c>
      <c r="H15" s="37" t="str">
        <f ca="1">OFFSET(PSDUS0202!$A$2,E15,0)</f>
        <v>PCD3.E165</v>
      </c>
      <c r="I15" s="37" t="str">
        <f ca="1">OFFSET(PSDUS0202!$B$2,E15,0)</f>
        <v>DigitalInput</v>
      </c>
      <c r="J15" s="37"/>
      <c r="K15" s="37"/>
      <c r="L15" s="37"/>
      <c r="M15" s="37"/>
      <c r="N15" s="37"/>
      <c r="O15" s="37"/>
      <c r="P15" s="37"/>
      <c r="Q15" s="37"/>
      <c r="R15" s="37"/>
    </row>
    <row r="16" spans="5:18" s="2" customFormat="1" x14ac:dyDescent="0.25">
      <c r="E16" s="22">
        <f t="shared" si="0"/>
        <v>144</v>
      </c>
      <c r="F16" s="22" t="s">
        <v>477</v>
      </c>
      <c r="G16" s="22" t="str">
        <f ca="1">OFFSET(PSDUS0202!$C$2,E16,0)</f>
        <v>Slot9</v>
      </c>
      <c r="H16" s="22" t="str">
        <f ca="1">OFFSET(PSDUS0202!$A$2,E16,0)</f>
        <v>PCD3.E165</v>
      </c>
      <c r="I16" s="22" t="str">
        <f ca="1">OFFSET(PSDUS0202!$B$2,E16,0)</f>
        <v>DigitalInput</v>
      </c>
      <c r="J16" s="22"/>
      <c r="K16" s="22"/>
      <c r="L16" s="22"/>
      <c r="M16" s="22"/>
      <c r="N16" s="22"/>
      <c r="O16" s="22"/>
      <c r="P16" s="22"/>
      <c r="Q16" s="22"/>
      <c r="R16" s="22"/>
    </row>
    <row r="17" spans="5:18" s="2" customFormat="1" x14ac:dyDescent="0.25">
      <c r="E17" s="22">
        <f t="shared" si="0"/>
        <v>160</v>
      </c>
      <c r="F17" s="22" t="s">
        <v>477</v>
      </c>
      <c r="G17" s="22" t="str">
        <f ca="1">OFFSET(PSDUS0202!$C$2,E17,0)</f>
        <v>Slot10</v>
      </c>
      <c r="H17" s="22" t="str">
        <f ca="1">OFFSET(PSDUS0202!$A$2,E17,0)</f>
        <v>PCD3.E165</v>
      </c>
      <c r="I17" s="22" t="str">
        <f ca="1">OFFSET(PSDUS0202!$B$2,E17,0)</f>
        <v>DigitalInput</v>
      </c>
      <c r="J17" s="22"/>
      <c r="K17" s="22"/>
      <c r="L17" s="22"/>
      <c r="M17" s="22"/>
      <c r="N17" s="22"/>
      <c r="O17" s="22"/>
      <c r="P17" s="22"/>
      <c r="Q17" s="22"/>
      <c r="R17" s="22"/>
    </row>
    <row r="18" spans="5:18" s="35" customFormat="1" ht="15.75" thickBot="1" x14ac:dyDescent="0.3">
      <c r="E18" s="36">
        <f t="shared" si="0"/>
        <v>176</v>
      </c>
      <c r="F18" s="36" t="s">
        <v>477</v>
      </c>
      <c r="G18" s="36" t="str">
        <f ca="1">OFFSET(PSDUS0202!$C$2,E18,0)</f>
        <v>Slot11</v>
      </c>
      <c r="H18" s="36" t="str">
        <f ca="1">OFFSET(PSDUS0202!$A$2,E18,0)</f>
        <v>PCD3.E165</v>
      </c>
      <c r="I18" s="36" t="str">
        <f ca="1">OFFSET(PSDUS0202!$B$2,E18,0)</f>
        <v>DigitalInput</v>
      </c>
      <c r="J18" s="36"/>
      <c r="K18" s="36"/>
      <c r="L18" s="36"/>
      <c r="M18" s="36"/>
      <c r="N18" s="36"/>
      <c r="O18" s="36"/>
      <c r="P18" s="36"/>
      <c r="Q18" s="36"/>
      <c r="R18" s="36"/>
    </row>
    <row r="19" spans="5:18" s="31" customFormat="1" x14ac:dyDescent="0.25">
      <c r="E19" s="37">
        <f t="shared" si="0"/>
        <v>192</v>
      </c>
      <c r="F19" s="37" t="s">
        <v>477</v>
      </c>
      <c r="G19" s="37" t="str">
        <f ca="1">OFFSET(PSDUS0202!$C$2,E19,0)</f>
        <v>Slot12</v>
      </c>
      <c r="H19" s="37" t="str">
        <f ca="1">OFFSET(PSDUS0202!$A$2,E19,0)</f>
        <v>PCD3.E165</v>
      </c>
      <c r="I19" s="37" t="str">
        <f ca="1">OFFSET(PSDUS0202!$B$2,E19,0)</f>
        <v>DigitalInput</v>
      </c>
      <c r="J19" s="37"/>
      <c r="K19" s="37"/>
      <c r="L19" s="37"/>
      <c r="M19" s="37"/>
      <c r="N19" s="37"/>
      <c r="O19" s="37"/>
      <c r="P19" s="37"/>
      <c r="Q19" s="37"/>
      <c r="R19" s="37"/>
    </row>
    <row r="20" spans="5:18" s="2" customFormat="1" x14ac:dyDescent="0.25">
      <c r="E20" s="22">
        <f t="shared" si="0"/>
        <v>208</v>
      </c>
      <c r="F20" s="22" t="s">
        <v>477</v>
      </c>
      <c r="G20" s="22" t="str">
        <f ca="1">OFFSET(PSDUS0202!$C$2,E20,0)</f>
        <v>Slot13</v>
      </c>
      <c r="H20" s="22" t="str">
        <f ca="1">OFFSET(PSDUS0202!$A$2,E20,0)</f>
        <v>PCD3.W340</v>
      </c>
      <c r="I20" s="22" t="str">
        <f ca="1">OFFSET(PSDUS0202!$B$2,E20,0)</f>
        <v>AnalogueInput</v>
      </c>
      <c r="J20" s="22"/>
      <c r="K20" s="22"/>
      <c r="L20" s="22"/>
      <c r="M20" s="22"/>
      <c r="N20" s="22"/>
      <c r="O20" s="22"/>
      <c r="P20" s="22"/>
      <c r="Q20" s="22"/>
      <c r="R20" s="22"/>
    </row>
    <row r="21" spans="5:18" s="2" customFormat="1" x14ac:dyDescent="0.25">
      <c r="E21" s="22">
        <f t="shared" si="0"/>
        <v>224</v>
      </c>
      <c r="F21" s="22" t="s">
        <v>477</v>
      </c>
      <c r="G21" s="22" t="str">
        <f ca="1">OFFSET(PSDUS0202!$C$2,E21,0)</f>
        <v>Slot14</v>
      </c>
      <c r="H21" s="22" t="str">
        <f ca="1">OFFSET(PSDUS0202!$A$2,E21,0)</f>
        <v>PCD3.W340</v>
      </c>
      <c r="I21" s="22" t="str">
        <f ca="1">OFFSET(PSDUS0202!$B$2,E21,0)</f>
        <v>AnalogueInput</v>
      </c>
      <c r="J21" s="22"/>
      <c r="K21" s="22"/>
      <c r="L21" s="22"/>
      <c r="M21" s="22"/>
      <c r="N21" s="22"/>
      <c r="O21" s="22"/>
      <c r="P21" s="22"/>
      <c r="Q21" s="22"/>
      <c r="R21" s="22"/>
    </row>
    <row r="22" spans="5:18" s="35" customFormat="1" ht="15.75" thickBot="1" x14ac:dyDescent="0.3">
      <c r="E22" s="36">
        <f t="shared" si="0"/>
        <v>240</v>
      </c>
      <c r="F22" s="36" t="s">
        <v>477</v>
      </c>
      <c r="G22" s="36" t="str">
        <f ca="1">OFFSET(PSDUS0202!$C$2,E22,0)</f>
        <v>Slot15</v>
      </c>
      <c r="H22" s="36" t="str">
        <f ca="1">OFFSET(PSDUS0202!$A$2,E22,0)</f>
        <v>PCD3.W340</v>
      </c>
      <c r="I22" s="36" t="str">
        <f ca="1">OFFSET(PSDUS0202!$B$2,E22,0)</f>
        <v>AnalogueInput</v>
      </c>
      <c r="J22" s="36"/>
      <c r="K22" s="36"/>
      <c r="L22" s="36"/>
      <c r="M22" s="36"/>
      <c r="N22" s="36"/>
      <c r="O22" s="36"/>
      <c r="P22" s="36"/>
      <c r="Q22" s="36"/>
      <c r="R22" s="36"/>
    </row>
    <row r="23" spans="5:18" s="31" customFormat="1" x14ac:dyDescent="0.25">
      <c r="E23" s="37">
        <f t="shared" si="0"/>
        <v>256</v>
      </c>
      <c r="F23" s="37"/>
      <c r="G23" s="37" t="str">
        <f ca="1">OFFSET(PSDUS0202!$C$2,E23,0)</f>
        <v>Slot16</v>
      </c>
      <c r="H23" s="37" t="str">
        <f ca="1">OFFSET(PSDUS0202!$A$2,E23,0)</f>
        <v>PCD3.W340</v>
      </c>
      <c r="I23" s="37" t="str">
        <f ca="1">OFFSET(PSDUS0202!$B$2,E23,0)</f>
        <v>AnalogueInput</v>
      </c>
      <c r="J23" s="37"/>
      <c r="K23" s="37"/>
      <c r="L23" s="37"/>
      <c r="M23" s="37"/>
      <c r="N23" s="37"/>
      <c r="O23" s="37"/>
      <c r="P23" s="37"/>
      <c r="Q23" s="37"/>
      <c r="R23" s="37"/>
    </row>
    <row r="24" spans="5:18" s="2" customFormat="1" x14ac:dyDescent="0.25">
      <c r="E24" s="22">
        <f t="shared" si="0"/>
        <v>272</v>
      </c>
      <c r="F24" s="22"/>
      <c r="G24" s="22" t="str">
        <f ca="1">OFFSET(PSDUS0202!$C$2,E24,0)</f>
        <v>Slot17</v>
      </c>
      <c r="H24" s="22" t="str">
        <f ca="1">OFFSET(PSDUS0202!$A$2,E24,0)</f>
        <v>x</v>
      </c>
      <c r="I24" s="22" t="str">
        <f ca="1">OFFSET(PSDUS0202!$B$2,E24,0)</f>
        <v>.</v>
      </c>
      <c r="J24" s="22"/>
      <c r="K24" s="22"/>
      <c r="L24" s="22"/>
      <c r="M24" s="22"/>
      <c r="N24" s="22"/>
      <c r="O24" s="22"/>
      <c r="P24" s="22"/>
      <c r="Q24" s="22"/>
      <c r="R24" s="22"/>
    </row>
    <row r="25" spans="5:18" s="2" customFormat="1" x14ac:dyDescent="0.25">
      <c r="E25" s="22">
        <f t="shared" si="0"/>
        <v>288</v>
      </c>
      <c r="F25" s="22"/>
      <c r="G25" s="22" t="str">
        <f ca="1">OFFSET(PSDUS0202!$C$2,E25,0)</f>
        <v>Slot18</v>
      </c>
      <c r="H25" s="22" t="str">
        <f ca="1">OFFSET(PSDUS0202!$A$2,E25,0)</f>
        <v>x</v>
      </c>
      <c r="I25" s="22" t="str">
        <f ca="1">OFFSET(PSDUS0202!$B$2,E25,0)</f>
        <v>.</v>
      </c>
      <c r="J25" s="22"/>
      <c r="K25" s="22"/>
      <c r="L25" s="22"/>
      <c r="M25" s="22"/>
      <c r="N25" s="22"/>
      <c r="O25" s="22"/>
      <c r="P25" s="22"/>
      <c r="Q25" s="22"/>
      <c r="R25" s="22"/>
    </row>
    <row r="26" spans="5:18" s="35" customFormat="1" ht="15.75" thickBot="1" x14ac:dyDescent="0.3">
      <c r="E26" s="36">
        <f t="shared" si="0"/>
        <v>304</v>
      </c>
      <c r="F26" s="36"/>
      <c r="G26" s="36" t="str">
        <f ca="1">OFFSET(PSDUS0202!$C$2,E26,0)</f>
        <v>Slot19</v>
      </c>
      <c r="H26" s="36" t="str">
        <f ca="1">OFFSET(PSDUS0202!$A$2,E26,0)</f>
        <v>x</v>
      </c>
      <c r="I26" s="36" t="str">
        <f ca="1">OFFSET(PSDUS0202!$B$2,E26,0)</f>
        <v>.</v>
      </c>
      <c r="J26" s="36"/>
      <c r="K26" s="36"/>
      <c r="L26" s="36"/>
      <c r="M26" s="36"/>
      <c r="N26" s="36"/>
      <c r="O26" s="36"/>
      <c r="P26" s="36"/>
      <c r="Q26" s="36"/>
      <c r="R26" s="36"/>
    </row>
    <row r="27" spans="5:18" x14ac:dyDescent="0.25">
      <c r="E27" s="20">
        <f t="shared" si="0"/>
        <v>320</v>
      </c>
      <c r="G27" s="20" t="str">
        <f ca="1">OFFSET(PSDUS0202!$C$2,E27,0)</f>
        <v>Slot20</v>
      </c>
      <c r="H27" s="20" t="str">
        <f ca="1">OFFSET(PSDUS0202!$A$2,E27,0)</f>
        <v>x</v>
      </c>
      <c r="I27" s="20" t="str">
        <f ca="1">OFFSET(PSDUS0202!$B$2,E27,0)</f>
        <v>.</v>
      </c>
    </row>
    <row r="28" spans="5:18" x14ac:dyDescent="0.25">
      <c r="E28" s="20">
        <f t="shared" si="0"/>
        <v>336</v>
      </c>
      <c r="G28" s="20" t="str">
        <f ca="1">OFFSET(PSDUS0202!$C$2,E28,0)</f>
        <v>Slot21</v>
      </c>
      <c r="H28" s="20" t="str">
        <f ca="1">OFFSET(PSDUS0202!$A$2,E28,0)</f>
        <v>x</v>
      </c>
      <c r="I28" s="20" t="str">
        <f ca="1">OFFSET(PSDUS0202!$B$2,E28,0)</f>
        <v>.</v>
      </c>
    </row>
    <row r="29" spans="5:18" x14ac:dyDescent="0.25">
      <c r="E29" s="20">
        <f t="shared" si="0"/>
        <v>352</v>
      </c>
      <c r="G29" s="20" t="str">
        <f ca="1">OFFSET(PSDUS0202!$C$2,E29,0)</f>
        <v>Slot22</v>
      </c>
      <c r="H29" s="20" t="str">
        <f ca="1">OFFSET(PSDUS0202!$A$2,E29,0)</f>
        <v>x</v>
      </c>
      <c r="I29" s="20" t="str">
        <f ca="1">OFFSET(PSDUS0202!$B$2,E29,0)</f>
        <v>.</v>
      </c>
    </row>
    <row r="30" spans="5:18" x14ac:dyDescent="0.25">
      <c r="E30" s="20">
        <f t="shared" si="0"/>
        <v>368</v>
      </c>
      <c r="G30" s="20" t="str">
        <f ca="1">OFFSET(PSDUS0202!$C$2,E30,0)</f>
        <v>Slot23</v>
      </c>
      <c r="H30" s="20" t="str">
        <f ca="1">OFFSET(PSDUS0202!$A$2,E30,0)</f>
        <v>x</v>
      </c>
      <c r="I30" s="20" t="str">
        <f ca="1">OFFSET(PSDUS0202!$B$2,E30,0)</f>
        <v>.</v>
      </c>
    </row>
    <row r="31" spans="5:18" x14ac:dyDescent="0.25">
      <c r="E31" s="20">
        <f t="shared" si="0"/>
        <v>384</v>
      </c>
      <c r="G31" s="20" t="str">
        <f ca="1">OFFSET(PSDUS0202!$C$2,E31,0)</f>
        <v>Slot24</v>
      </c>
      <c r="H31" s="20" t="str">
        <f ca="1">OFFSET(PSDUS0202!$A$2,E31,0)</f>
        <v>x</v>
      </c>
      <c r="I31" s="20" t="str">
        <f ca="1">OFFSET(PSDUS0202!$B$2,E31,0)</f>
        <v>.</v>
      </c>
    </row>
    <row r="32" spans="5:18" x14ac:dyDescent="0.25">
      <c r="E32" s="20">
        <f t="shared" si="0"/>
        <v>400</v>
      </c>
      <c r="G32" s="20" t="str">
        <f ca="1">OFFSET(PSDUS0202!$C$2,E32,0)</f>
        <v>Slot25</v>
      </c>
      <c r="H32" s="20" t="str">
        <f ca="1">OFFSET(PSDUS0202!$A$2,E32,0)</f>
        <v>x</v>
      </c>
      <c r="I32" s="20" t="str">
        <f ca="1">OFFSET(PSDUS0202!$B$2,E32,0)</f>
        <v>.</v>
      </c>
    </row>
    <row r="33" spans="5:9" x14ac:dyDescent="0.25">
      <c r="E33" s="20">
        <f t="shared" si="0"/>
        <v>416</v>
      </c>
      <c r="G33" s="20" t="str">
        <f ca="1">OFFSET(PSDUS0202!$C$2,E33,0)</f>
        <v>Slot26</v>
      </c>
      <c r="H33" s="20" t="str">
        <f ca="1">OFFSET(PSDUS0202!$A$2,E33,0)</f>
        <v>x</v>
      </c>
      <c r="I33" s="20" t="str">
        <f ca="1">OFFSET(PSDUS0202!$B$2,E33,0)</f>
        <v>.</v>
      </c>
    </row>
    <row r="34" spans="5:9" x14ac:dyDescent="0.25">
      <c r="E34" s="20">
        <f t="shared" si="0"/>
        <v>432</v>
      </c>
      <c r="G34" s="20" t="str">
        <f ca="1">OFFSET(PSDUS0202!$C$2,E34,0)</f>
        <v>Slot27</v>
      </c>
      <c r="H34" s="20" t="str">
        <f ca="1">OFFSET(PSDUS0202!$A$2,E34,0)</f>
        <v>x</v>
      </c>
      <c r="I34" s="20" t="str">
        <f ca="1">OFFSET(PSDUS0202!$B$2,E34,0)</f>
        <v>.</v>
      </c>
    </row>
    <row r="35" spans="5:9" x14ac:dyDescent="0.25">
      <c r="E35" s="20">
        <f t="shared" si="0"/>
        <v>448</v>
      </c>
      <c r="G35" s="20" t="str">
        <f ca="1">OFFSET(PSDUS0202!$C$2,E35,0)</f>
        <v>Slot28</v>
      </c>
      <c r="H35" s="20" t="str">
        <f ca="1">OFFSET(PSDUS0202!$A$2,E35,0)</f>
        <v>x</v>
      </c>
      <c r="I35" s="20" t="str">
        <f ca="1">OFFSET(PSDUS0202!$B$2,E35,0)</f>
        <v>.</v>
      </c>
    </row>
    <row r="36" spans="5:9" x14ac:dyDescent="0.25">
      <c r="E36" s="20">
        <f t="shared" si="0"/>
        <v>464</v>
      </c>
      <c r="G36" s="20" t="str">
        <f ca="1">OFFSET(PSDUS0202!$C$2,E36,0)</f>
        <v>Slot29</v>
      </c>
      <c r="H36" s="20" t="str">
        <f ca="1">OFFSET(PSDUS0202!$A$2,E36,0)</f>
        <v>x</v>
      </c>
      <c r="I36" s="20" t="str">
        <f ca="1">OFFSET(PSDUS0202!$B$2,E36,0)</f>
        <v>.</v>
      </c>
    </row>
    <row r="37" spans="5:9" x14ac:dyDescent="0.25">
      <c r="E37" s="20">
        <f t="shared" si="0"/>
        <v>480</v>
      </c>
      <c r="G37" s="20" t="str">
        <f ca="1">OFFSET(PSDUS0202!$C$2,E37,0)</f>
        <v>Slot30</v>
      </c>
      <c r="H37" s="20" t="str">
        <f ca="1">OFFSET(PSDUS0202!$A$2,E37,0)</f>
        <v>x</v>
      </c>
      <c r="I37" s="20" t="str">
        <f ca="1">OFFSET(PSDUS0202!$B$2,E37,0)</f>
        <v>.</v>
      </c>
    </row>
    <row r="38" spans="5:9" x14ac:dyDescent="0.25">
      <c r="E38" s="20">
        <f t="shared" si="0"/>
        <v>496</v>
      </c>
      <c r="G38" s="20" t="str">
        <f ca="1">OFFSET(PSDUS0202!$C$2,E38,0)</f>
        <v>Slot31</v>
      </c>
      <c r="H38" s="20" t="str">
        <f ca="1">OFFSET(PSDUS0202!$A$2,E38,0)</f>
        <v>x</v>
      </c>
      <c r="I38" s="20" t="str">
        <f ca="1">OFFSET(PSDUS0202!$B$2,E38,0)</f>
        <v>.</v>
      </c>
    </row>
    <row r="39" spans="5:9" x14ac:dyDescent="0.25">
      <c r="E39" s="20">
        <f t="shared" si="0"/>
        <v>512</v>
      </c>
      <c r="G39" s="20" t="str">
        <f ca="1">OFFSET(PSDUS0202!$C$2,E39,0)</f>
        <v>Slot32</v>
      </c>
      <c r="H39" s="20" t="str">
        <f ca="1">OFFSET(PSDUS0202!$A$2,E39,0)</f>
        <v>x</v>
      </c>
      <c r="I39" s="20" t="str">
        <f ca="1">OFFSET(PSDUS0202!$B$2,E39,0)</f>
        <v>.</v>
      </c>
    </row>
    <row r="40" spans="5:9" x14ac:dyDescent="0.25">
      <c r="E40" s="20">
        <f t="shared" si="0"/>
        <v>528</v>
      </c>
      <c r="G40" s="20" t="str">
        <f ca="1">OFFSET(PSDUS0202!$C$2,E40,0)</f>
        <v>Slot33</v>
      </c>
      <c r="H40" s="20" t="str">
        <f ca="1">OFFSET(PSDUS0202!$A$2,E40,0)</f>
        <v>x</v>
      </c>
      <c r="I40" s="20" t="str">
        <f ca="1">OFFSET(PSDUS0202!$B$2,E40,0)</f>
        <v>.</v>
      </c>
    </row>
    <row r="41" spans="5:9" x14ac:dyDescent="0.25">
      <c r="E41" s="20">
        <f t="shared" si="0"/>
        <v>544</v>
      </c>
      <c r="G41" s="20" t="str">
        <f ca="1">OFFSET(PSDUS0202!$C$2,E41,0)</f>
        <v>Slot34</v>
      </c>
      <c r="H41" s="20" t="str">
        <f ca="1">OFFSET(PSDUS0202!$A$2,E41,0)</f>
        <v>x</v>
      </c>
      <c r="I41" s="20" t="str">
        <f ca="1">OFFSET(PSDUS0202!$B$2,E41,0)</f>
        <v>.</v>
      </c>
    </row>
    <row r="42" spans="5:9" x14ac:dyDescent="0.25">
      <c r="E42" s="20">
        <f t="shared" si="0"/>
        <v>560</v>
      </c>
      <c r="G42" s="20" t="str">
        <f ca="1">OFFSET(PSDUS0202!$C$2,E42,0)</f>
        <v>Slot35</v>
      </c>
      <c r="H42" s="20" t="str">
        <f ca="1">OFFSET(PSDUS0202!$A$2,E42,0)</f>
        <v>x</v>
      </c>
      <c r="I42" s="20" t="str">
        <f ca="1">OFFSET(PSDUS0202!$B$2,E42,0)</f>
        <v>.</v>
      </c>
    </row>
    <row r="43" spans="5:9" x14ac:dyDescent="0.25">
      <c r="E43" s="20">
        <f t="shared" si="0"/>
        <v>576</v>
      </c>
      <c r="G43" s="20">
        <f ca="1">OFFSET(PSDUS0202!$C$2,E43,0)</f>
        <v>0</v>
      </c>
      <c r="H43" s="20" t="str">
        <f ca="1">OFFSET(PSDUS0202!$A$2,E43,0)</f>
        <v>x</v>
      </c>
      <c r="I43" s="20">
        <f ca="1">OFFSET(PSDUS0202!$B$2,E43,0)</f>
        <v>0</v>
      </c>
    </row>
    <row r="44" spans="5:9" x14ac:dyDescent="0.25">
      <c r="E44" s="20">
        <f t="shared" si="0"/>
        <v>592</v>
      </c>
      <c r="G44" s="20">
        <f ca="1">OFFSET(PSDUS0202!$C$2,E44,0)</f>
        <v>0</v>
      </c>
      <c r="H44" s="20" t="str">
        <f ca="1">OFFSET(PSDUS0202!$A$2,E44,0)</f>
        <v>x</v>
      </c>
      <c r="I44" s="20">
        <f ca="1">OFFSET(PSDUS0202!$B$2,E44,0)</f>
        <v>0</v>
      </c>
    </row>
    <row r="45" spans="5:9" x14ac:dyDescent="0.25">
      <c r="E45" s="20">
        <f t="shared" si="0"/>
        <v>608</v>
      </c>
      <c r="G45" s="20">
        <f ca="1">OFFSET(PSDUS0202!$C$2,E45,0)</f>
        <v>0</v>
      </c>
      <c r="H45" s="20">
        <f ca="1">OFFSET(PSDUS0202!$A$2,E45,0)</f>
        <v>0</v>
      </c>
      <c r="I45" s="20">
        <f ca="1">OFFSET(PSDUS0202!$B$2,E45,0)</f>
        <v>0</v>
      </c>
    </row>
    <row r="46" spans="5:9" x14ac:dyDescent="0.25">
      <c r="E46" s="20">
        <f t="shared" si="0"/>
        <v>624</v>
      </c>
      <c r="G46" s="20">
        <f ca="1">OFFSET(PSDUS0202!$C$2,E46,0)</f>
        <v>0</v>
      </c>
      <c r="H46" s="20">
        <f ca="1">OFFSET(PSDUS0202!$A$2,E46,0)</f>
        <v>0</v>
      </c>
      <c r="I46" s="20">
        <f ca="1">OFFSET(PSDUS0202!$B$2,E46,0)</f>
        <v>0</v>
      </c>
    </row>
    <row r="47" spans="5:9" x14ac:dyDescent="0.25">
      <c r="E47" s="20">
        <f t="shared" si="0"/>
        <v>640</v>
      </c>
      <c r="G47" s="20">
        <f ca="1">OFFSET(PSDUS0202!$C$2,E47,0)</f>
        <v>0</v>
      </c>
      <c r="H47" s="20">
        <f ca="1">OFFSET(PSDUS0202!$A$2,E47,0)</f>
        <v>0</v>
      </c>
      <c r="I47" s="20">
        <f ca="1">OFFSET(PSDUS0202!$B$2,E47,0)</f>
        <v>0</v>
      </c>
    </row>
    <row r="48" spans="5:9" x14ac:dyDescent="0.25">
      <c r="E48" s="20">
        <f t="shared" si="0"/>
        <v>656</v>
      </c>
      <c r="G48" s="20">
        <f ca="1">OFFSET(PSDUS0202!$C$2,E48,0)</f>
        <v>0</v>
      </c>
      <c r="H48" s="20">
        <f ca="1">OFFSET(PSDUS0202!$A$2,E48,0)</f>
        <v>0</v>
      </c>
      <c r="I48" s="20">
        <f ca="1">OFFSET(PSDUS0202!$B$2,E48,0)</f>
        <v>0</v>
      </c>
    </row>
    <row r="49" spans="5:9" x14ac:dyDescent="0.25">
      <c r="E49" s="20">
        <f t="shared" si="0"/>
        <v>672</v>
      </c>
      <c r="G49" s="20">
        <f ca="1">OFFSET(PSDUS0202!$C$2,E49,0)</f>
        <v>0</v>
      </c>
      <c r="H49" s="20">
        <f ca="1">OFFSET(PSDUS0202!$A$2,E49,0)</f>
        <v>0</v>
      </c>
      <c r="I49" s="20">
        <f ca="1">OFFSET(PSDUS0202!$B$2,E49,0)</f>
        <v>0</v>
      </c>
    </row>
    <row r="50" spans="5:9" x14ac:dyDescent="0.25">
      <c r="E50" s="20">
        <f t="shared" si="0"/>
        <v>688</v>
      </c>
      <c r="G50" s="20">
        <f ca="1">OFFSET(PSDUS0202!$C$2,E50,0)</f>
        <v>0</v>
      </c>
      <c r="H50" s="20">
        <f ca="1">OFFSET(PSDUS0202!$A$2,E50,0)</f>
        <v>0</v>
      </c>
      <c r="I50" s="20">
        <f ca="1">OFFSET(PSDUS0202!$B$2,E50,0)</f>
        <v>0</v>
      </c>
    </row>
    <row r="51" spans="5:9" x14ac:dyDescent="0.25">
      <c r="E51" s="20">
        <f t="shared" si="0"/>
        <v>704</v>
      </c>
      <c r="G51" s="20">
        <f ca="1">OFFSET(PSDUS0202!$C$2,E51,0)</f>
        <v>0</v>
      </c>
      <c r="H51" s="20">
        <f ca="1">OFFSET(PSDUS0202!$A$2,E51,0)</f>
        <v>0</v>
      </c>
      <c r="I51" s="20">
        <f ca="1">OFFSET(PSDUS0202!$B$2,E51,0)</f>
        <v>0</v>
      </c>
    </row>
    <row r="52" spans="5:9" x14ac:dyDescent="0.25">
      <c r="E52" s="20">
        <f t="shared" si="0"/>
        <v>720</v>
      </c>
      <c r="G52" s="20">
        <f ca="1">OFFSET(PSDUS0202!$C$2,E52,0)</f>
        <v>0</v>
      </c>
      <c r="H52" s="20">
        <f ca="1">OFFSET(PSDUS0202!$A$2,E52,0)</f>
        <v>0</v>
      </c>
      <c r="I52" s="20">
        <f ca="1">OFFSET(PSDUS0202!$B$2,E52,0)</f>
        <v>0</v>
      </c>
    </row>
    <row r="53" spans="5:9" x14ac:dyDescent="0.25">
      <c r="E53" s="20">
        <f t="shared" si="0"/>
        <v>736</v>
      </c>
      <c r="G53" s="20">
        <f ca="1">OFFSET(PSDUS0202!$C$2,E53,0)</f>
        <v>0</v>
      </c>
      <c r="H53" s="20">
        <f ca="1">OFFSET(PSDUS0202!$A$2,E53,0)</f>
        <v>0</v>
      </c>
      <c r="I53" s="20">
        <f ca="1">OFFSET(PSDUS0202!$B$2,E53,0)</f>
        <v>0</v>
      </c>
    </row>
    <row r="54" spans="5:9" x14ac:dyDescent="0.25">
      <c r="E54" s="20">
        <f t="shared" si="0"/>
        <v>752</v>
      </c>
      <c r="G54" s="20">
        <f ca="1">OFFSET(PSDUS0202!$C$2,E54,0)</f>
        <v>0</v>
      </c>
      <c r="H54" s="20">
        <f ca="1">OFFSET(PSDUS0202!$A$2,E54,0)</f>
        <v>0</v>
      </c>
      <c r="I54" s="20">
        <f ca="1">OFFSET(PSDUS0202!$B$2,E54,0)</f>
        <v>0</v>
      </c>
    </row>
    <row r="55" spans="5:9" x14ac:dyDescent="0.25">
      <c r="E55" s="20">
        <f t="shared" si="0"/>
        <v>768</v>
      </c>
      <c r="G55" s="20">
        <f ca="1">OFFSET(PSDUS0202!$C$2,E55,0)</f>
        <v>0</v>
      </c>
      <c r="H55" s="20">
        <f ca="1">OFFSET(PSDUS0202!$A$2,E55,0)</f>
        <v>0</v>
      </c>
      <c r="I55" s="20">
        <f ca="1">OFFSET(PSDUS0202!$B$2,E55,0)</f>
        <v>0</v>
      </c>
    </row>
    <row r="56" spans="5:9" x14ac:dyDescent="0.25">
      <c r="E56" s="20">
        <f t="shared" si="0"/>
        <v>784</v>
      </c>
      <c r="G56" s="20">
        <f ca="1">OFFSET(PSDUS0202!$C$2,E56,0)</f>
        <v>0</v>
      </c>
      <c r="H56" s="20">
        <f ca="1">OFFSET(PSDUS0202!$A$2,E56,0)</f>
        <v>0</v>
      </c>
      <c r="I56" s="20">
        <f ca="1">OFFSET(PSDUS0202!$B$2,E56,0)</f>
        <v>0</v>
      </c>
    </row>
    <row r="57" spans="5:9" x14ac:dyDescent="0.25">
      <c r="E57" s="20">
        <f t="shared" si="0"/>
        <v>800</v>
      </c>
      <c r="G57" s="20">
        <f ca="1">OFFSET(PSDUS0202!$C$2,E57,0)</f>
        <v>0</v>
      </c>
      <c r="H57" s="20">
        <f ca="1">OFFSET(PSDUS0202!$A$2,E57,0)</f>
        <v>0</v>
      </c>
      <c r="I57" s="20">
        <f ca="1">OFFSET(PSDUS0202!$B$2,E57,0)</f>
        <v>0</v>
      </c>
    </row>
    <row r="58" spans="5:9" x14ac:dyDescent="0.25">
      <c r="E58" s="20">
        <f t="shared" si="0"/>
        <v>816</v>
      </c>
      <c r="G58" s="20">
        <f ca="1">OFFSET(PSDUS0202!$C$2,E58,0)</f>
        <v>0</v>
      </c>
      <c r="H58" s="20">
        <f ca="1">OFFSET(PSDUS0202!$A$2,E58,0)</f>
        <v>0</v>
      </c>
      <c r="I58" s="20">
        <f ca="1">OFFSET(PSDUS0202!$B$2,E58,0)</f>
        <v>0</v>
      </c>
    </row>
    <row r="59" spans="5:9" x14ac:dyDescent="0.25">
      <c r="E59" s="20">
        <f t="shared" si="0"/>
        <v>832</v>
      </c>
      <c r="G59" s="20">
        <f ca="1">OFFSET(PSDUS0202!$C$2,E59,0)</f>
        <v>0</v>
      </c>
      <c r="H59" s="20">
        <f ca="1">OFFSET(PSDUS0202!$A$2,E59,0)</f>
        <v>0</v>
      </c>
      <c r="I59" s="20">
        <f ca="1">OFFSET(PSDUS0202!$B$2,E59,0)</f>
        <v>0</v>
      </c>
    </row>
    <row r="60" spans="5:9" x14ac:dyDescent="0.25">
      <c r="E60" s="20">
        <f t="shared" si="0"/>
        <v>848</v>
      </c>
      <c r="G60" s="20">
        <f ca="1">OFFSET(PSDUS0202!$C$2,E60,0)</f>
        <v>0</v>
      </c>
      <c r="H60" s="20">
        <f ca="1">OFFSET(PSDUS0202!$A$2,E60,0)</f>
        <v>0</v>
      </c>
      <c r="I60" s="20">
        <f ca="1">OFFSET(PSDUS0202!$B$2,E60,0)</f>
        <v>0</v>
      </c>
    </row>
    <row r="61" spans="5:9" x14ac:dyDescent="0.25">
      <c r="E61" s="20">
        <f t="shared" si="0"/>
        <v>864</v>
      </c>
      <c r="G61" s="20">
        <f ca="1">OFFSET(PSDUS0202!$C$2,E61,0)</f>
        <v>0</v>
      </c>
      <c r="H61" s="20">
        <f ca="1">OFFSET(PSDUS0202!$A$2,E61,0)</f>
        <v>0</v>
      </c>
      <c r="I61" s="20">
        <f ca="1">OFFSET(PSDUS0202!$B$2,E61,0)</f>
        <v>0</v>
      </c>
    </row>
    <row r="62" spans="5:9" x14ac:dyDescent="0.25">
      <c r="E62" s="20">
        <f t="shared" si="0"/>
        <v>880</v>
      </c>
      <c r="G62" s="20">
        <f ca="1">OFFSET(PSDUS0202!$C$2,E62,0)</f>
        <v>0</v>
      </c>
      <c r="H62" s="20">
        <f ca="1">OFFSET(PSDUS0202!$A$2,E62,0)</f>
        <v>0</v>
      </c>
      <c r="I62" s="20">
        <f ca="1">OFFSET(PSDUS0202!$B$2,E62,0)</f>
        <v>0</v>
      </c>
    </row>
    <row r="63" spans="5:9" x14ac:dyDescent="0.25">
      <c r="E63" s="20">
        <f t="shared" si="0"/>
        <v>896</v>
      </c>
      <c r="G63" s="20">
        <f ca="1">OFFSET(PSDUS0202!$C$2,E63,0)</f>
        <v>0</v>
      </c>
      <c r="H63" s="20">
        <f ca="1">OFFSET(PSDUS0202!$A$2,E63,0)</f>
        <v>0</v>
      </c>
      <c r="I63" s="20">
        <f ca="1">OFFSET(PSDUS0202!$B$2,E63,0)</f>
        <v>0</v>
      </c>
    </row>
    <row r="64" spans="5:9" x14ac:dyDescent="0.25">
      <c r="E64" s="20">
        <f t="shared" si="0"/>
        <v>912</v>
      </c>
      <c r="G64" s="20">
        <f ca="1">OFFSET(PSDUS0202!$C$2,E64,0)</f>
        <v>0</v>
      </c>
      <c r="H64" s="20">
        <f ca="1">OFFSET(PSDUS0202!$A$2,E64,0)</f>
        <v>0</v>
      </c>
      <c r="I64" s="20">
        <f ca="1">OFFSET(PSDUS0202!$B$2,E64,0)</f>
        <v>0</v>
      </c>
    </row>
    <row r="65" spans="5:9" x14ac:dyDescent="0.25">
      <c r="E65" s="20">
        <f t="shared" si="0"/>
        <v>928</v>
      </c>
      <c r="G65" s="20">
        <f ca="1">OFFSET(PSDUS0202!$C$2,E65,0)</f>
        <v>0</v>
      </c>
      <c r="H65" s="20">
        <f ca="1">OFFSET(PSDUS0202!$A$2,E65,0)</f>
        <v>0</v>
      </c>
      <c r="I65" s="20">
        <f ca="1">OFFSET(PSDUS0202!$B$2,E65,0)</f>
        <v>0</v>
      </c>
    </row>
    <row r="66" spans="5:9" x14ac:dyDescent="0.25">
      <c r="E66" s="20">
        <f t="shared" si="0"/>
        <v>944</v>
      </c>
      <c r="G66" s="20">
        <f ca="1">OFFSET(PSDUS0202!$C$2,E66,0)</f>
        <v>0</v>
      </c>
      <c r="H66" s="20">
        <f ca="1">OFFSET(PSDUS0202!$A$2,E66,0)</f>
        <v>0</v>
      </c>
      <c r="I66" s="20">
        <f ca="1">OFFSET(PSDUS0202!$B$2,E66,0)</f>
        <v>0</v>
      </c>
    </row>
    <row r="67" spans="5:9" x14ac:dyDescent="0.25">
      <c r="E67" s="20">
        <f t="shared" si="0"/>
        <v>960</v>
      </c>
      <c r="G67" s="20">
        <f ca="1">OFFSET(PSDUS0202!$C$2,E67,0)</f>
        <v>0</v>
      </c>
      <c r="H67" s="20">
        <f ca="1">OFFSET(PSDUS0202!$A$2,E67,0)</f>
        <v>0</v>
      </c>
      <c r="I67" s="20">
        <f ca="1">OFFSET(PSDUS0202!$B$2,E67,0)</f>
        <v>0</v>
      </c>
    </row>
    <row r="68" spans="5:9" x14ac:dyDescent="0.25">
      <c r="E68" s="20">
        <f t="shared" si="0"/>
        <v>976</v>
      </c>
      <c r="G68" s="20">
        <f ca="1">OFFSET(PSDUS0202!$C$2,E68,0)</f>
        <v>0</v>
      </c>
      <c r="H68" s="20">
        <f ca="1">OFFSET(PSDUS0202!$A$2,E68,0)</f>
        <v>0</v>
      </c>
      <c r="I68" s="20">
        <f ca="1">OFFSET(PSDUS0202!$B$2,E68,0)</f>
        <v>0</v>
      </c>
    </row>
    <row r="69" spans="5:9" x14ac:dyDescent="0.25">
      <c r="E69" s="20">
        <f t="shared" si="0"/>
        <v>992</v>
      </c>
      <c r="G69" s="20">
        <f ca="1">OFFSET(PSDUS0202!$C$2,E69,0)</f>
        <v>0</v>
      </c>
      <c r="H69" s="20">
        <f ca="1">OFFSET(PSDUS0202!$A$2,E69,0)</f>
        <v>0</v>
      </c>
      <c r="I69" s="20">
        <f ca="1">OFFSET(PSDUS0202!$B$2,E69,0)</f>
        <v>0</v>
      </c>
    </row>
    <row r="70" spans="5:9" x14ac:dyDescent="0.25">
      <c r="E70" s="20">
        <f t="shared" si="0"/>
        <v>1008</v>
      </c>
      <c r="G70" s="20">
        <f ca="1">OFFSET(PSDUS0202!$C$2,E70,0)</f>
        <v>0</v>
      </c>
      <c r="H70" s="20">
        <f ca="1">OFFSET(PSDUS0202!$A$2,E70,0)</f>
        <v>0</v>
      </c>
      <c r="I70" s="20">
        <f ca="1">OFFSET(PSDUS0202!$B$2,E70,0)</f>
        <v>0</v>
      </c>
    </row>
    <row r="71" spans="5:9" x14ac:dyDescent="0.25">
      <c r="E71" s="20">
        <f t="shared" si="0"/>
        <v>1024</v>
      </c>
      <c r="G71" s="20">
        <f ca="1">OFFSET(PSDUS0202!$C$2,E71,0)</f>
        <v>0</v>
      </c>
      <c r="H71" s="20">
        <f ca="1">OFFSET(PSDUS0202!$A$2,E71,0)</f>
        <v>0</v>
      </c>
      <c r="I71" s="20">
        <f ca="1">OFFSET(PSDUS0202!$B$2,E71,0)</f>
        <v>0</v>
      </c>
    </row>
    <row r="72" spans="5:9" x14ac:dyDescent="0.25">
      <c r="E72" s="20">
        <f t="shared" si="0"/>
        <v>1040</v>
      </c>
      <c r="G72" s="20">
        <f ca="1">OFFSET(PSDUS0202!$C$2,E72,0)</f>
        <v>0</v>
      </c>
      <c r="H72" s="20">
        <f ca="1">OFFSET(PSDUS0202!$A$2,E72,0)</f>
        <v>0</v>
      </c>
      <c r="I72" s="20">
        <f ca="1">OFFSET(PSDUS0202!$B$2,E72,0)</f>
        <v>0</v>
      </c>
    </row>
    <row r="73" spans="5:9" x14ac:dyDescent="0.25">
      <c r="E73" s="20">
        <f t="shared" si="0"/>
        <v>1056</v>
      </c>
      <c r="G73" s="20">
        <f ca="1">OFFSET(PSDUS0202!$C$2,E73,0)</f>
        <v>0</v>
      </c>
      <c r="H73" s="20">
        <f ca="1">OFFSET(PSDUS0202!$A$2,E73,0)</f>
        <v>0</v>
      </c>
      <c r="I73" s="20">
        <f ca="1">OFFSET(PSDUS0202!$B$2,E73,0)</f>
        <v>0</v>
      </c>
    </row>
    <row r="74" spans="5:9" x14ac:dyDescent="0.25">
      <c r="E74" s="20">
        <f t="shared" ref="E74:E75" si="1">E73+16</f>
        <v>1072</v>
      </c>
      <c r="G74" s="20">
        <f ca="1">OFFSET(PSDUS0202!$C$2,E74,0)</f>
        <v>0</v>
      </c>
      <c r="H74" s="20">
        <f ca="1">OFFSET(PSDUS0202!$A$2,E74,0)</f>
        <v>0</v>
      </c>
      <c r="I74" s="20">
        <f ca="1">OFFSET(PSDUS0202!$B$2,E74,0)</f>
        <v>0</v>
      </c>
    </row>
    <row r="75" spans="5:9" x14ac:dyDescent="0.25">
      <c r="E75" s="20">
        <f t="shared" si="1"/>
        <v>1088</v>
      </c>
      <c r="G75" s="20">
        <f ca="1">OFFSET(PSDUS0202!$C$2,E75,0)</f>
        <v>0</v>
      </c>
      <c r="H75" s="20">
        <f ca="1">OFFSET(PSDUS0202!$A$2,E75,0)</f>
        <v>0</v>
      </c>
      <c r="I75" s="20">
        <f ca="1">OFFSET(PSDUS0202!$B$2,E75,0)</f>
        <v>0</v>
      </c>
    </row>
  </sheetData>
  <mergeCells count="5">
    <mergeCell ref="F5:G5"/>
    <mergeCell ref="F3:G3"/>
    <mergeCell ref="F2:G2"/>
    <mergeCell ref="F1:G1"/>
    <mergeCell ref="F4:G4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3444C-314C-4CE4-B295-CF1CB86AF199}">
  <sheetPr codeName="Tabelle13">
    <tabColor rgb="FFC7E8FF"/>
  </sheetPr>
  <dimension ref="A1:K30"/>
  <sheetViews>
    <sheetView workbookViewId="0">
      <selection activeCell="G36" sqref="G36"/>
    </sheetView>
  </sheetViews>
  <sheetFormatPr baseColWidth="10" defaultRowHeight="15" x14ac:dyDescent="0.25"/>
  <cols>
    <col min="1" max="1" width="19.5703125" style="20" customWidth="1"/>
    <col min="2" max="2" width="11.42578125" style="20"/>
    <col min="3" max="3" width="2" style="20" customWidth="1"/>
    <col min="4" max="7" width="5" style="20" bestFit="1" customWidth="1"/>
    <col min="8" max="9" width="2.28515625" style="20" customWidth="1"/>
    <col min="10" max="10" width="3" style="20" bestFit="1" customWidth="1"/>
    <col min="11" max="11" width="11.42578125" style="20"/>
  </cols>
  <sheetData>
    <row r="1" spans="1:10" x14ac:dyDescent="0.25">
      <c r="A1" s="20" t="s">
        <v>481</v>
      </c>
      <c r="B1" s="20">
        <v>4</v>
      </c>
      <c r="D1" s="20">
        <v>0</v>
      </c>
      <c r="E1" s="20">
        <f>D1+16</f>
        <v>16</v>
      </c>
      <c r="F1" s="20">
        <f>E1+16</f>
        <v>32</v>
      </c>
      <c r="G1" s="20">
        <f t="shared" ref="G1:G30" si="0">B1*16*J1-16</f>
        <v>48</v>
      </c>
      <c r="J1" s="20">
        <v>1</v>
      </c>
    </row>
    <row r="2" spans="1:10" x14ac:dyDescent="0.25">
      <c r="A2" s="20" t="s">
        <v>477</v>
      </c>
      <c r="B2" s="20">
        <v>4</v>
      </c>
      <c r="D2" s="20">
        <f>G1+16</f>
        <v>64</v>
      </c>
      <c r="E2" s="20">
        <f>D2+16</f>
        <v>80</v>
      </c>
      <c r="F2" s="20">
        <f>E2+16</f>
        <v>96</v>
      </c>
      <c r="G2" s="20">
        <f t="shared" si="0"/>
        <v>112</v>
      </c>
      <c r="J2" s="20">
        <v>2</v>
      </c>
    </row>
    <row r="3" spans="1:10" x14ac:dyDescent="0.25">
      <c r="A3" s="20" t="s">
        <v>477</v>
      </c>
      <c r="B3" s="20">
        <v>4</v>
      </c>
      <c r="D3" s="20">
        <f t="shared" ref="D3:D30" si="1">G2+16</f>
        <v>128</v>
      </c>
      <c r="E3" s="20">
        <f t="shared" ref="E3:F3" si="2">D3+16</f>
        <v>144</v>
      </c>
      <c r="F3" s="20">
        <f t="shared" si="2"/>
        <v>160</v>
      </c>
      <c r="G3" s="20">
        <f t="shared" si="0"/>
        <v>176</v>
      </c>
      <c r="J3" s="20">
        <v>3</v>
      </c>
    </row>
    <row r="4" spans="1:10" x14ac:dyDescent="0.25">
      <c r="A4" s="20" t="s">
        <v>477</v>
      </c>
      <c r="B4" s="20">
        <v>4</v>
      </c>
      <c r="D4" s="20">
        <f t="shared" si="1"/>
        <v>192</v>
      </c>
      <c r="E4" s="20">
        <f t="shared" ref="E4:F4" si="3">D4+16</f>
        <v>208</v>
      </c>
      <c r="F4" s="20">
        <f t="shared" si="3"/>
        <v>224</v>
      </c>
      <c r="G4" s="20">
        <f t="shared" si="0"/>
        <v>240</v>
      </c>
      <c r="J4" s="20">
        <v>4</v>
      </c>
    </row>
    <row r="5" spans="1:10" x14ac:dyDescent="0.25">
      <c r="B5" s="20">
        <v>4</v>
      </c>
      <c r="D5" s="20">
        <f t="shared" si="1"/>
        <v>256</v>
      </c>
      <c r="E5" s="20">
        <f t="shared" ref="E5:F5" si="4">D5+16</f>
        <v>272</v>
      </c>
      <c r="F5" s="20">
        <f t="shared" si="4"/>
        <v>288</v>
      </c>
      <c r="G5" s="20">
        <f t="shared" si="0"/>
        <v>304</v>
      </c>
      <c r="J5" s="20">
        <v>5</v>
      </c>
    </row>
    <row r="6" spans="1:10" x14ac:dyDescent="0.25">
      <c r="B6" s="20">
        <v>4</v>
      </c>
      <c r="D6" s="20">
        <f t="shared" si="1"/>
        <v>320</v>
      </c>
      <c r="E6" s="20">
        <f t="shared" ref="E6:F6" si="5">D6+16</f>
        <v>336</v>
      </c>
      <c r="F6" s="20">
        <f t="shared" si="5"/>
        <v>352</v>
      </c>
      <c r="G6" s="20">
        <f t="shared" si="0"/>
        <v>368</v>
      </c>
      <c r="J6" s="20">
        <v>6</v>
      </c>
    </row>
    <row r="7" spans="1:10" x14ac:dyDescent="0.25">
      <c r="B7" s="20">
        <v>4</v>
      </c>
      <c r="D7" s="20">
        <f t="shared" si="1"/>
        <v>384</v>
      </c>
      <c r="E7" s="20">
        <f t="shared" ref="E7:F7" si="6">D7+16</f>
        <v>400</v>
      </c>
      <c r="F7" s="20">
        <f t="shared" si="6"/>
        <v>416</v>
      </c>
      <c r="G7" s="20">
        <f t="shared" si="0"/>
        <v>432</v>
      </c>
      <c r="J7" s="20">
        <v>7</v>
      </c>
    </row>
    <row r="8" spans="1:10" x14ac:dyDescent="0.25">
      <c r="B8" s="20">
        <v>4</v>
      </c>
      <c r="D8" s="20">
        <f t="shared" si="1"/>
        <v>448</v>
      </c>
      <c r="E8" s="20">
        <f t="shared" ref="E8:F8" si="7">D8+16</f>
        <v>464</v>
      </c>
      <c r="F8" s="20">
        <f t="shared" si="7"/>
        <v>480</v>
      </c>
      <c r="G8" s="20">
        <f t="shared" si="0"/>
        <v>496</v>
      </c>
      <c r="J8" s="20">
        <v>8</v>
      </c>
    </row>
    <row r="9" spans="1:10" x14ac:dyDescent="0.25">
      <c r="B9" s="20">
        <v>2</v>
      </c>
      <c r="D9" s="20">
        <f t="shared" si="1"/>
        <v>512</v>
      </c>
      <c r="E9" s="20">
        <f t="shared" ref="E9:F9" si="8">D9+16</f>
        <v>528</v>
      </c>
      <c r="F9" s="20">
        <f t="shared" si="8"/>
        <v>544</v>
      </c>
      <c r="G9" s="20">
        <f t="shared" si="0"/>
        <v>272</v>
      </c>
      <c r="J9" s="20">
        <v>9</v>
      </c>
    </row>
    <row r="10" spans="1:10" x14ac:dyDescent="0.25">
      <c r="B10" s="20">
        <v>4</v>
      </c>
      <c r="D10" s="20">
        <f t="shared" si="1"/>
        <v>288</v>
      </c>
      <c r="E10" s="20">
        <f t="shared" ref="E10:F10" si="9">D10+16</f>
        <v>304</v>
      </c>
      <c r="F10" s="20">
        <f t="shared" si="9"/>
        <v>320</v>
      </c>
      <c r="G10" s="20">
        <f t="shared" si="0"/>
        <v>624</v>
      </c>
      <c r="J10" s="20">
        <v>10</v>
      </c>
    </row>
    <row r="11" spans="1:10" x14ac:dyDescent="0.25">
      <c r="B11" s="20">
        <v>4</v>
      </c>
      <c r="D11" s="20">
        <f t="shared" si="1"/>
        <v>640</v>
      </c>
      <c r="E11" s="20">
        <f t="shared" ref="E11:F11" si="10">D11+16</f>
        <v>656</v>
      </c>
      <c r="F11" s="20">
        <f t="shared" si="10"/>
        <v>672</v>
      </c>
      <c r="G11" s="20">
        <f t="shared" si="0"/>
        <v>688</v>
      </c>
      <c r="J11" s="20">
        <v>11</v>
      </c>
    </row>
    <row r="12" spans="1:10" x14ac:dyDescent="0.25">
      <c r="B12" s="20">
        <v>4</v>
      </c>
      <c r="D12" s="20">
        <f t="shared" si="1"/>
        <v>704</v>
      </c>
      <c r="E12" s="20">
        <f t="shared" ref="E12:F12" si="11">D12+16</f>
        <v>720</v>
      </c>
      <c r="F12" s="20">
        <f t="shared" si="11"/>
        <v>736</v>
      </c>
      <c r="G12" s="20">
        <f t="shared" si="0"/>
        <v>752</v>
      </c>
      <c r="J12" s="20">
        <v>12</v>
      </c>
    </row>
    <row r="13" spans="1:10" x14ac:dyDescent="0.25">
      <c r="B13" s="20">
        <v>4</v>
      </c>
      <c r="D13" s="20">
        <f t="shared" si="1"/>
        <v>768</v>
      </c>
      <c r="E13" s="20">
        <f t="shared" ref="E13:F13" si="12">D13+16</f>
        <v>784</v>
      </c>
      <c r="F13" s="20">
        <f t="shared" si="12"/>
        <v>800</v>
      </c>
      <c r="G13" s="20">
        <f t="shared" si="0"/>
        <v>816</v>
      </c>
      <c r="J13" s="20">
        <v>13</v>
      </c>
    </row>
    <row r="14" spans="1:10" x14ac:dyDescent="0.25">
      <c r="B14" s="20">
        <v>4</v>
      </c>
      <c r="D14" s="20">
        <f t="shared" si="1"/>
        <v>832</v>
      </c>
      <c r="E14" s="20">
        <f t="shared" ref="E14:F14" si="13">D14+16</f>
        <v>848</v>
      </c>
      <c r="F14" s="20">
        <f t="shared" si="13"/>
        <v>864</v>
      </c>
      <c r="G14" s="20">
        <f t="shared" si="0"/>
        <v>880</v>
      </c>
      <c r="J14" s="20">
        <v>14</v>
      </c>
    </row>
    <row r="15" spans="1:10" x14ac:dyDescent="0.25">
      <c r="B15" s="20">
        <v>4</v>
      </c>
      <c r="D15" s="20">
        <f t="shared" si="1"/>
        <v>896</v>
      </c>
      <c r="E15" s="20">
        <f t="shared" ref="E15:F15" si="14">D15+16</f>
        <v>912</v>
      </c>
      <c r="F15" s="20">
        <f t="shared" si="14"/>
        <v>928</v>
      </c>
      <c r="G15" s="20">
        <f t="shared" si="0"/>
        <v>944</v>
      </c>
      <c r="J15" s="20">
        <v>15</v>
      </c>
    </row>
    <row r="16" spans="1:10" x14ac:dyDescent="0.25">
      <c r="B16" s="20">
        <v>4</v>
      </c>
      <c r="D16" s="20">
        <f t="shared" si="1"/>
        <v>960</v>
      </c>
      <c r="E16" s="20">
        <f t="shared" ref="E16:F16" si="15">D16+16</f>
        <v>976</v>
      </c>
      <c r="F16" s="20">
        <f t="shared" si="15"/>
        <v>992</v>
      </c>
      <c r="G16" s="20">
        <f t="shared" si="0"/>
        <v>1008</v>
      </c>
      <c r="J16" s="20">
        <v>16</v>
      </c>
    </row>
    <row r="17" spans="2:10" x14ac:dyDescent="0.25">
      <c r="B17" s="20">
        <v>4</v>
      </c>
      <c r="D17" s="20">
        <f t="shared" si="1"/>
        <v>1024</v>
      </c>
      <c r="E17" s="20">
        <f t="shared" ref="E17:F17" si="16">D17+16</f>
        <v>1040</v>
      </c>
      <c r="F17" s="20">
        <f t="shared" si="16"/>
        <v>1056</v>
      </c>
      <c r="G17" s="20">
        <f t="shared" si="0"/>
        <v>1072</v>
      </c>
      <c r="J17" s="20">
        <v>17</v>
      </c>
    </row>
    <row r="18" spans="2:10" x14ac:dyDescent="0.25">
      <c r="B18" s="20">
        <v>4</v>
      </c>
      <c r="D18" s="20">
        <f t="shared" si="1"/>
        <v>1088</v>
      </c>
      <c r="E18" s="20">
        <f t="shared" ref="E18:F18" si="17">D18+16</f>
        <v>1104</v>
      </c>
      <c r="F18" s="20">
        <f t="shared" si="17"/>
        <v>1120</v>
      </c>
      <c r="G18" s="20">
        <f t="shared" si="0"/>
        <v>1136</v>
      </c>
      <c r="J18" s="20">
        <v>18</v>
      </c>
    </row>
    <row r="19" spans="2:10" x14ac:dyDescent="0.25">
      <c r="B19" s="20">
        <v>4</v>
      </c>
      <c r="D19" s="20">
        <f t="shared" si="1"/>
        <v>1152</v>
      </c>
      <c r="E19" s="20">
        <f t="shared" ref="E19:F19" si="18">D19+16</f>
        <v>1168</v>
      </c>
      <c r="F19" s="20">
        <f t="shared" si="18"/>
        <v>1184</v>
      </c>
      <c r="G19" s="20">
        <f t="shared" si="0"/>
        <v>1200</v>
      </c>
      <c r="J19" s="20">
        <v>19</v>
      </c>
    </row>
    <row r="20" spans="2:10" x14ac:dyDescent="0.25">
      <c r="B20" s="20">
        <v>4</v>
      </c>
      <c r="D20" s="20">
        <f t="shared" si="1"/>
        <v>1216</v>
      </c>
      <c r="E20" s="20">
        <f t="shared" ref="E20:F20" si="19">D20+16</f>
        <v>1232</v>
      </c>
      <c r="F20" s="20">
        <f t="shared" si="19"/>
        <v>1248</v>
      </c>
      <c r="G20" s="20">
        <f t="shared" si="0"/>
        <v>1264</v>
      </c>
      <c r="J20" s="20">
        <v>20</v>
      </c>
    </row>
    <row r="21" spans="2:10" x14ac:dyDescent="0.25">
      <c r="B21" s="20">
        <v>4</v>
      </c>
      <c r="D21" s="20">
        <f t="shared" si="1"/>
        <v>1280</v>
      </c>
      <c r="E21" s="20">
        <f t="shared" ref="E21:F21" si="20">D21+16</f>
        <v>1296</v>
      </c>
      <c r="F21" s="20">
        <f t="shared" si="20"/>
        <v>1312</v>
      </c>
      <c r="G21" s="20">
        <f t="shared" si="0"/>
        <v>1328</v>
      </c>
      <c r="J21" s="20">
        <v>21</v>
      </c>
    </row>
    <row r="22" spans="2:10" x14ac:dyDescent="0.25">
      <c r="B22" s="20">
        <v>4</v>
      </c>
      <c r="D22" s="20">
        <f t="shared" si="1"/>
        <v>1344</v>
      </c>
      <c r="E22" s="20">
        <f t="shared" ref="E22:F22" si="21">D22+16</f>
        <v>1360</v>
      </c>
      <c r="F22" s="20">
        <f t="shared" si="21"/>
        <v>1376</v>
      </c>
      <c r="G22" s="20">
        <f t="shared" si="0"/>
        <v>1392</v>
      </c>
      <c r="J22" s="20">
        <v>22</v>
      </c>
    </row>
    <row r="23" spans="2:10" x14ac:dyDescent="0.25">
      <c r="B23" s="20">
        <v>4</v>
      </c>
      <c r="D23" s="20">
        <f t="shared" si="1"/>
        <v>1408</v>
      </c>
      <c r="E23" s="20">
        <f t="shared" ref="E23:F23" si="22">D23+16</f>
        <v>1424</v>
      </c>
      <c r="F23" s="20">
        <f t="shared" si="22"/>
        <v>1440</v>
      </c>
      <c r="G23" s="20">
        <f t="shared" si="0"/>
        <v>1456</v>
      </c>
      <c r="J23" s="20">
        <v>23</v>
      </c>
    </row>
    <row r="24" spans="2:10" x14ac:dyDescent="0.25">
      <c r="B24" s="20">
        <v>4</v>
      </c>
      <c r="D24" s="20">
        <f t="shared" si="1"/>
        <v>1472</v>
      </c>
      <c r="E24" s="20">
        <f t="shared" ref="E24:F24" si="23">D24+16</f>
        <v>1488</v>
      </c>
      <c r="F24" s="20">
        <f t="shared" si="23"/>
        <v>1504</v>
      </c>
      <c r="G24" s="20">
        <f t="shared" si="0"/>
        <v>1520</v>
      </c>
      <c r="J24" s="20">
        <v>24</v>
      </c>
    </row>
    <row r="25" spans="2:10" x14ac:dyDescent="0.25">
      <c r="B25" s="20">
        <v>4</v>
      </c>
      <c r="D25" s="20">
        <f t="shared" si="1"/>
        <v>1536</v>
      </c>
      <c r="E25" s="20">
        <f t="shared" ref="E25:F25" si="24">D25+16</f>
        <v>1552</v>
      </c>
      <c r="F25" s="20">
        <f t="shared" si="24"/>
        <v>1568</v>
      </c>
      <c r="G25" s="20">
        <f t="shared" si="0"/>
        <v>1584</v>
      </c>
      <c r="J25" s="20">
        <v>25</v>
      </c>
    </row>
    <row r="26" spans="2:10" x14ac:dyDescent="0.25">
      <c r="B26" s="20">
        <v>4</v>
      </c>
      <c r="D26" s="20">
        <f t="shared" si="1"/>
        <v>1600</v>
      </c>
      <c r="E26" s="20">
        <f t="shared" ref="E26:F26" si="25">D26+16</f>
        <v>1616</v>
      </c>
      <c r="F26" s="20">
        <f t="shared" si="25"/>
        <v>1632</v>
      </c>
      <c r="G26" s="20">
        <f t="shared" si="0"/>
        <v>1648</v>
      </c>
      <c r="J26" s="20">
        <v>26</v>
      </c>
    </row>
    <row r="27" spans="2:10" x14ac:dyDescent="0.25">
      <c r="B27" s="20">
        <v>4</v>
      </c>
      <c r="D27" s="20">
        <f t="shared" si="1"/>
        <v>1664</v>
      </c>
      <c r="E27" s="20">
        <f t="shared" ref="E27:F27" si="26">D27+16</f>
        <v>1680</v>
      </c>
      <c r="F27" s="20">
        <f t="shared" si="26"/>
        <v>1696</v>
      </c>
      <c r="G27" s="20">
        <f t="shared" si="0"/>
        <v>1712</v>
      </c>
      <c r="J27" s="20">
        <v>27</v>
      </c>
    </row>
    <row r="28" spans="2:10" x14ac:dyDescent="0.25">
      <c r="B28" s="20">
        <v>4</v>
      </c>
      <c r="D28" s="20">
        <f t="shared" si="1"/>
        <v>1728</v>
      </c>
      <c r="E28" s="20">
        <f t="shared" ref="E28:F28" si="27">D28+16</f>
        <v>1744</v>
      </c>
      <c r="F28" s="20">
        <f t="shared" si="27"/>
        <v>1760</v>
      </c>
      <c r="G28" s="20">
        <f t="shared" si="0"/>
        <v>1776</v>
      </c>
      <c r="J28" s="20">
        <v>28</v>
      </c>
    </row>
    <row r="29" spans="2:10" x14ac:dyDescent="0.25">
      <c r="B29" s="20">
        <v>4</v>
      </c>
      <c r="D29" s="20">
        <f t="shared" si="1"/>
        <v>1792</v>
      </c>
      <c r="E29" s="20">
        <f t="shared" ref="E29:F29" si="28">D29+16</f>
        <v>1808</v>
      </c>
      <c r="F29" s="20">
        <f t="shared" si="28"/>
        <v>1824</v>
      </c>
      <c r="G29" s="20">
        <f t="shared" si="0"/>
        <v>1840</v>
      </c>
      <c r="J29" s="20">
        <v>29</v>
      </c>
    </row>
    <row r="30" spans="2:10" x14ac:dyDescent="0.25">
      <c r="B30" s="20">
        <v>4</v>
      </c>
      <c r="D30" s="20">
        <f t="shared" si="1"/>
        <v>1856</v>
      </c>
      <c r="E30" s="20">
        <f t="shared" ref="E30:F30" si="29">D30+16</f>
        <v>1872</v>
      </c>
      <c r="F30" s="20">
        <f t="shared" si="29"/>
        <v>1888</v>
      </c>
      <c r="G30" s="20">
        <f t="shared" si="0"/>
        <v>1904</v>
      </c>
      <c r="J30" s="20">
        <v>30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5">
    <tabColor rgb="FFFF00FF"/>
  </sheetPr>
  <dimension ref="A1:B3"/>
  <sheetViews>
    <sheetView workbookViewId="0">
      <selection activeCell="F29" sqref="F29"/>
    </sheetView>
  </sheetViews>
  <sheetFormatPr baseColWidth="10" defaultRowHeight="15" x14ac:dyDescent="0.25"/>
  <cols>
    <col min="2" max="2" width="17.140625" customWidth="1"/>
    <col min="5" max="5" width="23.28515625" bestFit="1" customWidth="1"/>
    <col min="8" max="8" width="23" bestFit="1" customWidth="1"/>
    <col min="17" max="17" width="18" customWidth="1"/>
  </cols>
  <sheetData>
    <row r="1" spans="1:2" x14ac:dyDescent="0.25">
      <c r="A1" t="s">
        <v>51</v>
      </c>
      <c r="B1" t="s">
        <v>56</v>
      </c>
    </row>
    <row r="2" spans="1:2" x14ac:dyDescent="0.25">
      <c r="A2" t="s">
        <v>57</v>
      </c>
      <c r="B2" t="s">
        <v>58</v>
      </c>
    </row>
    <row r="3" spans="1:2" x14ac:dyDescent="0.25">
      <c r="A3" t="s">
        <v>55</v>
      </c>
      <c r="B3" t="s">
        <v>59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>
    <tabColor rgb="FF00A8FF"/>
  </sheetPr>
  <dimension ref="A1:C2000"/>
  <sheetViews>
    <sheetView workbookViewId="0">
      <selection activeCell="G27" sqref="G27"/>
    </sheetView>
  </sheetViews>
  <sheetFormatPr baseColWidth="10" defaultRowHeight="15" x14ac:dyDescent="0.25"/>
  <cols>
    <col min="1" max="1" width="48.85546875" bestFit="1" customWidth="1"/>
    <col min="2" max="2" width="39.28515625" style="6" customWidth="1"/>
    <col min="3" max="3" width="12.42578125" customWidth="1"/>
    <col min="17" max="17" width="18" customWidth="1"/>
  </cols>
  <sheetData>
    <row r="1" spans="1:3" x14ac:dyDescent="0.25">
      <c r="A1" t="s">
        <v>54</v>
      </c>
      <c r="B1" t="s">
        <v>53</v>
      </c>
      <c r="C1" t="s">
        <v>52</v>
      </c>
    </row>
    <row r="2" spans="1:3" x14ac:dyDescent="0.25">
      <c r="B2" s="8"/>
    </row>
    <row r="3" spans="1:3" x14ac:dyDescent="0.25">
      <c r="B3" s="8"/>
    </row>
    <row r="4" spans="1:3" x14ac:dyDescent="0.25">
      <c r="B4" s="8"/>
    </row>
    <row r="5" spans="1:3" x14ac:dyDescent="0.25">
      <c r="B5" s="8"/>
    </row>
    <row r="6" spans="1:3" x14ac:dyDescent="0.25">
      <c r="B6"/>
    </row>
    <row r="7" spans="1:3" x14ac:dyDescent="0.25">
      <c r="B7"/>
    </row>
    <row r="8" spans="1:3" x14ac:dyDescent="0.25">
      <c r="B8"/>
    </row>
    <row r="9" spans="1:3" x14ac:dyDescent="0.25">
      <c r="B9"/>
    </row>
    <row r="10" spans="1:3" x14ac:dyDescent="0.25">
      <c r="B10"/>
    </row>
    <row r="11" spans="1:3" x14ac:dyDescent="0.25">
      <c r="B11"/>
    </row>
    <row r="12" spans="1:3" x14ac:dyDescent="0.25">
      <c r="B12"/>
    </row>
    <row r="13" spans="1:3" x14ac:dyDescent="0.25">
      <c r="B13"/>
    </row>
    <row r="14" spans="1:3" x14ac:dyDescent="0.25">
      <c r="B14"/>
    </row>
    <row r="15" spans="1:3" x14ac:dyDescent="0.25">
      <c r="B15"/>
    </row>
    <row r="16" spans="1:3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  <row r="501" spans="2:2" x14ac:dyDescent="0.25">
      <c r="B501"/>
    </row>
    <row r="502" spans="2:2" x14ac:dyDescent="0.25">
      <c r="B502"/>
    </row>
    <row r="503" spans="2:2" x14ac:dyDescent="0.25">
      <c r="B503"/>
    </row>
    <row r="504" spans="2:2" x14ac:dyDescent="0.25">
      <c r="B504"/>
    </row>
    <row r="505" spans="2:2" x14ac:dyDescent="0.25">
      <c r="B505"/>
    </row>
    <row r="506" spans="2:2" x14ac:dyDescent="0.25">
      <c r="B506"/>
    </row>
    <row r="507" spans="2:2" x14ac:dyDescent="0.25">
      <c r="B507"/>
    </row>
    <row r="508" spans="2:2" x14ac:dyDescent="0.25">
      <c r="B508"/>
    </row>
    <row r="509" spans="2:2" x14ac:dyDescent="0.25">
      <c r="B509"/>
    </row>
    <row r="510" spans="2:2" x14ac:dyDescent="0.25">
      <c r="B510"/>
    </row>
    <row r="511" spans="2:2" x14ac:dyDescent="0.25">
      <c r="B511"/>
    </row>
    <row r="512" spans="2:2" x14ac:dyDescent="0.25">
      <c r="B512"/>
    </row>
    <row r="513" spans="2:2" x14ac:dyDescent="0.25">
      <c r="B513"/>
    </row>
    <row r="514" spans="2:2" x14ac:dyDescent="0.25">
      <c r="B514"/>
    </row>
    <row r="515" spans="2:2" x14ac:dyDescent="0.25">
      <c r="B515"/>
    </row>
    <row r="516" spans="2:2" x14ac:dyDescent="0.25">
      <c r="B516"/>
    </row>
    <row r="517" spans="2:2" x14ac:dyDescent="0.25">
      <c r="B517"/>
    </row>
    <row r="518" spans="2:2" x14ac:dyDescent="0.25">
      <c r="B518"/>
    </row>
    <row r="519" spans="2:2" x14ac:dyDescent="0.25">
      <c r="B519"/>
    </row>
    <row r="520" spans="2:2" x14ac:dyDescent="0.25">
      <c r="B520"/>
    </row>
    <row r="521" spans="2:2" x14ac:dyDescent="0.25">
      <c r="B521"/>
    </row>
    <row r="522" spans="2:2" x14ac:dyDescent="0.25">
      <c r="B522"/>
    </row>
    <row r="523" spans="2:2" x14ac:dyDescent="0.25">
      <c r="B523"/>
    </row>
    <row r="524" spans="2:2" x14ac:dyDescent="0.25">
      <c r="B524"/>
    </row>
    <row r="525" spans="2:2" x14ac:dyDescent="0.25">
      <c r="B525"/>
    </row>
    <row r="526" spans="2:2" x14ac:dyDescent="0.25">
      <c r="B526"/>
    </row>
    <row r="527" spans="2:2" x14ac:dyDescent="0.25">
      <c r="B527"/>
    </row>
    <row r="528" spans="2:2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  <row r="1062" spans="2:2" x14ac:dyDescent="0.25">
      <c r="B1062"/>
    </row>
    <row r="1063" spans="2:2" x14ac:dyDescent="0.25">
      <c r="B1063"/>
    </row>
    <row r="1064" spans="2:2" x14ac:dyDescent="0.25">
      <c r="B1064"/>
    </row>
    <row r="1065" spans="2:2" x14ac:dyDescent="0.25">
      <c r="B1065"/>
    </row>
    <row r="1066" spans="2:2" x14ac:dyDescent="0.25">
      <c r="B1066"/>
    </row>
    <row r="1067" spans="2:2" x14ac:dyDescent="0.25">
      <c r="B1067"/>
    </row>
    <row r="1068" spans="2:2" x14ac:dyDescent="0.25">
      <c r="B1068"/>
    </row>
    <row r="1069" spans="2:2" x14ac:dyDescent="0.25">
      <c r="B1069"/>
    </row>
    <row r="1070" spans="2:2" x14ac:dyDescent="0.25">
      <c r="B1070"/>
    </row>
    <row r="1071" spans="2:2" x14ac:dyDescent="0.25">
      <c r="B1071"/>
    </row>
    <row r="1072" spans="2:2" x14ac:dyDescent="0.25">
      <c r="B1072"/>
    </row>
    <row r="1073" spans="2:2" x14ac:dyDescent="0.25">
      <c r="B1073"/>
    </row>
    <row r="1074" spans="2:2" x14ac:dyDescent="0.25">
      <c r="B1074"/>
    </row>
    <row r="1075" spans="2:2" x14ac:dyDescent="0.25">
      <c r="B1075"/>
    </row>
    <row r="1076" spans="2:2" x14ac:dyDescent="0.25">
      <c r="B1076"/>
    </row>
    <row r="1077" spans="2:2" x14ac:dyDescent="0.25">
      <c r="B1077"/>
    </row>
    <row r="1078" spans="2:2" x14ac:dyDescent="0.25">
      <c r="B1078"/>
    </row>
    <row r="1079" spans="2:2" x14ac:dyDescent="0.25">
      <c r="B1079"/>
    </row>
    <row r="1080" spans="2:2" x14ac:dyDescent="0.25">
      <c r="B1080"/>
    </row>
    <row r="1081" spans="2:2" x14ac:dyDescent="0.25">
      <c r="B1081"/>
    </row>
    <row r="1082" spans="2:2" x14ac:dyDescent="0.25">
      <c r="B1082"/>
    </row>
    <row r="1083" spans="2:2" x14ac:dyDescent="0.25">
      <c r="B1083"/>
    </row>
    <row r="1084" spans="2:2" x14ac:dyDescent="0.25">
      <c r="B1084"/>
    </row>
    <row r="1085" spans="2:2" x14ac:dyDescent="0.25">
      <c r="B1085"/>
    </row>
    <row r="1086" spans="2:2" x14ac:dyDescent="0.25">
      <c r="B1086"/>
    </row>
    <row r="1087" spans="2:2" x14ac:dyDescent="0.25">
      <c r="B1087"/>
    </row>
    <row r="1088" spans="2:2" x14ac:dyDescent="0.25">
      <c r="B1088"/>
    </row>
    <row r="1089" spans="2:2" x14ac:dyDescent="0.25">
      <c r="B1089"/>
    </row>
    <row r="1090" spans="2:2" x14ac:dyDescent="0.25">
      <c r="B1090"/>
    </row>
    <row r="1091" spans="2:2" x14ac:dyDescent="0.25">
      <c r="B1091"/>
    </row>
    <row r="1092" spans="2:2" x14ac:dyDescent="0.25">
      <c r="B1092"/>
    </row>
    <row r="1093" spans="2:2" x14ac:dyDescent="0.25">
      <c r="B1093"/>
    </row>
    <row r="1094" spans="2:2" x14ac:dyDescent="0.25">
      <c r="B1094"/>
    </row>
    <row r="1095" spans="2:2" x14ac:dyDescent="0.25">
      <c r="B1095"/>
    </row>
    <row r="1096" spans="2:2" x14ac:dyDescent="0.25">
      <c r="B1096"/>
    </row>
    <row r="1097" spans="2:2" x14ac:dyDescent="0.25">
      <c r="B1097"/>
    </row>
    <row r="1098" spans="2:2" x14ac:dyDescent="0.25">
      <c r="B1098"/>
    </row>
    <row r="1099" spans="2:2" x14ac:dyDescent="0.25">
      <c r="B1099"/>
    </row>
    <row r="1100" spans="2:2" x14ac:dyDescent="0.25">
      <c r="B1100"/>
    </row>
    <row r="1101" spans="2:2" x14ac:dyDescent="0.25">
      <c r="B1101"/>
    </row>
    <row r="1102" spans="2:2" x14ac:dyDescent="0.25">
      <c r="B1102"/>
    </row>
    <row r="1103" spans="2:2" x14ac:dyDescent="0.25">
      <c r="B1103"/>
    </row>
    <row r="1104" spans="2:2" x14ac:dyDescent="0.25">
      <c r="B1104"/>
    </row>
    <row r="1105" spans="2:2" x14ac:dyDescent="0.25">
      <c r="B1105"/>
    </row>
    <row r="1106" spans="2:2" x14ac:dyDescent="0.25">
      <c r="B1106"/>
    </row>
    <row r="1107" spans="2:2" x14ac:dyDescent="0.25">
      <c r="B1107"/>
    </row>
    <row r="1108" spans="2:2" x14ac:dyDescent="0.25">
      <c r="B1108"/>
    </row>
    <row r="1109" spans="2:2" x14ac:dyDescent="0.25">
      <c r="B1109"/>
    </row>
    <row r="1110" spans="2:2" x14ac:dyDescent="0.25">
      <c r="B1110"/>
    </row>
    <row r="1111" spans="2:2" x14ac:dyDescent="0.25">
      <c r="B1111"/>
    </row>
    <row r="1112" spans="2:2" x14ac:dyDescent="0.25">
      <c r="B1112"/>
    </row>
    <row r="1113" spans="2:2" x14ac:dyDescent="0.25">
      <c r="B1113"/>
    </row>
    <row r="1114" spans="2:2" x14ac:dyDescent="0.25">
      <c r="B1114"/>
    </row>
    <row r="1115" spans="2:2" x14ac:dyDescent="0.25">
      <c r="B1115"/>
    </row>
    <row r="1116" spans="2:2" x14ac:dyDescent="0.25">
      <c r="B1116"/>
    </row>
    <row r="1117" spans="2:2" x14ac:dyDescent="0.25">
      <c r="B1117"/>
    </row>
    <row r="1118" spans="2:2" x14ac:dyDescent="0.25">
      <c r="B1118"/>
    </row>
    <row r="1119" spans="2:2" x14ac:dyDescent="0.25">
      <c r="B1119"/>
    </row>
    <row r="1120" spans="2:2" x14ac:dyDescent="0.25">
      <c r="B1120"/>
    </row>
    <row r="1121" spans="2:2" x14ac:dyDescent="0.25">
      <c r="B1121"/>
    </row>
    <row r="1122" spans="2:2" x14ac:dyDescent="0.25">
      <c r="B1122"/>
    </row>
    <row r="1123" spans="2:2" x14ac:dyDescent="0.25">
      <c r="B1123"/>
    </row>
    <row r="1124" spans="2:2" x14ac:dyDescent="0.25">
      <c r="B1124"/>
    </row>
    <row r="1125" spans="2:2" x14ac:dyDescent="0.25">
      <c r="B1125"/>
    </row>
    <row r="1126" spans="2:2" x14ac:dyDescent="0.25">
      <c r="B1126"/>
    </row>
    <row r="1127" spans="2:2" x14ac:dyDescent="0.25">
      <c r="B1127"/>
    </row>
    <row r="1128" spans="2:2" x14ac:dyDescent="0.25">
      <c r="B1128"/>
    </row>
    <row r="1129" spans="2:2" x14ac:dyDescent="0.25">
      <c r="B1129"/>
    </row>
    <row r="1130" spans="2:2" x14ac:dyDescent="0.25">
      <c r="B1130"/>
    </row>
    <row r="1131" spans="2:2" x14ac:dyDescent="0.25">
      <c r="B1131"/>
    </row>
    <row r="1132" spans="2:2" x14ac:dyDescent="0.25">
      <c r="B1132"/>
    </row>
    <row r="1133" spans="2:2" x14ac:dyDescent="0.25">
      <c r="B1133"/>
    </row>
    <row r="1134" spans="2:2" x14ac:dyDescent="0.25">
      <c r="B1134"/>
    </row>
    <row r="1135" spans="2:2" x14ac:dyDescent="0.25">
      <c r="B1135"/>
    </row>
    <row r="1136" spans="2:2" x14ac:dyDescent="0.25">
      <c r="B1136"/>
    </row>
    <row r="1137" spans="2:2" x14ac:dyDescent="0.25">
      <c r="B1137"/>
    </row>
    <row r="1138" spans="2:2" x14ac:dyDescent="0.25">
      <c r="B1138"/>
    </row>
    <row r="1139" spans="2:2" x14ac:dyDescent="0.25">
      <c r="B1139"/>
    </row>
    <row r="1140" spans="2:2" x14ac:dyDescent="0.25">
      <c r="B1140"/>
    </row>
    <row r="1141" spans="2:2" x14ac:dyDescent="0.25">
      <c r="B1141"/>
    </row>
    <row r="1142" spans="2:2" x14ac:dyDescent="0.25">
      <c r="B1142"/>
    </row>
    <row r="1143" spans="2:2" x14ac:dyDescent="0.25">
      <c r="B1143"/>
    </row>
    <row r="1144" spans="2:2" x14ac:dyDescent="0.25">
      <c r="B1144"/>
    </row>
    <row r="1145" spans="2:2" x14ac:dyDescent="0.25">
      <c r="B1145"/>
    </row>
    <row r="1146" spans="2:2" x14ac:dyDescent="0.25">
      <c r="B1146"/>
    </row>
    <row r="1147" spans="2:2" x14ac:dyDescent="0.25">
      <c r="B1147"/>
    </row>
    <row r="1148" spans="2:2" x14ac:dyDescent="0.25">
      <c r="B1148"/>
    </row>
    <row r="1149" spans="2:2" x14ac:dyDescent="0.25">
      <c r="B1149"/>
    </row>
    <row r="1150" spans="2:2" x14ac:dyDescent="0.25">
      <c r="B1150"/>
    </row>
    <row r="1151" spans="2:2" x14ac:dyDescent="0.25">
      <c r="B1151"/>
    </row>
    <row r="1152" spans="2:2" x14ac:dyDescent="0.25">
      <c r="B1152"/>
    </row>
    <row r="1153" spans="2:2" x14ac:dyDescent="0.25">
      <c r="B1153"/>
    </row>
    <row r="1154" spans="2:2" x14ac:dyDescent="0.25">
      <c r="B1154"/>
    </row>
    <row r="1155" spans="2:2" x14ac:dyDescent="0.25">
      <c r="B1155"/>
    </row>
    <row r="1156" spans="2:2" x14ac:dyDescent="0.25">
      <c r="B1156"/>
    </row>
    <row r="1157" spans="2:2" x14ac:dyDescent="0.25">
      <c r="B1157"/>
    </row>
    <row r="1158" spans="2:2" x14ac:dyDescent="0.25">
      <c r="B1158"/>
    </row>
    <row r="1159" spans="2:2" x14ac:dyDescent="0.25">
      <c r="B1159"/>
    </row>
    <row r="1160" spans="2:2" x14ac:dyDescent="0.25">
      <c r="B1160"/>
    </row>
    <row r="1161" spans="2:2" x14ac:dyDescent="0.25">
      <c r="B1161"/>
    </row>
    <row r="1162" spans="2:2" x14ac:dyDescent="0.25">
      <c r="B1162"/>
    </row>
    <row r="1163" spans="2:2" x14ac:dyDescent="0.25">
      <c r="B1163"/>
    </row>
    <row r="1164" spans="2:2" x14ac:dyDescent="0.25">
      <c r="B1164"/>
    </row>
    <row r="1165" spans="2:2" x14ac:dyDescent="0.25">
      <c r="B1165"/>
    </row>
    <row r="1166" spans="2:2" x14ac:dyDescent="0.25">
      <c r="B1166"/>
    </row>
    <row r="1167" spans="2:2" x14ac:dyDescent="0.25">
      <c r="B1167"/>
    </row>
    <row r="1168" spans="2:2" x14ac:dyDescent="0.25">
      <c r="B1168"/>
    </row>
    <row r="1169" spans="2:2" x14ac:dyDescent="0.25">
      <c r="B1169"/>
    </row>
    <row r="1170" spans="2:2" x14ac:dyDescent="0.25">
      <c r="B1170"/>
    </row>
    <row r="1171" spans="2:2" x14ac:dyDescent="0.25">
      <c r="B1171"/>
    </row>
    <row r="1172" spans="2:2" x14ac:dyDescent="0.25">
      <c r="B1172"/>
    </row>
    <row r="1173" spans="2:2" x14ac:dyDescent="0.25">
      <c r="B1173"/>
    </row>
    <row r="1174" spans="2:2" x14ac:dyDescent="0.25">
      <c r="B1174"/>
    </row>
    <row r="1175" spans="2:2" x14ac:dyDescent="0.25">
      <c r="B1175"/>
    </row>
    <row r="1176" spans="2:2" x14ac:dyDescent="0.25">
      <c r="B1176"/>
    </row>
    <row r="1177" spans="2:2" x14ac:dyDescent="0.25">
      <c r="B1177"/>
    </row>
    <row r="1178" spans="2:2" x14ac:dyDescent="0.25">
      <c r="B1178"/>
    </row>
    <row r="1179" spans="2:2" x14ac:dyDescent="0.25">
      <c r="B1179"/>
    </row>
    <row r="1180" spans="2:2" x14ac:dyDescent="0.25">
      <c r="B1180"/>
    </row>
    <row r="1181" spans="2:2" x14ac:dyDescent="0.25">
      <c r="B1181"/>
    </row>
    <row r="1182" spans="2:2" x14ac:dyDescent="0.25">
      <c r="B1182"/>
    </row>
    <row r="1183" spans="2:2" x14ac:dyDescent="0.25">
      <c r="B1183"/>
    </row>
    <row r="1184" spans="2:2" x14ac:dyDescent="0.25">
      <c r="B1184"/>
    </row>
    <row r="1185" spans="2:2" x14ac:dyDescent="0.25">
      <c r="B1185"/>
    </row>
    <row r="1186" spans="2:2" x14ac:dyDescent="0.25">
      <c r="B1186"/>
    </row>
    <row r="1187" spans="2:2" x14ac:dyDescent="0.25">
      <c r="B1187"/>
    </row>
    <row r="1188" spans="2:2" x14ac:dyDescent="0.25">
      <c r="B1188"/>
    </row>
    <row r="1189" spans="2:2" x14ac:dyDescent="0.25">
      <c r="B1189"/>
    </row>
    <row r="1190" spans="2:2" x14ac:dyDescent="0.25">
      <c r="B1190"/>
    </row>
    <row r="1191" spans="2:2" x14ac:dyDescent="0.25">
      <c r="B1191"/>
    </row>
    <row r="1192" spans="2:2" x14ac:dyDescent="0.25">
      <c r="B1192"/>
    </row>
    <row r="1193" spans="2:2" x14ac:dyDescent="0.25">
      <c r="B1193"/>
    </row>
    <row r="1194" spans="2:2" x14ac:dyDescent="0.25">
      <c r="B1194"/>
    </row>
    <row r="1195" spans="2:2" x14ac:dyDescent="0.25">
      <c r="B1195"/>
    </row>
    <row r="1196" spans="2:2" x14ac:dyDescent="0.25">
      <c r="B1196"/>
    </row>
    <row r="1197" spans="2:2" x14ac:dyDescent="0.25">
      <c r="B1197"/>
    </row>
    <row r="1198" spans="2:2" x14ac:dyDescent="0.25">
      <c r="B1198"/>
    </row>
    <row r="1199" spans="2:2" x14ac:dyDescent="0.25">
      <c r="B1199"/>
    </row>
    <row r="1200" spans="2:2" x14ac:dyDescent="0.25">
      <c r="B1200"/>
    </row>
    <row r="1201" spans="2:2" x14ac:dyDescent="0.25">
      <c r="B1201"/>
    </row>
    <row r="1202" spans="2:2" x14ac:dyDescent="0.25">
      <c r="B1202"/>
    </row>
    <row r="1203" spans="2:2" x14ac:dyDescent="0.25">
      <c r="B1203"/>
    </row>
    <row r="1204" spans="2:2" x14ac:dyDescent="0.25">
      <c r="B1204"/>
    </row>
    <row r="1205" spans="2:2" x14ac:dyDescent="0.25">
      <c r="B1205"/>
    </row>
    <row r="1206" spans="2:2" x14ac:dyDescent="0.25">
      <c r="B1206"/>
    </row>
    <row r="1207" spans="2:2" x14ac:dyDescent="0.25">
      <c r="B1207"/>
    </row>
    <row r="1208" spans="2:2" x14ac:dyDescent="0.25">
      <c r="B1208"/>
    </row>
    <row r="1209" spans="2:2" x14ac:dyDescent="0.25">
      <c r="B1209"/>
    </row>
    <row r="1210" spans="2:2" x14ac:dyDescent="0.25">
      <c r="B1210"/>
    </row>
    <row r="1211" spans="2:2" x14ac:dyDescent="0.25">
      <c r="B1211"/>
    </row>
    <row r="1212" spans="2:2" x14ac:dyDescent="0.25">
      <c r="B1212"/>
    </row>
    <row r="1213" spans="2:2" x14ac:dyDescent="0.25">
      <c r="B1213"/>
    </row>
    <row r="1214" spans="2:2" x14ac:dyDescent="0.25">
      <c r="B1214"/>
    </row>
    <row r="1215" spans="2:2" x14ac:dyDescent="0.25">
      <c r="B1215"/>
    </row>
    <row r="1216" spans="2:2" x14ac:dyDescent="0.25">
      <c r="B1216"/>
    </row>
    <row r="1217" spans="2:2" x14ac:dyDescent="0.25">
      <c r="B1217"/>
    </row>
    <row r="1218" spans="2:2" x14ac:dyDescent="0.25">
      <c r="B1218"/>
    </row>
    <row r="1219" spans="2:2" x14ac:dyDescent="0.25">
      <c r="B1219"/>
    </row>
    <row r="1220" spans="2:2" x14ac:dyDescent="0.25">
      <c r="B1220"/>
    </row>
    <row r="1221" spans="2:2" x14ac:dyDescent="0.25">
      <c r="B1221"/>
    </row>
    <row r="1222" spans="2:2" x14ac:dyDescent="0.25">
      <c r="B1222"/>
    </row>
    <row r="1223" spans="2:2" x14ac:dyDescent="0.25">
      <c r="B1223"/>
    </row>
    <row r="1224" spans="2:2" x14ac:dyDescent="0.25">
      <c r="B1224"/>
    </row>
    <row r="1225" spans="2:2" x14ac:dyDescent="0.25">
      <c r="B1225"/>
    </row>
    <row r="1226" spans="2:2" x14ac:dyDescent="0.25">
      <c r="B1226"/>
    </row>
    <row r="1227" spans="2:2" x14ac:dyDescent="0.25">
      <c r="B1227"/>
    </row>
    <row r="1228" spans="2:2" x14ac:dyDescent="0.25">
      <c r="B1228"/>
    </row>
    <row r="1229" spans="2:2" x14ac:dyDescent="0.25">
      <c r="B1229"/>
    </row>
    <row r="1230" spans="2:2" x14ac:dyDescent="0.25">
      <c r="B1230"/>
    </row>
    <row r="1231" spans="2:2" x14ac:dyDescent="0.25">
      <c r="B1231"/>
    </row>
    <row r="1232" spans="2:2" x14ac:dyDescent="0.25">
      <c r="B1232"/>
    </row>
    <row r="1233" spans="2:2" x14ac:dyDescent="0.25">
      <c r="B1233"/>
    </row>
    <row r="1234" spans="2:2" x14ac:dyDescent="0.25">
      <c r="B1234"/>
    </row>
    <row r="1235" spans="2:2" x14ac:dyDescent="0.25">
      <c r="B1235"/>
    </row>
    <row r="1236" spans="2:2" x14ac:dyDescent="0.25">
      <c r="B1236"/>
    </row>
    <row r="1237" spans="2:2" x14ac:dyDescent="0.25">
      <c r="B1237"/>
    </row>
    <row r="1238" spans="2:2" x14ac:dyDescent="0.25">
      <c r="B1238"/>
    </row>
    <row r="1239" spans="2:2" x14ac:dyDescent="0.25">
      <c r="B1239"/>
    </row>
    <row r="1240" spans="2:2" x14ac:dyDescent="0.25">
      <c r="B1240"/>
    </row>
    <row r="1241" spans="2:2" x14ac:dyDescent="0.25">
      <c r="B1241"/>
    </row>
    <row r="1242" spans="2:2" x14ac:dyDescent="0.25">
      <c r="B1242"/>
    </row>
    <row r="1243" spans="2:2" x14ac:dyDescent="0.25">
      <c r="B1243"/>
    </row>
    <row r="1244" spans="2:2" x14ac:dyDescent="0.25">
      <c r="B1244"/>
    </row>
    <row r="1245" spans="2:2" x14ac:dyDescent="0.25">
      <c r="B1245"/>
    </row>
    <row r="1246" spans="2:2" x14ac:dyDescent="0.25">
      <c r="B1246"/>
    </row>
    <row r="1247" spans="2:2" x14ac:dyDescent="0.25">
      <c r="B1247"/>
    </row>
    <row r="1248" spans="2:2" x14ac:dyDescent="0.25">
      <c r="B1248"/>
    </row>
    <row r="1249" spans="2:2" x14ac:dyDescent="0.25">
      <c r="B1249"/>
    </row>
    <row r="1250" spans="2:2" x14ac:dyDescent="0.25">
      <c r="B1250"/>
    </row>
    <row r="1251" spans="2:2" x14ac:dyDescent="0.25">
      <c r="B1251"/>
    </row>
    <row r="1252" spans="2:2" x14ac:dyDescent="0.25">
      <c r="B1252"/>
    </row>
    <row r="1253" spans="2:2" x14ac:dyDescent="0.25">
      <c r="B1253"/>
    </row>
    <row r="1254" spans="2:2" x14ac:dyDescent="0.25">
      <c r="B1254"/>
    </row>
    <row r="1255" spans="2:2" x14ac:dyDescent="0.25">
      <c r="B1255"/>
    </row>
    <row r="1256" spans="2:2" x14ac:dyDescent="0.25">
      <c r="B1256"/>
    </row>
    <row r="1257" spans="2:2" x14ac:dyDescent="0.25">
      <c r="B1257"/>
    </row>
    <row r="1258" spans="2:2" x14ac:dyDescent="0.25">
      <c r="B1258"/>
    </row>
    <row r="1259" spans="2:2" x14ac:dyDescent="0.25">
      <c r="B1259"/>
    </row>
    <row r="1260" spans="2:2" x14ac:dyDescent="0.25">
      <c r="B1260"/>
    </row>
    <row r="1261" spans="2:2" x14ac:dyDescent="0.25">
      <c r="B1261"/>
    </row>
    <row r="1262" spans="2:2" x14ac:dyDescent="0.25">
      <c r="B1262"/>
    </row>
    <row r="1263" spans="2:2" x14ac:dyDescent="0.25">
      <c r="B1263"/>
    </row>
    <row r="1264" spans="2:2" x14ac:dyDescent="0.25">
      <c r="B1264"/>
    </row>
    <row r="1265" spans="2:2" x14ac:dyDescent="0.25">
      <c r="B1265"/>
    </row>
    <row r="1266" spans="2:2" x14ac:dyDescent="0.25">
      <c r="B1266"/>
    </row>
    <row r="1267" spans="2:2" x14ac:dyDescent="0.25">
      <c r="B1267"/>
    </row>
    <row r="1268" spans="2:2" x14ac:dyDescent="0.25">
      <c r="B1268"/>
    </row>
    <row r="1269" spans="2:2" x14ac:dyDescent="0.25">
      <c r="B1269"/>
    </row>
    <row r="1270" spans="2:2" x14ac:dyDescent="0.25">
      <c r="B1270"/>
    </row>
    <row r="1271" spans="2:2" x14ac:dyDescent="0.25">
      <c r="B1271"/>
    </row>
    <row r="1272" spans="2:2" x14ac:dyDescent="0.25">
      <c r="B1272"/>
    </row>
    <row r="1273" spans="2:2" x14ac:dyDescent="0.25">
      <c r="B1273"/>
    </row>
    <row r="1274" spans="2:2" x14ac:dyDescent="0.25">
      <c r="B1274"/>
    </row>
    <row r="1275" spans="2:2" x14ac:dyDescent="0.25">
      <c r="B1275"/>
    </row>
    <row r="1276" spans="2:2" x14ac:dyDescent="0.25">
      <c r="B1276"/>
    </row>
    <row r="1277" spans="2:2" x14ac:dyDescent="0.25">
      <c r="B1277"/>
    </row>
    <row r="1278" spans="2:2" x14ac:dyDescent="0.25">
      <c r="B1278"/>
    </row>
    <row r="1279" spans="2:2" x14ac:dyDescent="0.25">
      <c r="B1279"/>
    </row>
    <row r="1280" spans="2:2" x14ac:dyDescent="0.25">
      <c r="B1280"/>
    </row>
    <row r="1281" spans="2:2" x14ac:dyDescent="0.25">
      <c r="B1281"/>
    </row>
    <row r="1282" spans="2:2" x14ac:dyDescent="0.25">
      <c r="B1282"/>
    </row>
    <row r="1283" spans="2:2" x14ac:dyDescent="0.25">
      <c r="B1283"/>
    </row>
    <row r="1284" spans="2:2" x14ac:dyDescent="0.25">
      <c r="B1284"/>
    </row>
    <row r="1285" spans="2:2" x14ac:dyDescent="0.25">
      <c r="B1285"/>
    </row>
    <row r="1286" spans="2:2" x14ac:dyDescent="0.25">
      <c r="B1286"/>
    </row>
    <row r="1287" spans="2:2" x14ac:dyDescent="0.25">
      <c r="B1287"/>
    </row>
    <row r="1288" spans="2:2" x14ac:dyDescent="0.25">
      <c r="B1288"/>
    </row>
    <row r="1289" spans="2:2" x14ac:dyDescent="0.25">
      <c r="B1289"/>
    </row>
    <row r="1290" spans="2:2" x14ac:dyDescent="0.25">
      <c r="B1290"/>
    </row>
    <row r="1291" spans="2:2" x14ac:dyDescent="0.25">
      <c r="B1291"/>
    </row>
    <row r="1292" spans="2:2" x14ac:dyDescent="0.25">
      <c r="B1292"/>
    </row>
    <row r="1293" spans="2:2" x14ac:dyDescent="0.25">
      <c r="B1293"/>
    </row>
    <row r="1294" spans="2:2" x14ac:dyDescent="0.25">
      <c r="B1294"/>
    </row>
    <row r="1295" spans="2:2" x14ac:dyDescent="0.25">
      <c r="B1295"/>
    </row>
    <row r="1296" spans="2:2" x14ac:dyDescent="0.25">
      <c r="B1296"/>
    </row>
    <row r="1297" spans="2:2" x14ac:dyDescent="0.25">
      <c r="B1297"/>
    </row>
    <row r="1298" spans="2:2" x14ac:dyDescent="0.25">
      <c r="B1298"/>
    </row>
    <row r="1299" spans="2:2" x14ac:dyDescent="0.25">
      <c r="B1299"/>
    </row>
    <row r="1300" spans="2:2" x14ac:dyDescent="0.25">
      <c r="B1300"/>
    </row>
    <row r="1301" spans="2:2" x14ac:dyDescent="0.25">
      <c r="B1301"/>
    </row>
    <row r="1302" spans="2:2" x14ac:dyDescent="0.25">
      <c r="B1302"/>
    </row>
    <row r="1303" spans="2:2" x14ac:dyDescent="0.25">
      <c r="B1303"/>
    </row>
    <row r="1304" spans="2:2" x14ac:dyDescent="0.25">
      <c r="B1304"/>
    </row>
    <row r="1305" spans="2:2" x14ac:dyDescent="0.25">
      <c r="B1305"/>
    </row>
    <row r="1306" spans="2:2" x14ac:dyDescent="0.25">
      <c r="B1306"/>
    </row>
    <row r="1307" spans="2:2" x14ac:dyDescent="0.25">
      <c r="B1307"/>
    </row>
    <row r="1308" spans="2:2" x14ac:dyDescent="0.25">
      <c r="B1308"/>
    </row>
    <row r="1309" spans="2:2" x14ac:dyDescent="0.25">
      <c r="B1309"/>
    </row>
    <row r="1310" spans="2:2" x14ac:dyDescent="0.25">
      <c r="B1310"/>
    </row>
    <row r="1311" spans="2:2" x14ac:dyDescent="0.25">
      <c r="B1311"/>
    </row>
    <row r="1312" spans="2:2" x14ac:dyDescent="0.25">
      <c r="B1312"/>
    </row>
    <row r="1313" spans="2:2" x14ac:dyDescent="0.25">
      <c r="B1313"/>
    </row>
    <row r="1314" spans="2:2" x14ac:dyDescent="0.25">
      <c r="B1314"/>
    </row>
    <row r="1315" spans="2:2" x14ac:dyDescent="0.25">
      <c r="B1315"/>
    </row>
    <row r="1316" spans="2:2" x14ac:dyDescent="0.25">
      <c r="B1316"/>
    </row>
    <row r="1317" spans="2:2" x14ac:dyDescent="0.25">
      <c r="B1317"/>
    </row>
    <row r="1318" spans="2:2" x14ac:dyDescent="0.25">
      <c r="B1318"/>
    </row>
    <row r="1319" spans="2:2" x14ac:dyDescent="0.25">
      <c r="B1319"/>
    </row>
    <row r="1320" spans="2:2" x14ac:dyDescent="0.25">
      <c r="B1320"/>
    </row>
    <row r="1321" spans="2:2" x14ac:dyDescent="0.25">
      <c r="B1321"/>
    </row>
    <row r="1322" spans="2:2" x14ac:dyDescent="0.25">
      <c r="B1322"/>
    </row>
    <row r="1323" spans="2:2" x14ac:dyDescent="0.25">
      <c r="B1323"/>
    </row>
    <row r="1324" spans="2:2" x14ac:dyDescent="0.25">
      <c r="B1324"/>
    </row>
    <row r="1325" spans="2:2" x14ac:dyDescent="0.25">
      <c r="B1325"/>
    </row>
    <row r="1326" spans="2:2" x14ac:dyDescent="0.25">
      <c r="B1326"/>
    </row>
    <row r="1327" spans="2:2" x14ac:dyDescent="0.25">
      <c r="B1327"/>
    </row>
    <row r="1328" spans="2:2" x14ac:dyDescent="0.25">
      <c r="B1328"/>
    </row>
    <row r="1329" spans="2:2" x14ac:dyDescent="0.25">
      <c r="B1329"/>
    </row>
    <row r="1330" spans="2:2" x14ac:dyDescent="0.25">
      <c r="B1330"/>
    </row>
    <row r="1331" spans="2:2" x14ac:dyDescent="0.25">
      <c r="B1331"/>
    </row>
    <row r="1332" spans="2:2" x14ac:dyDescent="0.25">
      <c r="B1332"/>
    </row>
    <row r="1333" spans="2:2" x14ac:dyDescent="0.25">
      <c r="B1333"/>
    </row>
    <row r="1334" spans="2:2" x14ac:dyDescent="0.25">
      <c r="B1334"/>
    </row>
    <row r="1335" spans="2:2" x14ac:dyDescent="0.25">
      <c r="B1335"/>
    </row>
    <row r="1336" spans="2:2" x14ac:dyDescent="0.25">
      <c r="B1336"/>
    </row>
    <row r="1337" spans="2:2" x14ac:dyDescent="0.25">
      <c r="B1337"/>
    </row>
    <row r="1338" spans="2:2" x14ac:dyDescent="0.25">
      <c r="B1338"/>
    </row>
    <row r="1339" spans="2:2" x14ac:dyDescent="0.25">
      <c r="B1339"/>
    </row>
    <row r="1340" spans="2:2" x14ac:dyDescent="0.25">
      <c r="B1340"/>
    </row>
    <row r="1341" spans="2:2" x14ac:dyDescent="0.25">
      <c r="B1341"/>
    </row>
    <row r="1342" spans="2:2" x14ac:dyDescent="0.25">
      <c r="B1342"/>
    </row>
    <row r="1343" spans="2:2" x14ac:dyDescent="0.25">
      <c r="B1343"/>
    </row>
    <row r="1344" spans="2:2" x14ac:dyDescent="0.25">
      <c r="B1344"/>
    </row>
    <row r="1345" spans="2:2" x14ac:dyDescent="0.25">
      <c r="B1345"/>
    </row>
    <row r="1346" spans="2:2" x14ac:dyDescent="0.25">
      <c r="B1346"/>
    </row>
    <row r="1347" spans="2:2" x14ac:dyDescent="0.25">
      <c r="B1347"/>
    </row>
    <row r="1348" spans="2:2" x14ac:dyDescent="0.25">
      <c r="B1348"/>
    </row>
    <row r="1349" spans="2:2" x14ac:dyDescent="0.25">
      <c r="B1349"/>
    </row>
    <row r="1350" spans="2:2" x14ac:dyDescent="0.25">
      <c r="B1350"/>
    </row>
    <row r="1351" spans="2:2" x14ac:dyDescent="0.25">
      <c r="B1351"/>
    </row>
    <row r="1352" spans="2:2" x14ac:dyDescent="0.25">
      <c r="B1352"/>
    </row>
    <row r="1353" spans="2:2" x14ac:dyDescent="0.25">
      <c r="B1353"/>
    </row>
    <row r="1354" spans="2:2" x14ac:dyDescent="0.25">
      <c r="B1354"/>
    </row>
    <row r="1355" spans="2:2" x14ac:dyDescent="0.25">
      <c r="B1355"/>
    </row>
    <row r="1356" spans="2:2" x14ac:dyDescent="0.25">
      <c r="B1356"/>
    </row>
    <row r="1357" spans="2:2" x14ac:dyDescent="0.25">
      <c r="B1357"/>
    </row>
    <row r="1358" spans="2:2" x14ac:dyDescent="0.25">
      <c r="B1358"/>
    </row>
    <row r="1359" spans="2:2" x14ac:dyDescent="0.25">
      <c r="B1359"/>
    </row>
    <row r="1360" spans="2:2" x14ac:dyDescent="0.25">
      <c r="B1360"/>
    </row>
    <row r="1361" spans="2:2" x14ac:dyDescent="0.25">
      <c r="B1361"/>
    </row>
    <row r="1362" spans="2:2" x14ac:dyDescent="0.25">
      <c r="B1362"/>
    </row>
    <row r="1363" spans="2:2" x14ac:dyDescent="0.25">
      <c r="B1363"/>
    </row>
    <row r="1364" spans="2:2" x14ac:dyDescent="0.25">
      <c r="B1364"/>
    </row>
    <row r="1365" spans="2:2" x14ac:dyDescent="0.25">
      <c r="B1365"/>
    </row>
    <row r="1366" spans="2:2" x14ac:dyDescent="0.25">
      <c r="B1366"/>
    </row>
    <row r="1367" spans="2:2" x14ac:dyDescent="0.25">
      <c r="B1367"/>
    </row>
    <row r="1368" spans="2:2" x14ac:dyDescent="0.25">
      <c r="B1368"/>
    </row>
    <row r="1369" spans="2:2" x14ac:dyDescent="0.25">
      <c r="B1369"/>
    </row>
    <row r="1370" spans="2:2" x14ac:dyDescent="0.25">
      <c r="B1370"/>
    </row>
    <row r="1371" spans="2:2" x14ac:dyDescent="0.25">
      <c r="B1371"/>
    </row>
    <row r="1372" spans="2:2" x14ac:dyDescent="0.25">
      <c r="B1372"/>
    </row>
    <row r="1373" spans="2:2" x14ac:dyDescent="0.25">
      <c r="B1373"/>
    </row>
    <row r="1374" spans="2:2" x14ac:dyDescent="0.25">
      <c r="B1374"/>
    </row>
    <row r="1375" spans="2:2" x14ac:dyDescent="0.25">
      <c r="B1375"/>
    </row>
    <row r="1376" spans="2:2" x14ac:dyDescent="0.25">
      <c r="B1376"/>
    </row>
    <row r="1377" spans="2:2" x14ac:dyDescent="0.25">
      <c r="B1377"/>
    </row>
    <row r="1378" spans="2:2" x14ac:dyDescent="0.25">
      <c r="B1378"/>
    </row>
    <row r="1379" spans="2:2" x14ac:dyDescent="0.25">
      <c r="B1379"/>
    </row>
    <row r="1380" spans="2:2" x14ac:dyDescent="0.25">
      <c r="B1380"/>
    </row>
    <row r="1381" spans="2:2" x14ac:dyDescent="0.25">
      <c r="B1381"/>
    </row>
    <row r="1382" spans="2:2" x14ac:dyDescent="0.25">
      <c r="B1382"/>
    </row>
    <row r="1383" spans="2:2" x14ac:dyDescent="0.25">
      <c r="B1383"/>
    </row>
    <row r="1384" spans="2:2" x14ac:dyDescent="0.25">
      <c r="B1384"/>
    </row>
    <row r="1385" spans="2:2" x14ac:dyDescent="0.25">
      <c r="B1385"/>
    </row>
    <row r="1386" spans="2:2" x14ac:dyDescent="0.25">
      <c r="B1386"/>
    </row>
    <row r="1387" spans="2:2" x14ac:dyDescent="0.25">
      <c r="B1387"/>
    </row>
    <row r="1388" spans="2:2" x14ac:dyDescent="0.25">
      <c r="B1388"/>
    </row>
    <row r="1389" spans="2:2" x14ac:dyDescent="0.25">
      <c r="B1389"/>
    </row>
    <row r="1390" spans="2:2" x14ac:dyDescent="0.25">
      <c r="B1390"/>
    </row>
    <row r="1391" spans="2:2" x14ac:dyDescent="0.25">
      <c r="B1391"/>
    </row>
    <row r="1392" spans="2:2" x14ac:dyDescent="0.25">
      <c r="B1392"/>
    </row>
    <row r="1393" spans="2:2" x14ac:dyDescent="0.25">
      <c r="B1393"/>
    </row>
    <row r="1394" spans="2:2" x14ac:dyDescent="0.25">
      <c r="B1394"/>
    </row>
    <row r="1395" spans="2:2" x14ac:dyDescent="0.25">
      <c r="B1395"/>
    </row>
    <row r="1396" spans="2:2" x14ac:dyDescent="0.25">
      <c r="B1396"/>
    </row>
    <row r="1397" spans="2:2" x14ac:dyDescent="0.25">
      <c r="B1397"/>
    </row>
    <row r="1398" spans="2:2" x14ac:dyDescent="0.25">
      <c r="B1398"/>
    </row>
    <row r="1399" spans="2:2" x14ac:dyDescent="0.25">
      <c r="B1399"/>
    </row>
    <row r="1400" spans="2:2" x14ac:dyDescent="0.25">
      <c r="B1400"/>
    </row>
    <row r="1401" spans="2:2" x14ac:dyDescent="0.25">
      <c r="B1401"/>
    </row>
    <row r="1402" spans="2:2" x14ac:dyDescent="0.25">
      <c r="B1402"/>
    </row>
    <row r="1403" spans="2:2" x14ac:dyDescent="0.25">
      <c r="B1403"/>
    </row>
    <row r="1404" spans="2:2" x14ac:dyDescent="0.25">
      <c r="B1404"/>
    </row>
    <row r="1405" spans="2:2" x14ac:dyDescent="0.25">
      <c r="B1405"/>
    </row>
    <row r="1406" spans="2:2" x14ac:dyDescent="0.25">
      <c r="B1406"/>
    </row>
    <row r="1407" spans="2:2" x14ac:dyDescent="0.25">
      <c r="B1407"/>
    </row>
    <row r="1408" spans="2:2" x14ac:dyDescent="0.25">
      <c r="B1408"/>
    </row>
    <row r="1409" spans="2:2" x14ac:dyDescent="0.25">
      <c r="B1409"/>
    </row>
    <row r="1410" spans="2:2" x14ac:dyDescent="0.25">
      <c r="B1410"/>
    </row>
    <row r="1411" spans="2:2" x14ac:dyDescent="0.25">
      <c r="B1411"/>
    </row>
    <row r="1412" spans="2:2" x14ac:dyDescent="0.25">
      <c r="B1412"/>
    </row>
    <row r="1413" spans="2:2" x14ac:dyDescent="0.25">
      <c r="B1413"/>
    </row>
    <row r="1414" spans="2:2" x14ac:dyDescent="0.25">
      <c r="B1414"/>
    </row>
    <row r="1415" spans="2:2" x14ac:dyDescent="0.25">
      <c r="B1415"/>
    </row>
    <row r="1416" spans="2:2" x14ac:dyDescent="0.25">
      <c r="B1416"/>
    </row>
    <row r="1417" spans="2:2" x14ac:dyDescent="0.25">
      <c r="B1417"/>
    </row>
    <row r="1418" spans="2:2" x14ac:dyDescent="0.25">
      <c r="B1418"/>
    </row>
    <row r="1419" spans="2:2" x14ac:dyDescent="0.25">
      <c r="B1419"/>
    </row>
    <row r="1420" spans="2:2" x14ac:dyDescent="0.25">
      <c r="B1420"/>
    </row>
    <row r="1421" spans="2:2" x14ac:dyDescent="0.25">
      <c r="B1421"/>
    </row>
    <row r="1422" spans="2:2" x14ac:dyDescent="0.25">
      <c r="B1422"/>
    </row>
    <row r="1423" spans="2:2" x14ac:dyDescent="0.25">
      <c r="B1423"/>
    </row>
    <row r="1424" spans="2:2" x14ac:dyDescent="0.25">
      <c r="B1424"/>
    </row>
    <row r="1425" spans="2:2" x14ac:dyDescent="0.25">
      <c r="B1425"/>
    </row>
    <row r="1426" spans="2:2" x14ac:dyDescent="0.25">
      <c r="B1426"/>
    </row>
    <row r="1427" spans="2:2" x14ac:dyDescent="0.25">
      <c r="B1427"/>
    </row>
    <row r="1428" spans="2:2" x14ac:dyDescent="0.25">
      <c r="B1428"/>
    </row>
    <row r="1429" spans="2:2" x14ac:dyDescent="0.25">
      <c r="B1429"/>
    </row>
    <row r="1430" spans="2:2" x14ac:dyDescent="0.25">
      <c r="B1430"/>
    </row>
    <row r="1431" spans="2:2" x14ac:dyDescent="0.25">
      <c r="B1431"/>
    </row>
    <row r="1432" spans="2:2" x14ac:dyDescent="0.25">
      <c r="B1432"/>
    </row>
    <row r="1433" spans="2:2" x14ac:dyDescent="0.25">
      <c r="B1433"/>
    </row>
    <row r="1434" spans="2:2" x14ac:dyDescent="0.25">
      <c r="B1434"/>
    </row>
    <row r="1435" spans="2:2" x14ac:dyDescent="0.25">
      <c r="B1435"/>
    </row>
    <row r="1436" spans="2:2" x14ac:dyDescent="0.25">
      <c r="B1436"/>
    </row>
    <row r="1437" spans="2:2" x14ac:dyDescent="0.25">
      <c r="B1437"/>
    </row>
    <row r="1438" spans="2:2" x14ac:dyDescent="0.25">
      <c r="B1438"/>
    </row>
    <row r="1439" spans="2:2" x14ac:dyDescent="0.25">
      <c r="B1439"/>
    </row>
    <row r="1440" spans="2:2" x14ac:dyDescent="0.25">
      <c r="B1440"/>
    </row>
    <row r="1441" spans="2:2" x14ac:dyDescent="0.25">
      <c r="B1441"/>
    </row>
    <row r="1442" spans="2:2" x14ac:dyDescent="0.25">
      <c r="B1442"/>
    </row>
    <row r="1443" spans="2:2" x14ac:dyDescent="0.25">
      <c r="B1443"/>
    </row>
    <row r="1444" spans="2:2" x14ac:dyDescent="0.25">
      <c r="B1444"/>
    </row>
    <row r="1445" spans="2:2" x14ac:dyDescent="0.25">
      <c r="B1445"/>
    </row>
    <row r="1446" spans="2:2" x14ac:dyDescent="0.25">
      <c r="B1446"/>
    </row>
    <row r="1447" spans="2:2" x14ac:dyDescent="0.25">
      <c r="B1447"/>
    </row>
    <row r="1448" spans="2:2" x14ac:dyDescent="0.25">
      <c r="B1448"/>
    </row>
    <row r="1449" spans="2:2" x14ac:dyDescent="0.25">
      <c r="B1449"/>
    </row>
    <row r="1450" spans="2:2" x14ac:dyDescent="0.25">
      <c r="B1450"/>
    </row>
    <row r="1451" spans="2:2" x14ac:dyDescent="0.25">
      <c r="B1451"/>
    </row>
    <row r="1452" spans="2:2" x14ac:dyDescent="0.25">
      <c r="B1452"/>
    </row>
    <row r="1453" spans="2:2" x14ac:dyDescent="0.25">
      <c r="B1453"/>
    </row>
    <row r="1454" spans="2:2" x14ac:dyDescent="0.25">
      <c r="B1454"/>
    </row>
    <row r="1455" spans="2:2" x14ac:dyDescent="0.25">
      <c r="B1455"/>
    </row>
    <row r="1456" spans="2:2" x14ac:dyDescent="0.25">
      <c r="B1456"/>
    </row>
    <row r="1457" spans="2:2" x14ac:dyDescent="0.25">
      <c r="B1457"/>
    </row>
    <row r="1458" spans="2:2" x14ac:dyDescent="0.25">
      <c r="B1458"/>
    </row>
    <row r="1459" spans="2:2" x14ac:dyDescent="0.25">
      <c r="B1459"/>
    </row>
    <row r="1460" spans="2:2" x14ac:dyDescent="0.25">
      <c r="B1460"/>
    </row>
    <row r="1461" spans="2:2" x14ac:dyDescent="0.25">
      <c r="B1461"/>
    </row>
    <row r="1462" spans="2:2" x14ac:dyDescent="0.25">
      <c r="B1462"/>
    </row>
    <row r="1463" spans="2:2" x14ac:dyDescent="0.25">
      <c r="B1463"/>
    </row>
    <row r="1464" spans="2:2" x14ac:dyDescent="0.25">
      <c r="B1464"/>
    </row>
    <row r="1465" spans="2:2" x14ac:dyDescent="0.25">
      <c r="B1465"/>
    </row>
    <row r="1466" spans="2:2" x14ac:dyDescent="0.25">
      <c r="B1466"/>
    </row>
    <row r="1467" spans="2:2" x14ac:dyDescent="0.25">
      <c r="B1467"/>
    </row>
    <row r="1468" spans="2:2" x14ac:dyDescent="0.25">
      <c r="B1468"/>
    </row>
    <row r="1469" spans="2:2" x14ac:dyDescent="0.25">
      <c r="B1469"/>
    </row>
    <row r="1470" spans="2:2" x14ac:dyDescent="0.25">
      <c r="B1470"/>
    </row>
    <row r="1471" spans="2:2" x14ac:dyDescent="0.25">
      <c r="B1471"/>
    </row>
    <row r="1472" spans="2:2" x14ac:dyDescent="0.25">
      <c r="B1472"/>
    </row>
    <row r="1473" spans="2:2" x14ac:dyDescent="0.25">
      <c r="B1473"/>
    </row>
    <row r="1474" spans="2:2" x14ac:dyDescent="0.25">
      <c r="B1474"/>
    </row>
    <row r="1475" spans="2:2" x14ac:dyDescent="0.25">
      <c r="B1475"/>
    </row>
    <row r="1476" spans="2:2" x14ac:dyDescent="0.25">
      <c r="B1476"/>
    </row>
    <row r="1477" spans="2:2" x14ac:dyDescent="0.25">
      <c r="B1477"/>
    </row>
    <row r="1478" spans="2:2" x14ac:dyDescent="0.25">
      <c r="B1478"/>
    </row>
    <row r="1479" spans="2:2" x14ac:dyDescent="0.25">
      <c r="B1479"/>
    </row>
    <row r="1480" spans="2:2" x14ac:dyDescent="0.25">
      <c r="B1480"/>
    </row>
    <row r="1481" spans="2:2" x14ac:dyDescent="0.25">
      <c r="B1481"/>
    </row>
    <row r="1482" spans="2:2" x14ac:dyDescent="0.25">
      <c r="B1482"/>
    </row>
    <row r="1483" spans="2:2" x14ac:dyDescent="0.25">
      <c r="B1483"/>
    </row>
    <row r="1484" spans="2:2" x14ac:dyDescent="0.25">
      <c r="B1484"/>
    </row>
    <row r="1485" spans="2:2" x14ac:dyDescent="0.25">
      <c r="B1485"/>
    </row>
    <row r="1486" spans="2:2" x14ac:dyDescent="0.25">
      <c r="B1486"/>
    </row>
    <row r="1487" spans="2:2" x14ac:dyDescent="0.25">
      <c r="B1487"/>
    </row>
    <row r="1488" spans="2:2" x14ac:dyDescent="0.25">
      <c r="B1488"/>
    </row>
    <row r="1489" spans="2:2" x14ac:dyDescent="0.25">
      <c r="B1489"/>
    </row>
    <row r="1490" spans="2:2" x14ac:dyDescent="0.25">
      <c r="B1490"/>
    </row>
    <row r="1491" spans="2:2" x14ac:dyDescent="0.25">
      <c r="B1491"/>
    </row>
    <row r="1492" spans="2:2" x14ac:dyDescent="0.25">
      <c r="B1492"/>
    </row>
    <row r="1493" spans="2:2" x14ac:dyDescent="0.25">
      <c r="B1493"/>
    </row>
    <row r="1494" spans="2:2" x14ac:dyDescent="0.25">
      <c r="B1494"/>
    </row>
    <row r="1495" spans="2:2" x14ac:dyDescent="0.25">
      <c r="B1495"/>
    </row>
    <row r="1496" spans="2:2" x14ac:dyDescent="0.25">
      <c r="B1496"/>
    </row>
    <row r="1497" spans="2:2" x14ac:dyDescent="0.25">
      <c r="B1497"/>
    </row>
    <row r="1498" spans="2:2" x14ac:dyDescent="0.25">
      <c r="B1498"/>
    </row>
    <row r="1499" spans="2:2" x14ac:dyDescent="0.25">
      <c r="B1499"/>
    </row>
    <row r="1500" spans="2:2" x14ac:dyDescent="0.25">
      <c r="B1500"/>
    </row>
    <row r="1501" spans="2:2" x14ac:dyDescent="0.25">
      <c r="B1501"/>
    </row>
    <row r="1502" spans="2:2" x14ac:dyDescent="0.25">
      <c r="B1502"/>
    </row>
    <row r="1503" spans="2:2" x14ac:dyDescent="0.25">
      <c r="B1503"/>
    </row>
    <row r="1504" spans="2:2" x14ac:dyDescent="0.25">
      <c r="B1504"/>
    </row>
    <row r="1505" spans="2:2" x14ac:dyDescent="0.25">
      <c r="B1505"/>
    </row>
    <row r="1506" spans="2:2" x14ac:dyDescent="0.25">
      <c r="B1506"/>
    </row>
    <row r="1507" spans="2:2" x14ac:dyDescent="0.25">
      <c r="B1507"/>
    </row>
    <row r="1508" spans="2:2" x14ac:dyDescent="0.25">
      <c r="B1508"/>
    </row>
    <row r="1509" spans="2:2" x14ac:dyDescent="0.25">
      <c r="B1509"/>
    </row>
    <row r="1510" spans="2:2" x14ac:dyDescent="0.25">
      <c r="B1510"/>
    </row>
    <row r="1511" spans="2:2" x14ac:dyDescent="0.25">
      <c r="B1511"/>
    </row>
    <row r="1512" spans="2:2" x14ac:dyDescent="0.25">
      <c r="B1512"/>
    </row>
    <row r="1513" spans="2:2" x14ac:dyDescent="0.25">
      <c r="B1513"/>
    </row>
    <row r="1514" spans="2:2" x14ac:dyDescent="0.25">
      <c r="B1514"/>
    </row>
    <row r="1515" spans="2:2" x14ac:dyDescent="0.25">
      <c r="B1515"/>
    </row>
    <row r="1516" spans="2:2" x14ac:dyDescent="0.25">
      <c r="B1516"/>
    </row>
    <row r="1517" spans="2:2" x14ac:dyDescent="0.25">
      <c r="B1517"/>
    </row>
    <row r="1518" spans="2:2" x14ac:dyDescent="0.25">
      <c r="B1518"/>
    </row>
    <row r="1519" spans="2:2" x14ac:dyDescent="0.25">
      <c r="B1519"/>
    </row>
    <row r="1520" spans="2:2" x14ac:dyDescent="0.25">
      <c r="B1520"/>
    </row>
    <row r="1521" spans="2:2" x14ac:dyDescent="0.25">
      <c r="B1521"/>
    </row>
    <row r="1522" spans="2:2" x14ac:dyDescent="0.25">
      <c r="B1522"/>
    </row>
    <row r="1523" spans="2:2" x14ac:dyDescent="0.25">
      <c r="B1523"/>
    </row>
    <row r="1524" spans="2:2" x14ac:dyDescent="0.25">
      <c r="B1524"/>
    </row>
    <row r="1525" spans="2:2" x14ac:dyDescent="0.25">
      <c r="B1525"/>
    </row>
    <row r="1526" spans="2:2" x14ac:dyDescent="0.25">
      <c r="B1526"/>
    </row>
    <row r="1527" spans="2:2" x14ac:dyDescent="0.25">
      <c r="B1527"/>
    </row>
    <row r="1528" spans="2:2" x14ac:dyDescent="0.25">
      <c r="B1528"/>
    </row>
    <row r="1529" spans="2:2" x14ac:dyDescent="0.25">
      <c r="B1529"/>
    </row>
    <row r="1530" spans="2:2" x14ac:dyDescent="0.25">
      <c r="B1530"/>
    </row>
    <row r="1531" spans="2:2" x14ac:dyDescent="0.25">
      <c r="B1531"/>
    </row>
    <row r="1532" spans="2:2" x14ac:dyDescent="0.25">
      <c r="B1532"/>
    </row>
    <row r="1533" spans="2:2" x14ac:dyDescent="0.25">
      <c r="B1533"/>
    </row>
    <row r="1534" spans="2:2" x14ac:dyDescent="0.25">
      <c r="B1534"/>
    </row>
    <row r="1535" spans="2:2" x14ac:dyDescent="0.25">
      <c r="B1535"/>
    </row>
    <row r="1536" spans="2:2" x14ac:dyDescent="0.25">
      <c r="B1536"/>
    </row>
    <row r="1537" spans="2:2" x14ac:dyDescent="0.25">
      <c r="B1537"/>
    </row>
    <row r="1538" spans="2:2" x14ac:dyDescent="0.25">
      <c r="B1538"/>
    </row>
    <row r="1539" spans="2:2" x14ac:dyDescent="0.25">
      <c r="B1539"/>
    </row>
    <row r="1540" spans="2:2" x14ac:dyDescent="0.25">
      <c r="B1540"/>
    </row>
    <row r="1541" spans="2:2" x14ac:dyDescent="0.25">
      <c r="B1541"/>
    </row>
    <row r="1542" spans="2:2" x14ac:dyDescent="0.25">
      <c r="B1542"/>
    </row>
    <row r="1543" spans="2:2" x14ac:dyDescent="0.25">
      <c r="B1543"/>
    </row>
    <row r="1544" spans="2:2" x14ac:dyDescent="0.25">
      <c r="B1544"/>
    </row>
    <row r="1545" spans="2:2" x14ac:dyDescent="0.25">
      <c r="B1545"/>
    </row>
    <row r="1546" spans="2:2" x14ac:dyDescent="0.25">
      <c r="B1546"/>
    </row>
    <row r="1547" spans="2:2" x14ac:dyDescent="0.25">
      <c r="B1547"/>
    </row>
    <row r="1548" spans="2:2" x14ac:dyDescent="0.25">
      <c r="B1548"/>
    </row>
    <row r="1549" spans="2:2" x14ac:dyDescent="0.25">
      <c r="B1549"/>
    </row>
    <row r="1550" spans="2:2" x14ac:dyDescent="0.25">
      <c r="B1550"/>
    </row>
    <row r="1551" spans="2:2" x14ac:dyDescent="0.25">
      <c r="B1551"/>
    </row>
    <row r="1552" spans="2:2" x14ac:dyDescent="0.25">
      <c r="B1552"/>
    </row>
    <row r="1553" spans="2:2" x14ac:dyDescent="0.25">
      <c r="B1553"/>
    </row>
    <row r="1554" spans="2:2" x14ac:dyDescent="0.25">
      <c r="B1554"/>
    </row>
    <row r="1555" spans="2:2" x14ac:dyDescent="0.25">
      <c r="B1555"/>
    </row>
    <row r="1556" spans="2:2" x14ac:dyDescent="0.25">
      <c r="B1556"/>
    </row>
    <row r="1557" spans="2:2" x14ac:dyDescent="0.25">
      <c r="B1557"/>
    </row>
    <row r="1558" spans="2:2" x14ac:dyDescent="0.25">
      <c r="B1558"/>
    </row>
    <row r="1559" spans="2:2" x14ac:dyDescent="0.25">
      <c r="B1559"/>
    </row>
    <row r="1560" spans="2:2" x14ac:dyDescent="0.25">
      <c r="B1560"/>
    </row>
    <row r="1561" spans="2:2" x14ac:dyDescent="0.25">
      <c r="B1561"/>
    </row>
    <row r="1562" spans="2:2" x14ac:dyDescent="0.25">
      <c r="B1562"/>
    </row>
    <row r="1563" spans="2:2" x14ac:dyDescent="0.25">
      <c r="B1563"/>
    </row>
    <row r="1564" spans="2:2" x14ac:dyDescent="0.25">
      <c r="B1564"/>
    </row>
    <row r="1565" spans="2:2" x14ac:dyDescent="0.25">
      <c r="B1565"/>
    </row>
    <row r="1566" spans="2:2" x14ac:dyDescent="0.25">
      <c r="B1566"/>
    </row>
    <row r="1567" spans="2:2" x14ac:dyDescent="0.25">
      <c r="B1567"/>
    </row>
    <row r="1568" spans="2:2" x14ac:dyDescent="0.25">
      <c r="B1568"/>
    </row>
    <row r="1569" spans="2:2" x14ac:dyDescent="0.25">
      <c r="B1569"/>
    </row>
    <row r="1570" spans="2:2" x14ac:dyDescent="0.25">
      <c r="B1570"/>
    </row>
    <row r="1571" spans="2:2" x14ac:dyDescent="0.25">
      <c r="B1571"/>
    </row>
    <row r="1572" spans="2:2" x14ac:dyDescent="0.25">
      <c r="B1572"/>
    </row>
    <row r="1573" spans="2:2" x14ac:dyDescent="0.25">
      <c r="B1573"/>
    </row>
    <row r="1574" spans="2:2" x14ac:dyDescent="0.25">
      <c r="B1574"/>
    </row>
    <row r="1575" spans="2:2" x14ac:dyDescent="0.25">
      <c r="B1575"/>
    </row>
    <row r="1576" spans="2:2" x14ac:dyDescent="0.25">
      <c r="B1576"/>
    </row>
    <row r="1577" spans="2:2" x14ac:dyDescent="0.25">
      <c r="B1577"/>
    </row>
    <row r="1578" spans="2:2" x14ac:dyDescent="0.25">
      <c r="B1578"/>
    </row>
    <row r="1579" spans="2:2" x14ac:dyDescent="0.25">
      <c r="B1579"/>
    </row>
    <row r="1580" spans="2:2" x14ac:dyDescent="0.25">
      <c r="B1580"/>
    </row>
    <row r="1581" spans="2:2" x14ac:dyDescent="0.25">
      <c r="B1581"/>
    </row>
    <row r="1582" spans="2:2" x14ac:dyDescent="0.25">
      <c r="B1582"/>
    </row>
    <row r="1583" spans="2:2" x14ac:dyDescent="0.25">
      <c r="B1583"/>
    </row>
    <row r="1584" spans="2:2" x14ac:dyDescent="0.25">
      <c r="B1584"/>
    </row>
    <row r="1585" spans="2:2" x14ac:dyDescent="0.25">
      <c r="B1585"/>
    </row>
    <row r="1586" spans="2:2" x14ac:dyDescent="0.25">
      <c r="B1586"/>
    </row>
    <row r="1587" spans="2:2" x14ac:dyDescent="0.25">
      <c r="B1587"/>
    </row>
    <row r="1588" spans="2:2" x14ac:dyDescent="0.25">
      <c r="B1588"/>
    </row>
    <row r="1589" spans="2:2" x14ac:dyDescent="0.25">
      <c r="B1589"/>
    </row>
    <row r="1590" spans="2:2" x14ac:dyDescent="0.25">
      <c r="B1590"/>
    </row>
    <row r="1591" spans="2:2" x14ac:dyDescent="0.25">
      <c r="B1591"/>
    </row>
    <row r="1592" spans="2:2" x14ac:dyDescent="0.25">
      <c r="B1592"/>
    </row>
    <row r="1593" spans="2:2" x14ac:dyDescent="0.25">
      <c r="B1593"/>
    </row>
    <row r="1594" spans="2:2" x14ac:dyDescent="0.25">
      <c r="B1594"/>
    </row>
    <row r="1595" spans="2:2" x14ac:dyDescent="0.25">
      <c r="B1595"/>
    </row>
    <row r="1596" spans="2:2" x14ac:dyDescent="0.25">
      <c r="B1596"/>
    </row>
    <row r="1597" spans="2:2" x14ac:dyDescent="0.25">
      <c r="B1597"/>
    </row>
    <row r="1598" spans="2:2" x14ac:dyDescent="0.25">
      <c r="B1598"/>
    </row>
    <row r="1599" spans="2:2" x14ac:dyDescent="0.25">
      <c r="B1599"/>
    </row>
    <row r="1600" spans="2:2" x14ac:dyDescent="0.25">
      <c r="B1600"/>
    </row>
    <row r="1601" spans="2:2" x14ac:dyDescent="0.25">
      <c r="B1601"/>
    </row>
    <row r="1602" spans="2:2" x14ac:dyDescent="0.25">
      <c r="B1602"/>
    </row>
    <row r="1603" spans="2:2" x14ac:dyDescent="0.25">
      <c r="B1603"/>
    </row>
    <row r="1604" spans="2:2" x14ac:dyDescent="0.25">
      <c r="B1604"/>
    </row>
    <row r="1605" spans="2:2" x14ac:dyDescent="0.25">
      <c r="B1605"/>
    </row>
    <row r="1606" spans="2:2" x14ac:dyDescent="0.25">
      <c r="B1606"/>
    </row>
    <row r="1607" spans="2:2" x14ac:dyDescent="0.25">
      <c r="B1607"/>
    </row>
    <row r="1608" spans="2:2" x14ac:dyDescent="0.25">
      <c r="B1608"/>
    </row>
    <row r="1609" spans="2:2" x14ac:dyDescent="0.25">
      <c r="B1609"/>
    </row>
    <row r="1610" spans="2:2" x14ac:dyDescent="0.25">
      <c r="B1610"/>
    </row>
    <row r="1611" spans="2:2" x14ac:dyDescent="0.25">
      <c r="B1611"/>
    </row>
    <row r="1612" spans="2:2" x14ac:dyDescent="0.25">
      <c r="B1612"/>
    </row>
    <row r="1613" spans="2:2" x14ac:dyDescent="0.25">
      <c r="B1613"/>
    </row>
    <row r="1614" spans="2:2" x14ac:dyDescent="0.25">
      <c r="B1614"/>
    </row>
    <row r="1615" spans="2:2" x14ac:dyDescent="0.25">
      <c r="B1615"/>
    </row>
    <row r="1616" spans="2:2" x14ac:dyDescent="0.25">
      <c r="B1616"/>
    </row>
    <row r="1617" spans="2:2" x14ac:dyDescent="0.25">
      <c r="B1617"/>
    </row>
    <row r="1618" spans="2:2" x14ac:dyDescent="0.25">
      <c r="B1618"/>
    </row>
    <row r="1619" spans="2:2" x14ac:dyDescent="0.25">
      <c r="B1619"/>
    </row>
    <row r="1620" spans="2:2" x14ac:dyDescent="0.25">
      <c r="B1620"/>
    </row>
    <row r="1621" spans="2:2" x14ac:dyDescent="0.25">
      <c r="B1621"/>
    </row>
    <row r="1622" spans="2:2" x14ac:dyDescent="0.25">
      <c r="B1622"/>
    </row>
    <row r="1623" spans="2:2" x14ac:dyDescent="0.25">
      <c r="B1623"/>
    </row>
    <row r="1624" spans="2:2" x14ac:dyDescent="0.25">
      <c r="B1624"/>
    </row>
    <row r="1625" spans="2:2" x14ac:dyDescent="0.25">
      <c r="B1625"/>
    </row>
    <row r="1626" spans="2:2" x14ac:dyDescent="0.25">
      <c r="B1626"/>
    </row>
    <row r="1627" spans="2:2" x14ac:dyDescent="0.25">
      <c r="B1627"/>
    </row>
    <row r="1628" spans="2:2" x14ac:dyDescent="0.25">
      <c r="B1628"/>
    </row>
    <row r="1629" spans="2:2" x14ac:dyDescent="0.25">
      <c r="B1629"/>
    </row>
    <row r="1630" spans="2:2" x14ac:dyDescent="0.25">
      <c r="B1630"/>
    </row>
    <row r="1631" spans="2:2" x14ac:dyDescent="0.25">
      <c r="B1631"/>
    </row>
    <row r="1632" spans="2:2" x14ac:dyDescent="0.25">
      <c r="B1632"/>
    </row>
    <row r="1633" spans="2:2" x14ac:dyDescent="0.25">
      <c r="B1633"/>
    </row>
    <row r="1634" spans="2:2" x14ac:dyDescent="0.25">
      <c r="B1634"/>
    </row>
    <row r="1635" spans="2:2" x14ac:dyDescent="0.25">
      <c r="B1635"/>
    </row>
    <row r="1636" spans="2:2" x14ac:dyDescent="0.25">
      <c r="B1636"/>
    </row>
    <row r="1637" spans="2:2" x14ac:dyDescent="0.25">
      <c r="B1637"/>
    </row>
    <row r="1638" spans="2:2" x14ac:dyDescent="0.25">
      <c r="B1638"/>
    </row>
    <row r="1639" spans="2:2" x14ac:dyDescent="0.25">
      <c r="B1639"/>
    </row>
    <row r="1640" spans="2:2" x14ac:dyDescent="0.25">
      <c r="B1640"/>
    </row>
    <row r="1641" spans="2:2" x14ac:dyDescent="0.25">
      <c r="B1641"/>
    </row>
    <row r="1642" spans="2:2" x14ac:dyDescent="0.25">
      <c r="B1642"/>
    </row>
    <row r="1643" spans="2:2" x14ac:dyDescent="0.25">
      <c r="B1643"/>
    </row>
    <row r="1644" spans="2:2" x14ac:dyDescent="0.25">
      <c r="B1644"/>
    </row>
    <row r="1645" spans="2:2" x14ac:dyDescent="0.25">
      <c r="B1645"/>
    </row>
    <row r="1646" spans="2:2" x14ac:dyDescent="0.25">
      <c r="B1646"/>
    </row>
    <row r="1647" spans="2:2" x14ac:dyDescent="0.25">
      <c r="B1647"/>
    </row>
    <row r="1648" spans="2:2" x14ac:dyDescent="0.25">
      <c r="B1648"/>
    </row>
    <row r="1649" spans="2:2" x14ac:dyDescent="0.25">
      <c r="B1649"/>
    </row>
    <row r="1650" spans="2:2" x14ac:dyDescent="0.25">
      <c r="B1650"/>
    </row>
    <row r="1651" spans="2:2" x14ac:dyDescent="0.25">
      <c r="B1651"/>
    </row>
    <row r="1652" spans="2:2" x14ac:dyDescent="0.25">
      <c r="B1652"/>
    </row>
    <row r="1653" spans="2:2" x14ac:dyDescent="0.25">
      <c r="B1653"/>
    </row>
    <row r="1654" spans="2:2" x14ac:dyDescent="0.25">
      <c r="B1654"/>
    </row>
    <row r="1655" spans="2:2" x14ac:dyDescent="0.25">
      <c r="B1655"/>
    </row>
    <row r="1656" spans="2:2" x14ac:dyDescent="0.25">
      <c r="B1656"/>
    </row>
    <row r="1657" spans="2:2" x14ac:dyDescent="0.25">
      <c r="B1657"/>
    </row>
    <row r="1658" spans="2:2" x14ac:dyDescent="0.25">
      <c r="B1658"/>
    </row>
    <row r="1659" spans="2:2" x14ac:dyDescent="0.25">
      <c r="B1659"/>
    </row>
    <row r="1660" spans="2:2" x14ac:dyDescent="0.25">
      <c r="B1660"/>
    </row>
    <row r="1661" spans="2:2" x14ac:dyDescent="0.25">
      <c r="B1661"/>
    </row>
    <row r="1662" spans="2:2" x14ac:dyDescent="0.25">
      <c r="B1662"/>
    </row>
    <row r="1663" spans="2:2" x14ac:dyDescent="0.25">
      <c r="B1663"/>
    </row>
    <row r="1664" spans="2:2" x14ac:dyDescent="0.25">
      <c r="B1664"/>
    </row>
    <row r="1665" spans="2:2" x14ac:dyDescent="0.25">
      <c r="B1665"/>
    </row>
    <row r="1666" spans="2:2" x14ac:dyDescent="0.25">
      <c r="B1666"/>
    </row>
    <row r="1667" spans="2:2" x14ac:dyDescent="0.25">
      <c r="B1667"/>
    </row>
    <row r="1668" spans="2:2" x14ac:dyDescent="0.25">
      <c r="B1668"/>
    </row>
    <row r="1669" spans="2:2" x14ac:dyDescent="0.25">
      <c r="B1669"/>
    </row>
    <row r="1670" spans="2:2" x14ac:dyDescent="0.25">
      <c r="B1670"/>
    </row>
    <row r="1671" spans="2:2" x14ac:dyDescent="0.25">
      <c r="B1671"/>
    </row>
    <row r="1672" spans="2:2" x14ac:dyDescent="0.25">
      <c r="B1672"/>
    </row>
    <row r="1673" spans="2:2" x14ac:dyDescent="0.25">
      <c r="B1673"/>
    </row>
    <row r="1674" spans="2:2" x14ac:dyDescent="0.25">
      <c r="B1674"/>
    </row>
    <row r="1675" spans="2:2" x14ac:dyDescent="0.25">
      <c r="B1675"/>
    </row>
    <row r="1676" spans="2:2" x14ac:dyDescent="0.25">
      <c r="B1676"/>
    </row>
    <row r="1677" spans="2:2" x14ac:dyDescent="0.25">
      <c r="B1677"/>
    </row>
    <row r="1678" spans="2:2" x14ac:dyDescent="0.25">
      <c r="B1678"/>
    </row>
    <row r="1679" spans="2:2" x14ac:dyDescent="0.25">
      <c r="B1679"/>
    </row>
    <row r="1680" spans="2:2" x14ac:dyDescent="0.25">
      <c r="B1680"/>
    </row>
    <row r="1681" spans="2:2" x14ac:dyDescent="0.25">
      <c r="B1681"/>
    </row>
    <row r="1682" spans="2:2" x14ac:dyDescent="0.25">
      <c r="B1682"/>
    </row>
    <row r="1683" spans="2:2" x14ac:dyDescent="0.25">
      <c r="B1683"/>
    </row>
    <row r="1684" spans="2:2" x14ac:dyDescent="0.25">
      <c r="B1684"/>
    </row>
    <row r="1685" spans="2:2" x14ac:dyDescent="0.25">
      <c r="B1685"/>
    </row>
    <row r="1686" spans="2:2" x14ac:dyDescent="0.25">
      <c r="B1686"/>
    </row>
    <row r="1687" spans="2:2" x14ac:dyDescent="0.25">
      <c r="B1687"/>
    </row>
    <row r="1688" spans="2:2" x14ac:dyDescent="0.25">
      <c r="B1688"/>
    </row>
    <row r="1689" spans="2:2" x14ac:dyDescent="0.25">
      <c r="B1689"/>
    </row>
    <row r="1690" spans="2:2" x14ac:dyDescent="0.25">
      <c r="B1690"/>
    </row>
    <row r="1691" spans="2:2" x14ac:dyDescent="0.25">
      <c r="B1691"/>
    </row>
    <row r="1692" spans="2:2" x14ac:dyDescent="0.25">
      <c r="B1692"/>
    </row>
    <row r="1693" spans="2:2" x14ac:dyDescent="0.25">
      <c r="B1693"/>
    </row>
    <row r="1694" spans="2:2" x14ac:dyDescent="0.25">
      <c r="B1694"/>
    </row>
    <row r="1695" spans="2:2" x14ac:dyDescent="0.25">
      <c r="B1695"/>
    </row>
    <row r="1696" spans="2:2" x14ac:dyDescent="0.25">
      <c r="B1696"/>
    </row>
    <row r="1697" spans="2:2" x14ac:dyDescent="0.25">
      <c r="B1697"/>
    </row>
    <row r="1698" spans="2:2" x14ac:dyDescent="0.25">
      <c r="B1698"/>
    </row>
    <row r="1699" spans="2:2" x14ac:dyDescent="0.25">
      <c r="B1699"/>
    </row>
    <row r="1700" spans="2:2" x14ac:dyDescent="0.25">
      <c r="B1700"/>
    </row>
    <row r="1701" spans="2:2" x14ac:dyDescent="0.25">
      <c r="B1701"/>
    </row>
    <row r="1702" spans="2:2" x14ac:dyDescent="0.25">
      <c r="B1702"/>
    </row>
    <row r="1703" spans="2:2" x14ac:dyDescent="0.25">
      <c r="B1703"/>
    </row>
    <row r="1704" spans="2:2" x14ac:dyDescent="0.25">
      <c r="B1704"/>
    </row>
    <row r="1705" spans="2:2" x14ac:dyDescent="0.25">
      <c r="B1705"/>
    </row>
    <row r="1706" spans="2:2" x14ac:dyDescent="0.25">
      <c r="B1706"/>
    </row>
    <row r="1707" spans="2:2" x14ac:dyDescent="0.25">
      <c r="B1707"/>
    </row>
    <row r="1708" spans="2:2" x14ac:dyDescent="0.25">
      <c r="B1708"/>
    </row>
    <row r="1709" spans="2:2" x14ac:dyDescent="0.25">
      <c r="B1709"/>
    </row>
    <row r="1710" spans="2:2" x14ac:dyDescent="0.25">
      <c r="B1710"/>
    </row>
    <row r="1711" spans="2:2" x14ac:dyDescent="0.25">
      <c r="B1711"/>
    </row>
    <row r="1712" spans="2:2" x14ac:dyDescent="0.25">
      <c r="B1712"/>
    </row>
    <row r="1713" spans="2:2" x14ac:dyDescent="0.25">
      <c r="B1713"/>
    </row>
    <row r="1714" spans="2:2" x14ac:dyDescent="0.25">
      <c r="B1714"/>
    </row>
    <row r="1715" spans="2:2" x14ac:dyDescent="0.25">
      <c r="B1715"/>
    </row>
    <row r="1716" spans="2:2" x14ac:dyDescent="0.25">
      <c r="B1716"/>
    </row>
    <row r="1717" spans="2:2" x14ac:dyDescent="0.25">
      <c r="B1717"/>
    </row>
    <row r="1718" spans="2:2" x14ac:dyDescent="0.25">
      <c r="B1718"/>
    </row>
    <row r="1719" spans="2:2" x14ac:dyDescent="0.25">
      <c r="B1719"/>
    </row>
    <row r="1720" spans="2:2" x14ac:dyDescent="0.25">
      <c r="B1720"/>
    </row>
    <row r="1721" spans="2:2" x14ac:dyDescent="0.25">
      <c r="B1721"/>
    </row>
    <row r="1722" spans="2:2" x14ac:dyDescent="0.25">
      <c r="B1722"/>
    </row>
    <row r="1723" spans="2:2" x14ac:dyDescent="0.25">
      <c r="B1723"/>
    </row>
    <row r="1724" spans="2:2" x14ac:dyDescent="0.25">
      <c r="B1724"/>
    </row>
    <row r="1725" spans="2:2" x14ac:dyDescent="0.25">
      <c r="B1725"/>
    </row>
    <row r="1726" spans="2:2" x14ac:dyDescent="0.25">
      <c r="B1726"/>
    </row>
    <row r="1727" spans="2:2" x14ac:dyDescent="0.25">
      <c r="B1727"/>
    </row>
    <row r="1728" spans="2:2" x14ac:dyDescent="0.25">
      <c r="B1728"/>
    </row>
    <row r="1729" spans="2:2" x14ac:dyDescent="0.25">
      <c r="B1729"/>
    </row>
    <row r="1730" spans="2:2" x14ac:dyDescent="0.25">
      <c r="B1730"/>
    </row>
    <row r="1731" spans="2:2" x14ac:dyDescent="0.25">
      <c r="B1731"/>
    </row>
    <row r="1732" spans="2:2" x14ac:dyDescent="0.25">
      <c r="B1732"/>
    </row>
    <row r="1733" spans="2:2" x14ac:dyDescent="0.25">
      <c r="B1733"/>
    </row>
    <row r="1734" spans="2:2" x14ac:dyDescent="0.25">
      <c r="B1734"/>
    </row>
    <row r="1735" spans="2:2" x14ac:dyDescent="0.25">
      <c r="B1735"/>
    </row>
    <row r="1736" spans="2:2" x14ac:dyDescent="0.25">
      <c r="B1736"/>
    </row>
    <row r="1737" spans="2:2" x14ac:dyDescent="0.25">
      <c r="B1737"/>
    </row>
    <row r="1738" spans="2:2" x14ac:dyDescent="0.25">
      <c r="B1738"/>
    </row>
    <row r="1739" spans="2:2" x14ac:dyDescent="0.25">
      <c r="B1739"/>
    </row>
    <row r="1740" spans="2:2" x14ac:dyDescent="0.25">
      <c r="B1740"/>
    </row>
    <row r="1741" spans="2:2" x14ac:dyDescent="0.25">
      <c r="B1741"/>
    </row>
    <row r="1742" spans="2:2" x14ac:dyDescent="0.25">
      <c r="B1742"/>
    </row>
    <row r="1743" spans="2:2" x14ac:dyDescent="0.25">
      <c r="B1743"/>
    </row>
    <row r="1744" spans="2:2" x14ac:dyDescent="0.25">
      <c r="B1744"/>
    </row>
    <row r="1745" spans="2:2" x14ac:dyDescent="0.25">
      <c r="B1745"/>
    </row>
    <row r="1746" spans="2:2" x14ac:dyDescent="0.25">
      <c r="B1746"/>
    </row>
    <row r="1747" spans="2:2" x14ac:dyDescent="0.25">
      <c r="B1747"/>
    </row>
    <row r="1748" spans="2:2" x14ac:dyDescent="0.25">
      <c r="B1748"/>
    </row>
    <row r="1749" spans="2:2" x14ac:dyDescent="0.25">
      <c r="B1749"/>
    </row>
    <row r="1750" spans="2:2" x14ac:dyDescent="0.25">
      <c r="B1750"/>
    </row>
    <row r="1751" spans="2:2" x14ac:dyDescent="0.25">
      <c r="B1751"/>
    </row>
    <row r="1752" spans="2:2" x14ac:dyDescent="0.25">
      <c r="B1752"/>
    </row>
    <row r="1753" spans="2:2" x14ac:dyDescent="0.25">
      <c r="B1753"/>
    </row>
    <row r="1754" spans="2:2" x14ac:dyDescent="0.25">
      <c r="B1754"/>
    </row>
    <row r="1755" spans="2:2" x14ac:dyDescent="0.25">
      <c r="B1755"/>
    </row>
    <row r="1756" spans="2:2" x14ac:dyDescent="0.25">
      <c r="B1756"/>
    </row>
    <row r="1757" spans="2:2" x14ac:dyDescent="0.25">
      <c r="B1757"/>
    </row>
    <row r="1758" spans="2:2" x14ac:dyDescent="0.25">
      <c r="B1758"/>
    </row>
    <row r="1759" spans="2:2" x14ac:dyDescent="0.25">
      <c r="B1759"/>
    </row>
    <row r="1760" spans="2:2" x14ac:dyDescent="0.25">
      <c r="B1760"/>
    </row>
    <row r="1761" spans="2:2" x14ac:dyDescent="0.25">
      <c r="B1761"/>
    </row>
    <row r="1762" spans="2:2" x14ac:dyDescent="0.25">
      <c r="B1762"/>
    </row>
    <row r="1763" spans="2:2" x14ac:dyDescent="0.25">
      <c r="B1763"/>
    </row>
    <row r="1764" spans="2:2" x14ac:dyDescent="0.25">
      <c r="B1764"/>
    </row>
    <row r="1765" spans="2:2" x14ac:dyDescent="0.25">
      <c r="B1765"/>
    </row>
    <row r="1766" spans="2:2" x14ac:dyDescent="0.25">
      <c r="B1766"/>
    </row>
    <row r="1767" spans="2:2" x14ac:dyDescent="0.25">
      <c r="B1767"/>
    </row>
    <row r="1768" spans="2:2" x14ac:dyDescent="0.25">
      <c r="B1768"/>
    </row>
    <row r="1769" spans="2:2" x14ac:dyDescent="0.25">
      <c r="B1769"/>
    </row>
    <row r="1770" spans="2:2" x14ac:dyDescent="0.25">
      <c r="B1770"/>
    </row>
    <row r="1771" spans="2:2" x14ac:dyDescent="0.25">
      <c r="B1771"/>
    </row>
    <row r="1772" spans="2:2" x14ac:dyDescent="0.25">
      <c r="B1772"/>
    </row>
    <row r="1773" spans="2:2" x14ac:dyDescent="0.25">
      <c r="B1773"/>
    </row>
    <row r="1774" spans="2:2" x14ac:dyDescent="0.25">
      <c r="B1774"/>
    </row>
    <row r="1775" spans="2:2" x14ac:dyDescent="0.25">
      <c r="B1775"/>
    </row>
    <row r="1776" spans="2:2" x14ac:dyDescent="0.25">
      <c r="B1776"/>
    </row>
    <row r="1777" spans="2:2" x14ac:dyDescent="0.25">
      <c r="B1777"/>
    </row>
    <row r="1778" spans="2:2" x14ac:dyDescent="0.25">
      <c r="B1778"/>
    </row>
    <row r="1779" spans="2:2" x14ac:dyDescent="0.25">
      <c r="B1779"/>
    </row>
    <row r="1780" spans="2:2" x14ac:dyDescent="0.25">
      <c r="B1780"/>
    </row>
    <row r="1781" spans="2:2" x14ac:dyDescent="0.25">
      <c r="B1781"/>
    </row>
    <row r="1782" spans="2:2" x14ac:dyDescent="0.25">
      <c r="B1782"/>
    </row>
    <row r="1783" spans="2:2" x14ac:dyDescent="0.25">
      <c r="B1783"/>
    </row>
    <row r="1784" spans="2:2" x14ac:dyDescent="0.25">
      <c r="B1784"/>
    </row>
    <row r="1785" spans="2:2" x14ac:dyDescent="0.25">
      <c r="B1785"/>
    </row>
    <row r="1786" spans="2:2" x14ac:dyDescent="0.25">
      <c r="B1786"/>
    </row>
    <row r="1787" spans="2:2" x14ac:dyDescent="0.25">
      <c r="B1787"/>
    </row>
    <row r="1788" spans="2:2" x14ac:dyDescent="0.25">
      <c r="B1788"/>
    </row>
    <row r="1789" spans="2:2" x14ac:dyDescent="0.25">
      <c r="B1789"/>
    </row>
    <row r="1790" spans="2:2" x14ac:dyDescent="0.25">
      <c r="B1790"/>
    </row>
    <row r="1791" spans="2:2" x14ac:dyDescent="0.25">
      <c r="B1791"/>
    </row>
    <row r="1792" spans="2:2" x14ac:dyDescent="0.25">
      <c r="B1792"/>
    </row>
    <row r="1793" spans="2:2" x14ac:dyDescent="0.25">
      <c r="B1793"/>
    </row>
    <row r="1794" spans="2:2" x14ac:dyDescent="0.25">
      <c r="B1794"/>
    </row>
    <row r="1795" spans="2:2" x14ac:dyDescent="0.25">
      <c r="B1795"/>
    </row>
    <row r="1796" spans="2:2" x14ac:dyDescent="0.25">
      <c r="B1796"/>
    </row>
    <row r="1797" spans="2:2" x14ac:dyDescent="0.25">
      <c r="B1797"/>
    </row>
    <row r="1798" spans="2:2" x14ac:dyDescent="0.25">
      <c r="B1798"/>
    </row>
    <row r="1799" spans="2:2" x14ac:dyDescent="0.25">
      <c r="B1799"/>
    </row>
    <row r="1800" spans="2:2" x14ac:dyDescent="0.25">
      <c r="B1800"/>
    </row>
    <row r="1801" spans="2:2" x14ac:dyDescent="0.25">
      <c r="B1801"/>
    </row>
    <row r="1802" spans="2:2" x14ac:dyDescent="0.25">
      <c r="B1802"/>
    </row>
    <row r="1803" spans="2:2" x14ac:dyDescent="0.25">
      <c r="B1803"/>
    </row>
    <row r="1804" spans="2:2" x14ac:dyDescent="0.25">
      <c r="B1804"/>
    </row>
    <row r="1805" spans="2:2" x14ac:dyDescent="0.25">
      <c r="B1805"/>
    </row>
    <row r="1806" spans="2:2" x14ac:dyDescent="0.25">
      <c r="B1806"/>
    </row>
    <row r="1807" spans="2:2" x14ac:dyDescent="0.25">
      <c r="B1807"/>
    </row>
    <row r="1808" spans="2:2" x14ac:dyDescent="0.25">
      <c r="B1808"/>
    </row>
    <row r="1809" spans="2:2" x14ac:dyDescent="0.25">
      <c r="B1809"/>
    </row>
    <row r="1810" spans="2:2" x14ac:dyDescent="0.25">
      <c r="B1810"/>
    </row>
    <row r="1811" spans="2:2" x14ac:dyDescent="0.25">
      <c r="B1811"/>
    </row>
    <row r="1812" spans="2:2" x14ac:dyDescent="0.25">
      <c r="B1812"/>
    </row>
    <row r="1813" spans="2:2" x14ac:dyDescent="0.25">
      <c r="B1813"/>
    </row>
    <row r="1814" spans="2:2" x14ac:dyDescent="0.25">
      <c r="B1814"/>
    </row>
    <row r="1815" spans="2:2" x14ac:dyDescent="0.25">
      <c r="B1815"/>
    </row>
    <row r="1816" spans="2:2" x14ac:dyDescent="0.25">
      <c r="B1816"/>
    </row>
    <row r="1817" spans="2:2" x14ac:dyDescent="0.25">
      <c r="B1817"/>
    </row>
    <row r="1818" spans="2:2" x14ac:dyDescent="0.25">
      <c r="B1818"/>
    </row>
    <row r="1819" spans="2:2" x14ac:dyDescent="0.25">
      <c r="B1819"/>
    </row>
    <row r="1820" spans="2:2" x14ac:dyDescent="0.25">
      <c r="B1820"/>
    </row>
    <row r="1821" spans="2:2" x14ac:dyDescent="0.25">
      <c r="B1821"/>
    </row>
    <row r="1822" spans="2:2" x14ac:dyDescent="0.25">
      <c r="B1822"/>
    </row>
    <row r="1823" spans="2:2" x14ac:dyDescent="0.25">
      <c r="B1823"/>
    </row>
    <row r="1824" spans="2:2" x14ac:dyDescent="0.25">
      <c r="B1824"/>
    </row>
    <row r="1825" spans="2:2" x14ac:dyDescent="0.25">
      <c r="B1825"/>
    </row>
    <row r="1826" spans="2:2" x14ac:dyDescent="0.25">
      <c r="B1826"/>
    </row>
    <row r="1827" spans="2:2" x14ac:dyDescent="0.25">
      <c r="B1827"/>
    </row>
    <row r="1828" spans="2:2" x14ac:dyDescent="0.25">
      <c r="B1828"/>
    </row>
    <row r="1829" spans="2:2" x14ac:dyDescent="0.25">
      <c r="B1829"/>
    </row>
    <row r="1830" spans="2:2" x14ac:dyDescent="0.25">
      <c r="B1830"/>
    </row>
    <row r="1831" spans="2:2" x14ac:dyDescent="0.25">
      <c r="B1831"/>
    </row>
    <row r="1832" spans="2:2" x14ac:dyDescent="0.25">
      <c r="B1832"/>
    </row>
    <row r="1833" spans="2:2" x14ac:dyDescent="0.25">
      <c r="B1833"/>
    </row>
    <row r="1834" spans="2:2" x14ac:dyDescent="0.25">
      <c r="B1834"/>
    </row>
    <row r="1835" spans="2:2" x14ac:dyDescent="0.25">
      <c r="B1835"/>
    </row>
    <row r="1836" spans="2:2" x14ac:dyDescent="0.25">
      <c r="B1836"/>
    </row>
    <row r="1837" spans="2:2" x14ac:dyDescent="0.25">
      <c r="B1837"/>
    </row>
    <row r="1838" spans="2:2" x14ac:dyDescent="0.25">
      <c r="B1838"/>
    </row>
    <row r="1839" spans="2:2" x14ac:dyDescent="0.25">
      <c r="B1839"/>
    </row>
    <row r="1840" spans="2:2" x14ac:dyDescent="0.25">
      <c r="B1840"/>
    </row>
    <row r="1841" spans="2:2" x14ac:dyDescent="0.25">
      <c r="B1841"/>
    </row>
    <row r="1842" spans="2:2" x14ac:dyDescent="0.25">
      <c r="B1842"/>
    </row>
    <row r="1843" spans="2:2" x14ac:dyDescent="0.25">
      <c r="B1843"/>
    </row>
    <row r="1844" spans="2:2" x14ac:dyDescent="0.25">
      <c r="B1844"/>
    </row>
    <row r="1845" spans="2:2" x14ac:dyDescent="0.25">
      <c r="B1845"/>
    </row>
    <row r="1846" spans="2:2" x14ac:dyDescent="0.25">
      <c r="B1846"/>
    </row>
    <row r="1847" spans="2:2" x14ac:dyDescent="0.25">
      <c r="B1847"/>
    </row>
    <row r="1848" spans="2:2" x14ac:dyDescent="0.25">
      <c r="B1848"/>
    </row>
    <row r="1849" spans="2:2" x14ac:dyDescent="0.25">
      <c r="B1849"/>
    </row>
    <row r="1850" spans="2:2" x14ac:dyDescent="0.25">
      <c r="B1850"/>
    </row>
    <row r="1851" spans="2:2" x14ac:dyDescent="0.25">
      <c r="B1851"/>
    </row>
    <row r="1852" spans="2:2" x14ac:dyDescent="0.25">
      <c r="B1852"/>
    </row>
    <row r="1853" spans="2:2" x14ac:dyDescent="0.25">
      <c r="B1853"/>
    </row>
    <row r="1854" spans="2:2" x14ac:dyDescent="0.25">
      <c r="B1854"/>
    </row>
    <row r="1855" spans="2:2" x14ac:dyDescent="0.25">
      <c r="B1855"/>
    </row>
    <row r="1856" spans="2:2" x14ac:dyDescent="0.25">
      <c r="B1856"/>
    </row>
    <row r="1857" spans="2:2" x14ac:dyDescent="0.25">
      <c r="B1857"/>
    </row>
    <row r="1858" spans="2:2" x14ac:dyDescent="0.25">
      <c r="B1858"/>
    </row>
    <row r="1859" spans="2:2" x14ac:dyDescent="0.25">
      <c r="B1859"/>
    </row>
    <row r="1860" spans="2:2" x14ac:dyDescent="0.25">
      <c r="B1860"/>
    </row>
    <row r="1861" spans="2:2" x14ac:dyDescent="0.25">
      <c r="B1861"/>
    </row>
    <row r="1862" spans="2:2" x14ac:dyDescent="0.25">
      <c r="B1862"/>
    </row>
    <row r="1863" spans="2:2" x14ac:dyDescent="0.25">
      <c r="B1863"/>
    </row>
    <row r="1864" spans="2:2" x14ac:dyDescent="0.25">
      <c r="B1864"/>
    </row>
    <row r="1865" spans="2:2" x14ac:dyDescent="0.25">
      <c r="B1865"/>
    </row>
    <row r="1866" spans="2:2" x14ac:dyDescent="0.25">
      <c r="B1866"/>
    </row>
    <row r="1867" spans="2:2" x14ac:dyDescent="0.25">
      <c r="B1867"/>
    </row>
    <row r="1868" spans="2:2" x14ac:dyDescent="0.25">
      <c r="B1868"/>
    </row>
    <row r="1869" spans="2:2" x14ac:dyDescent="0.25">
      <c r="B1869"/>
    </row>
    <row r="1870" spans="2:2" x14ac:dyDescent="0.25">
      <c r="B1870"/>
    </row>
    <row r="1871" spans="2:2" x14ac:dyDescent="0.25">
      <c r="B1871"/>
    </row>
    <row r="1872" spans="2:2" x14ac:dyDescent="0.25">
      <c r="B1872"/>
    </row>
    <row r="1873" spans="2:2" x14ac:dyDescent="0.25">
      <c r="B1873"/>
    </row>
    <row r="1874" spans="2:2" x14ac:dyDescent="0.25">
      <c r="B1874"/>
    </row>
    <row r="1875" spans="2:2" x14ac:dyDescent="0.25">
      <c r="B1875"/>
    </row>
    <row r="1876" spans="2:2" x14ac:dyDescent="0.25">
      <c r="B1876"/>
    </row>
    <row r="1877" spans="2:2" x14ac:dyDescent="0.25">
      <c r="B1877"/>
    </row>
    <row r="1878" spans="2:2" x14ac:dyDescent="0.25">
      <c r="B1878"/>
    </row>
    <row r="1879" spans="2:2" x14ac:dyDescent="0.25">
      <c r="B1879"/>
    </row>
    <row r="1880" spans="2:2" x14ac:dyDescent="0.25">
      <c r="B1880"/>
    </row>
    <row r="1881" spans="2:2" x14ac:dyDescent="0.25">
      <c r="B1881"/>
    </row>
    <row r="1882" spans="2:2" x14ac:dyDescent="0.25">
      <c r="B1882"/>
    </row>
    <row r="1883" spans="2:2" x14ac:dyDescent="0.25">
      <c r="B1883"/>
    </row>
    <row r="1884" spans="2:2" x14ac:dyDescent="0.25">
      <c r="B1884"/>
    </row>
    <row r="1885" spans="2:2" x14ac:dyDescent="0.25">
      <c r="B1885"/>
    </row>
    <row r="1886" spans="2:2" x14ac:dyDescent="0.25">
      <c r="B1886"/>
    </row>
    <row r="1887" spans="2:2" x14ac:dyDescent="0.25">
      <c r="B1887"/>
    </row>
    <row r="1888" spans="2:2" x14ac:dyDescent="0.25">
      <c r="B1888"/>
    </row>
    <row r="1889" spans="2:2" x14ac:dyDescent="0.25">
      <c r="B1889"/>
    </row>
    <row r="1890" spans="2:2" x14ac:dyDescent="0.25">
      <c r="B1890"/>
    </row>
    <row r="1891" spans="2:2" x14ac:dyDescent="0.25">
      <c r="B1891"/>
    </row>
    <row r="1892" spans="2:2" x14ac:dyDescent="0.25">
      <c r="B1892"/>
    </row>
    <row r="1893" spans="2:2" x14ac:dyDescent="0.25">
      <c r="B1893"/>
    </row>
    <row r="1894" spans="2:2" x14ac:dyDescent="0.25">
      <c r="B1894"/>
    </row>
    <row r="1895" spans="2:2" x14ac:dyDescent="0.25">
      <c r="B1895"/>
    </row>
    <row r="1896" spans="2:2" x14ac:dyDescent="0.25">
      <c r="B1896"/>
    </row>
    <row r="1897" spans="2:2" x14ac:dyDescent="0.25">
      <c r="B1897"/>
    </row>
    <row r="1898" spans="2:2" x14ac:dyDescent="0.25">
      <c r="B1898"/>
    </row>
    <row r="1899" spans="2:2" x14ac:dyDescent="0.25">
      <c r="B1899"/>
    </row>
    <row r="1900" spans="2:2" x14ac:dyDescent="0.25">
      <c r="B1900"/>
    </row>
    <row r="1901" spans="2:2" x14ac:dyDescent="0.25">
      <c r="B1901"/>
    </row>
    <row r="1902" spans="2:2" x14ac:dyDescent="0.25">
      <c r="B1902"/>
    </row>
    <row r="1903" spans="2:2" x14ac:dyDescent="0.25">
      <c r="B1903"/>
    </row>
    <row r="1904" spans="2:2" x14ac:dyDescent="0.25">
      <c r="B1904"/>
    </row>
    <row r="1905" spans="2:2" x14ac:dyDescent="0.25">
      <c r="B1905"/>
    </row>
    <row r="1906" spans="2:2" x14ac:dyDescent="0.25">
      <c r="B1906"/>
    </row>
    <row r="1907" spans="2:2" x14ac:dyDescent="0.25">
      <c r="B1907"/>
    </row>
    <row r="1908" spans="2:2" x14ac:dyDescent="0.25">
      <c r="B1908"/>
    </row>
    <row r="1909" spans="2:2" x14ac:dyDescent="0.25">
      <c r="B1909"/>
    </row>
    <row r="1910" spans="2:2" x14ac:dyDescent="0.25">
      <c r="B1910"/>
    </row>
    <row r="1911" spans="2:2" x14ac:dyDescent="0.25">
      <c r="B1911"/>
    </row>
    <row r="1912" spans="2:2" x14ac:dyDescent="0.25">
      <c r="B1912"/>
    </row>
    <row r="1913" spans="2:2" x14ac:dyDescent="0.25">
      <c r="B1913"/>
    </row>
    <row r="1914" spans="2:2" x14ac:dyDescent="0.25">
      <c r="B1914"/>
    </row>
    <row r="1915" spans="2:2" x14ac:dyDescent="0.25">
      <c r="B1915"/>
    </row>
    <row r="1916" spans="2:2" x14ac:dyDescent="0.25">
      <c r="B1916"/>
    </row>
    <row r="1917" spans="2:2" x14ac:dyDescent="0.25">
      <c r="B1917"/>
    </row>
    <row r="1918" spans="2:2" x14ac:dyDescent="0.25">
      <c r="B1918"/>
    </row>
    <row r="1919" spans="2:2" x14ac:dyDescent="0.25">
      <c r="B1919"/>
    </row>
    <row r="1920" spans="2:2" x14ac:dyDescent="0.25">
      <c r="B1920"/>
    </row>
    <row r="1921" spans="2:2" x14ac:dyDescent="0.25">
      <c r="B1921"/>
    </row>
    <row r="1922" spans="2:2" x14ac:dyDescent="0.25">
      <c r="B1922"/>
    </row>
    <row r="1923" spans="2:2" x14ac:dyDescent="0.25">
      <c r="B1923"/>
    </row>
    <row r="1924" spans="2:2" x14ac:dyDescent="0.25">
      <c r="B1924"/>
    </row>
    <row r="1925" spans="2:2" x14ac:dyDescent="0.25">
      <c r="B1925"/>
    </row>
    <row r="1926" spans="2:2" x14ac:dyDescent="0.25">
      <c r="B1926"/>
    </row>
    <row r="1927" spans="2:2" x14ac:dyDescent="0.25">
      <c r="B1927"/>
    </row>
    <row r="1928" spans="2:2" x14ac:dyDescent="0.25">
      <c r="B1928"/>
    </row>
    <row r="1929" spans="2:2" x14ac:dyDescent="0.25">
      <c r="B1929"/>
    </row>
    <row r="1930" spans="2:2" x14ac:dyDescent="0.25">
      <c r="B1930"/>
    </row>
    <row r="1931" spans="2:2" x14ac:dyDescent="0.25">
      <c r="B1931"/>
    </row>
    <row r="1932" spans="2:2" x14ac:dyDescent="0.25">
      <c r="B1932"/>
    </row>
    <row r="1933" spans="2:2" x14ac:dyDescent="0.25">
      <c r="B1933"/>
    </row>
    <row r="1934" spans="2:2" x14ac:dyDescent="0.25">
      <c r="B1934"/>
    </row>
    <row r="1935" spans="2:2" x14ac:dyDescent="0.25">
      <c r="B1935"/>
    </row>
    <row r="1936" spans="2:2" x14ac:dyDescent="0.25">
      <c r="B1936"/>
    </row>
    <row r="1937" spans="2:2" x14ac:dyDescent="0.25">
      <c r="B1937"/>
    </row>
    <row r="1938" spans="2:2" x14ac:dyDescent="0.25">
      <c r="B1938"/>
    </row>
    <row r="1939" spans="2:2" x14ac:dyDescent="0.25">
      <c r="B1939"/>
    </row>
    <row r="1940" spans="2:2" x14ac:dyDescent="0.25">
      <c r="B1940"/>
    </row>
    <row r="1941" spans="2:2" x14ac:dyDescent="0.25">
      <c r="B1941"/>
    </row>
    <row r="1942" spans="2:2" x14ac:dyDescent="0.25">
      <c r="B1942"/>
    </row>
    <row r="1943" spans="2:2" x14ac:dyDescent="0.25">
      <c r="B1943"/>
    </row>
    <row r="1944" spans="2:2" x14ac:dyDescent="0.25">
      <c r="B1944"/>
    </row>
    <row r="1945" spans="2:2" x14ac:dyDescent="0.25">
      <c r="B1945"/>
    </row>
    <row r="1946" spans="2:2" x14ac:dyDescent="0.25">
      <c r="B1946"/>
    </row>
    <row r="1947" spans="2:2" x14ac:dyDescent="0.25">
      <c r="B1947"/>
    </row>
    <row r="1948" spans="2:2" x14ac:dyDescent="0.25">
      <c r="B1948"/>
    </row>
    <row r="1949" spans="2:2" x14ac:dyDescent="0.25">
      <c r="B1949"/>
    </row>
    <row r="1950" spans="2:2" x14ac:dyDescent="0.25">
      <c r="B1950"/>
    </row>
    <row r="1951" spans="2:2" x14ac:dyDescent="0.25">
      <c r="B1951"/>
    </row>
    <row r="1952" spans="2:2" x14ac:dyDescent="0.25">
      <c r="B1952"/>
    </row>
    <row r="1953" spans="2:2" x14ac:dyDescent="0.25">
      <c r="B1953"/>
    </row>
    <row r="1954" spans="2:2" x14ac:dyDescent="0.25">
      <c r="B1954"/>
    </row>
    <row r="1955" spans="2:2" x14ac:dyDescent="0.25">
      <c r="B1955"/>
    </row>
    <row r="1956" spans="2:2" x14ac:dyDescent="0.25">
      <c r="B1956"/>
    </row>
    <row r="1957" spans="2:2" x14ac:dyDescent="0.25">
      <c r="B1957"/>
    </row>
    <row r="1958" spans="2:2" x14ac:dyDescent="0.25">
      <c r="B1958"/>
    </row>
    <row r="1959" spans="2:2" x14ac:dyDescent="0.25">
      <c r="B1959"/>
    </row>
    <row r="1960" spans="2:2" x14ac:dyDescent="0.25">
      <c r="B1960"/>
    </row>
    <row r="1961" spans="2:2" x14ac:dyDescent="0.25">
      <c r="B1961"/>
    </row>
    <row r="1962" spans="2:2" x14ac:dyDescent="0.25">
      <c r="B1962"/>
    </row>
    <row r="1963" spans="2:2" x14ac:dyDescent="0.25">
      <c r="B1963"/>
    </row>
    <row r="1964" spans="2:2" x14ac:dyDescent="0.25">
      <c r="B1964"/>
    </row>
    <row r="1965" spans="2:2" x14ac:dyDescent="0.25">
      <c r="B1965"/>
    </row>
    <row r="1966" spans="2:2" x14ac:dyDescent="0.25">
      <c r="B1966"/>
    </row>
    <row r="1967" spans="2:2" x14ac:dyDescent="0.25">
      <c r="B1967"/>
    </row>
    <row r="1968" spans="2:2" x14ac:dyDescent="0.25">
      <c r="B1968"/>
    </row>
    <row r="1969" spans="2:2" x14ac:dyDescent="0.25">
      <c r="B1969"/>
    </row>
    <row r="1970" spans="2:2" x14ac:dyDescent="0.25">
      <c r="B1970"/>
    </row>
    <row r="1971" spans="2:2" x14ac:dyDescent="0.25">
      <c r="B1971"/>
    </row>
    <row r="1972" spans="2:2" x14ac:dyDescent="0.25">
      <c r="B1972"/>
    </row>
    <row r="1973" spans="2:2" x14ac:dyDescent="0.25">
      <c r="B1973"/>
    </row>
    <row r="1974" spans="2:2" x14ac:dyDescent="0.25">
      <c r="B1974"/>
    </row>
    <row r="1975" spans="2:2" x14ac:dyDescent="0.25">
      <c r="B1975"/>
    </row>
    <row r="1976" spans="2:2" x14ac:dyDescent="0.25">
      <c r="B1976"/>
    </row>
    <row r="1977" spans="2:2" x14ac:dyDescent="0.25">
      <c r="B1977"/>
    </row>
    <row r="1978" spans="2:2" x14ac:dyDescent="0.25">
      <c r="B1978"/>
    </row>
    <row r="1979" spans="2:2" x14ac:dyDescent="0.25">
      <c r="B1979"/>
    </row>
    <row r="1980" spans="2:2" x14ac:dyDescent="0.25">
      <c r="B1980"/>
    </row>
    <row r="1981" spans="2:2" x14ac:dyDescent="0.25">
      <c r="B1981"/>
    </row>
    <row r="1982" spans="2:2" x14ac:dyDescent="0.25">
      <c r="B1982"/>
    </row>
    <row r="1983" spans="2:2" x14ac:dyDescent="0.25">
      <c r="B1983"/>
    </row>
    <row r="1984" spans="2:2" x14ac:dyDescent="0.25">
      <c r="B1984"/>
    </row>
    <row r="1985" spans="2:2" x14ac:dyDescent="0.25">
      <c r="B1985"/>
    </row>
    <row r="1986" spans="2:2" x14ac:dyDescent="0.25">
      <c r="B1986"/>
    </row>
    <row r="1987" spans="2:2" x14ac:dyDescent="0.25">
      <c r="B1987"/>
    </row>
    <row r="1988" spans="2:2" x14ac:dyDescent="0.25">
      <c r="B1988"/>
    </row>
    <row r="1989" spans="2:2" x14ac:dyDescent="0.25">
      <c r="B1989"/>
    </row>
    <row r="1990" spans="2:2" x14ac:dyDescent="0.25">
      <c r="B1990"/>
    </row>
    <row r="1991" spans="2:2" x14ac:dyDescent="0.25">
      <c r="B1991"/>
    </row>
    <row r="1992" spans="2:2" x14ac:dyDescent="0.25">
      <c r="B1992"/>
    </row>
    <row r="1993" spans="2:2" x14ac:dyDescent="0.25">
      <c r="B1993"/>
    </row>
    <row r="1994" spans="2:2" x14ac:dyDescent="0.25">
      <c r="B1994"/>
    </row>
    <row r="1995" spans="2:2" x14ac:dyDescent="0.25">
      <c r="B1995"/>
    </row>
    <row r="1996" spans="2:2" x14ac:dyDescent="0.25">
      <c r="B1996"/>
    </row>
    <row r="1997" spans="2:2" x14ac:dyDescent="0.25">
      <c r="B1997"/>
    </row>
    <row r="1998" spans="2:2" x14ac:dyDescent="0.25">
      <c r="B1998"/>
    </row>
    <row r="1999" spans="2:2" x14ac:dyDescent="0.25">
      <c r="B1999"/>
    </row>
    <row r="2000" spans="2:2" x14ac:dyDescent="0.25">
      <c r="B2000"/>
    </row>
  </sheetData>
  <sortState xmlns:xlrd2="http://schemas.microsoft.com/office/spreadsheetml/2017/richdata2" ref="A1:S96">
    <sortCondition ref="C1:C96"/>
  </sortState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9">
    <tabColor rgb="FF00A8FF"/>
  </sheetPr>
  <dimension ref="A1:A57"/>
  <sheetViews>
    <sheetView workbookViewId="0">
      <selection activeCell="B32" sqref="B32"/>
    </sheetView>
  </sheetViews>
  <sheetFormatPr baseColWidth="10" defaultRowHeight="15" x14ac:dyDescent="0.25"/>
  <cols>
    <col min="1" max="1" width="48.85546875" bestFit="1" customWidth="1"/>
    <col min="2" max="2" width="31.85546875" bestFit="1" customWidth="1"/>
    <col min="17" max="17" width="18" customWidth="1"/>
  </cols>
  <sheetData>
    <row r="1" spans="1:1" x14ac:dyDescent="0.25">
      <c r="A1" s="32"/>
    </row>
    <row r="57" s="5" customFormat="1" x14ac:dyDescent="0.25"/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tabColor rgb="FF00A8FF"/>
  </sheetPr>
  <dimension ref="A1"/>
  <sheetViews>
    <sheetView zoomScale="115" zoomScaleNormal="115" workbookViewId="0">
      <selection activeCell="A26" sqref="A26"/>
    </sheetView>
  </sheetViews>
  <sheetFormatPr baseColWidth="10" defaultRowHeight="15" x14ac:dyDescent="0.25"/>
  <cols>
    <col min="1" max="1" width="85.28515625" customWidth="1"/>
    <col min="2" max="2" width="60.42578125" bestFit="1" customWidth="1"/>
    <col min="3" max="3" width="43.140625" customWidth="1"/>
    <col min="5" max="5" width="47.28515625" customWidth="1"/>
    <col min="17" max="17" width="18" customWidth="1"/>
  </cols>
  <sheetData/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>
    <tabColor rgb="FF00A8FF"/>
  </sheetPr>
  <dimension ref="A1"/>
  <sheetViews>
    <sheetView workbookViewId="0">
      <selection activeCell="F29" sqref="F29"/>
    </sheetView>
  </sheetViews>
  <sheetFormatPr baseColWidth="10" defaultRowHeight="15" x14ac:dyDescent="0.25"/>
  <cols>
    <col min="1" max="1" width="38.5703125" bestFit="1" customWidth="1"/>
    <col min="17" max="17" width="18" customWidth="1"/>
  </cols>
  <sheetData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1C6B1-6F68-43E0-8C12-6FC94705E580}">
  <sheetPr codeName="Tabelle29">
    <tabColor rgb="FFFAFAFA"/>
    <pageSetUpPr fitToPage="1"/>
  </sheetPr>
  <dimension ref="A1:L10"/>
  <sheetViews>
    <sheetView zoomScaleNormal="100" workbookViewId="0">
      <pane ySplit="10" topLeftCell="A122" activePane="bottomLeft" state="frozen"/>
      <selection pane="bottomLeft" activeCell="A11" sqref="A11"/>
    </sheetView>
  </sheetViews>
  <sheetFormatPr baseColWidth="10" defaultRowHeight="15" x14ac:dyDescent="0.25"/>
  <cols>
    <col min="1" max="1" width="51.7109375" bestFit="1" customWidth="1"/>
    <col min="2" max="2" width="11.5703125" bestFit="1" customWidth="1"/>
    <col min="3" max="3" width="7.140625" bestFit="1" customWidth="1"/>
    <col min="4" max="4" width="12.140625" bestFit="1" customWidth="1"/>
    <col min="5" max="5" width="10.42578125" bestFit="1" customWidth="1"/>
    <col min="8" max="11" width="7.140625" bestFit="1" customWidth="1"/>
    <col min="12" max="12" width="7.140625" customWidth="1"/>
    <col min="13" max="13" width="11.42578125" customWidth="1"/>
    <col min="15" max="17" width="11.42578125" customWidth="1"/>
    <col min="19" max="19" width="11.42578125" customWidth="1"/>
  </cols>
  <sheetData>
    <row r="1" spans="1:12" s="113" customFormat="1" ht="21" x14ac:dyDescent="0.35">
      <c r="A1" s="518" t="s">
        <v>855</v>
      </c>
      <c r="B1" s="518"/>
      <c r="C1" s="518"/>
      <c r="D1" s="518"/>
    </row>
    <row r="2" spans="1:12" s="113" customFormat="1" x14ac:dyDescent="0.25"/>
    <row r="3" spans="1:12" s="113" customFormat="1" x14ac:dyDescent="0.25"/>
    <row r="4" spans="1:12" s="113" customFormat="1" x14ac:dyDescent="0.25"/>
    <row r="5" spans="1:12" s="113" customFormat="1" x14ac:dyDescent="0.25"/>
    <row r="6" spans="1:12" s="113" customFormat="1" x14ac:dyDescent="0.25"/>
    <row r="7" spans="1:12" s="113" customFormat="1" x14ac:dyDescent="0.25"/>
    <row r="8" spans="1:12" s="113" customFormat="1" x14ac:dyDescent="0.25"/>
    <row r="9" spans="1:12" s="113" customFormat="1" x14ac:dyDescent="0.25"/>
    <row r="10" spans="1:12" s="112" customFormat="1" ht="15.75" x14ac:dyDescent="0.25">
      <c r="A10" s="112" t="s">
        <v>847</v>
      </c>
      <c r="B10" s="112" t="s">
        <v>848</v>
      </c>
      <c r="C10" s="112" t="s">
        <v>849</v>
      </c>
      <c r="D10" s="112" t="s">
        <v>48</v>
      </c>
      <c r="E10" s="112" t="s">
        <v>1268</v>
      </c>
      <c r="H10" s="112" t="s">
        <v>850</v>
      </c>
      <c r="I10" s="112" t="s">
        <v>851</v>
      </c>
      <c r="J10" s="112" t="s">
        <v>852</v>
      </c>
      <c r="K10" s="112" t="s">
        <v>853</v>
      </c>
      <c r="L10" s="112" t="s">
        <v>854</v>
      </c>
    </row>
  </sheetData>
  <mergeCells count="1">
    <mergeCell ref="A1:D1"/>
  </mergeCells>
  <printOptions horizontalCentered="1"/>
  <pageMargins left="0.70866141732283472" right="0.70866141732283472" top="0.78740157480314965" bottom="0.78740157480314965" header="0.31496062992125984" footer="0.31496062992125984"/>
  <pageSetup paperSize="9" scale="87" fitToHeight="10" orientation="landscape" horizontalDpi="1200" verticalDpi="1200" r:id="rId1"/>
  <headerFooter>
    <oddFooter>Seite &amp;P von &amp;N</oddFooter>
  </headerFooter>
  <drawing r:id="rId2"/>
  <legacyDrawing r:id="rId3"/>
  <controls>
    <mc:AlternateContent xmlns:mc="http://schemas.openxmlformats.org/markup-compatibility/2006">
      <mc:Choice Requires="x14">
        <control shapeId="69635" r:id="rId4" name="Label2">
          <controlPr defaultSize="0" autoLine="0" r:id="rId5">
            <anchor moveWithCells="1">
              <from>
                <xdr:col>1</xdr:col>
                <xdr:colOff>0</xdr:colOff>
                <xdr:row>6</xdr:row>
                <xdr:rowOff>95250</xdr:rowOff>
              </from>
              <to>
                <xdr:col>11</xdr:col>
                <xdr:colOff>323850</xdr:colOff>
                <xdr:row>8</xdr:row>
                <xdr:rowOff>19050</xdr:rowOff>
              </to>
            </anchor>
          </controlPr>
        </control>
      </mc:Choice>
      <mc:Fallback>
        <control shapeId="69635" r:id="rId4" name="Label2"/>
      </mc:Fallback>
    </mc:AlternateContent>
    <mc:AlternateContent xmlns:mc="http://schemas.openxmlformats.org/markup-compatibility/2006">
      <mc:Choice Requires="x14">
        <control shapeId="69634" r:id="rId6" name="Label1">
          <controlPr defaultSize="0" autoLine="0" r:id="rId7">
            <anchor moveWithCells="1">
              <from>
                <xdr:col>0</xdr:col>
                <xdr:colOff>3371850</xdr:colOff>
                <xdr:row>4</xdr:row>
                <xdr:rowOff>85725</xdr:rowOff>
              </from>
              <to>
                <xdr:col>11</xdr:col>
                <xdr:colOff>247650</xdr:colOff>
                <xdr:row>6</xdr:row>
                <xdr:rowOff>9525</xdr:rowOff>
              </to>
            </anchor>
          </controlPr>
        </control>
      </mc:Choice>
      <mc:Fallback>
        <control shapeId="69634" r:id="rId6" name="Label1"/>
      </mc:Fallback>
    </mc:AlternateContent>
    <mc:AlternateContent xmlns:mc="http://schemas.openxmlformats.org/markup-compatibility/2006">
      <mc:Choice Requires="x14">
        <control shapeId="69633" r:id="rId8" name="lbl_projekt">
          <controlPr defaultSize="0" autoLine="0" r:id="rId9">
            <anchor moveWithCells="1">
              <from>
                <xdr:col>0</xdr:col>
                <xdr:colOff>3390900</xdr:colOff>
                <xdr:row>1</xdr:row>
                <xdr:rowOff>133350</xdr:rowOff>
              </from>
              <to>
                <xdr:col>11</xdr:col>
                <xdr:colOff>266700</xdr:colOff>
                <xdr:row>3</xdr:row>
                <xdr:rowOff>47625</xdr:rowOff>
              </to>
            </anchor>
          </controlPr>
        </control>
      </mc:Choice>
      <mc:Fallback>
        <control shapeId="69633" r:id="rId8" name="lbl_projek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FF9B5-AB92-464E-A9B7-FFC00C3508FA}">
  <sheetPr codeName="Tabelle26">
    <tabColor rgb="FFFFE100"/>
  </sheetPr>
  <dimension ref="A1:Q680"/>
  <sheetViews>
    <sheetView workbookViewId="0">
      <selection activeCell="G32" sqref="G32:G45"/>
    </sheetView>
  </sheetViews>
  <sheetFormatPr baseColWidth="10" defaultColWidth="11.5703125" defaultRowHeight="15" x14ac:dyDescent="0.25"/>
  <cols>
    <col min="1" max="1" width="14.28515625" customWidth="1"/>
    <col min="2" max="8" width="14" customWidth="1"/>
    <col min="9" max="9" width="17.42578125" customWidth="1"/>
    <col min="10" max="13" width="14" customWidth="1"/>
    <col min="14" max="17" width="11.5703125" hidden="1" customWidth="1"/>
    <col min="18" max="18" width="0" hidden="1" customWidth="1"/>
    <col min="257" max="257" width="14.28515625" customWidth="1"/>
    <col min="258" max="264" width="14" customWidth="1"/>
    <col min="265" max="265" width="17.42578125" customWidth="1"/>
    <col min="266" max="269" width="14" customWidth="1"/>
    <col min="270" max="274" width="0" hidden="1" customWidth="1"/>
    <col min="513" max="513" width="14.28515625" customWidth="1"/>
    <col min="514" max="520" width="14" customWidth="1"/>
    <col min="521" max="521" width="17.42578125" customWidth="1"/>
    <col min="522" max="525" width="14" customWidth="1"/>
    <col min="526" max="530" width="0" hidden="1" customWidth="1"/>
    <col min="769" max="769" width="14.28515625" customWidth="1"/>
    <col min="770" max="776" width="14" customWidth="1"/>
    <col min="777" max="777" width="17.42578125" customWidth="1"/>
    <col min="778" max="781" width="14" customWidth="1"/>
    <col min="782" max="786" width="0" hidden="1" customWidth="1"/>
    <col min="1025" max="1025" width="14.28515625" customWidth="1"/>
    <col min="1026" max="1032" width="14" customWidth="1"/>
    <col min="1033" max="1033" width="17.42578125" customWidth="1"/>
    <col min="1034" max="1037" width="14" customWidth="1"/>
    <col min="1038" max="1042" width="0" hidden="1" customWidth="1"/>
    <col min="1281" max="1281" width="14.28515625" customWidth="1"/>
    <col min="1282" max="1288" width="14" customWidth="1"/>
    <col min="1289" max="1289" width="17.42578125" customWidth="1"/>
    <col min="1290" max="1293" width="14" customWidth="1"/>
    <col min="1294" max="1298" width="0" hidden="1" customWidth="1"/>
    <col min="1537" max="1537" width="14.28515625" customWidth="1"/>
    <col min="1538" max="1544" width="14" customWidth="1"/>
    <col min="1545" max="1545" width="17.42578125" customWidth="1"/>
    <col min="1546" max="1549" width="14" customWidth="1"/>
    <col min="1550" max="1554" width="0" hidden="1" customWidth="1"/>
    <col min="1793" max="1793" width="14.28515625" customWidth="1"/>
    <col min="1794" max="1800" width="14" customWidth="1"/>
    <col min="1801" max="1801" width="17.42578125" customWidth="1"/>
    <col min="1802" max="1805" width="14" customWidth="1"/>
    <col min="1806" max="1810" width="0" hidden="1" customWidth="1"/>
    <col min="2049" max="2049" width="14.28515625" customWidth="1"/>
    <col min="2050" max="2056" width="14" customWidth="1"/>
    <col min="2057" max="2057" width="17.42578125" customWidth="1"/>
    <col min="2058" max="2061" width="14" customWidth="1"/>
    <col min="2062" max="2066" width="0" hidden="1" customWidth="1"/>
    <col min="2305" max="2305" width="14.28515625" customWidth="1"/>
    <col min="2306" max="2312" width="14" customWidth="1"/>
    <col min="2313" max="2313" width="17.42578125" customWidth="1"/>
    <col min="2314" max="2317" width="14" customWidth="1"/>
    <col min="2318" max="2322" width="0" hidden="1" customWidth="1"/>
    <col min="2561" max="2561" width="14.28515625" customWidth="1"/>
    <col min="2562" max="2568" width="14" customWidth="1"/>
    <col min="2569" max="2569" width="17.42578125" customWidth="1"/>
    <col min="2570" max="2573" width="14" customWidth="1"/>
    <col min="2574" max="2578" width="0" hidden="1" customWidth="1"/>
    <col min="2817" max="2817" width="14.28515625" customWidth="1"/>
    <col min="2818" max="2824" width="14" customWidth="1"/>
    <col min="2825" max="2825" width="17.42578125" customWidth="1"/>
    <col min="2826" max="2829" width="14" customWidth="1"/>
    <col min="2830" max="2834" width="0" hidden="1" customWidth="1"/>
    <col min="3073" max="3073" width="14.28515625" customWidth="1"/>
    <col min="3074" max="3080" width="14" customWidth="1"/>
    <col min="3081" max="3081" width="17.42578125" customWidth="1"/>
    <col min="3082" max="3085" width="14" customWidth="1"/>
    <col min="3086" max="3090" width="0" hidden="1" customWidth="1"/>
    <col min="3329" max="3329" width="14.28515625" customWidth="1"/>
    <col min="3330" max="3336" width="14" customWidth="1"/>
    <col min="3337" max="3337" width="17.42578125" customWidth="1"/>
    <col min="3338" max="3341" width="14" customWidth="1"/>
    <col min="3342" max="3346" width="0" hidden="1" customWidth="1"/>
    <col min="3585" max="3585" width="14.28515625" customWidth="1"/>
    <col min="3586" max="3592" width="14" customWidth="1"/>
    <col min="3593" max="3593" width="17.42578125" customWidth="1"/>
    <col min="3594" max="3597" width="14" customWidth="1"/>
    <col min="3598" max="3602" width="0" hidden="1" customWidth="1"/>
    <col min="3841" max="3841" width="14.28515625" customWidth="1"/>
    <col min="3842" max="3848" width="14" customWidth="1"/>
    <col min="3849" max="3849" width="17.42578125" customWidth="1"/>
    <col min="3850" max="3853" width="14" customWidth="1"/>
    <col min="3854" max="3858" width="0" hidden="1" customWidth="1"/>
    <col min="4097" max="4097" width="14.28515625" customWidth="1"/>
    <col min="4098" max="4104" width="14" customWidth="1"/>
    <col min="4105" max="4105" width="17.42578125" customWidth="1"/>
    <col min="4106" max="4109" width="14" customWidth="1"/>
    <col min="4110" max="4114" width="0" hidden="1" customWidth="1"/>
    <col min="4353" max="4353" width="14.28515625" customWidth="1"/>
    <col min="4354" max="4360" width="14" customWidth="1"/>
    <col min="4361" max="4361" width="17.42578125" customWidth="1"/>
    <col min="4362" max="4365" width="14" customWidth="1"/>
    <col min="4366" max="4370" width="0" hidden="1" customWidth="1"/>
    <col min="4609" max="4609" width="14.28515625" customWidth="1"/>
    <col min="4610" max="4616" width="14" customWidth="1"/>
    <col min="4617" max="4617" width="17.42578125" customWidth="1"/>
    <col min="4618" max="4621" width="14" customWidth="1"/>
    <col min="4622" max="4626" width="0" hidden="1" customWidth="1"/>
    <col min="4865" max="4865" width="14.28515625" customWidth="1"/>
    <col min="4866" max="4872" width="14" customWidth="1"/>
    <col min="4873" max="4873" width="17.42578125" customWidth="1"/>
    <col min="4874" max="4877" width="14" customWidth="1"/>
    <col min="4878" max="4882" width="0" hidden="1" customWidth="1"/>
    <col min="5121" max="5121" width="14.28515625" customWidth="1"/>
    <col min="5122" max="5128" width="14" customWidth="1"/>
    <col min="5129" max="5129" width="17.42578125" customWidth="1"/>
    <col min="5130" max="5133" width="14" customWidth="1"/>
    <col min="5134" max="5138" width="0" hidden="1" customWidth="1"/>
    <col min="5377" max="5377" width="14.28515625" customWidth="1"/>
    <col min="5378" max="5384" width="14" customWidth="1"/>
    <col min="5385" max="5385" width="17.42578125" customWidth="1"/>
    <col min="5386" max="5389" width="14" customWidth="1"/>
    <col min="5390" max="5394" width="0" hidden="1" customWidth="1"/>
    <col min="5633" max="5633" width="14.28515625" customWidth="1"/>
    <col min="5634" max="5640" width="14" customWidth="1"/>
    <col min="5641" max="5641" width="17.42578125" customWidth="1"/>
    <col min="5642" max="5645" width="14" customWidth="1"/>
    <col min="5646" max="5650" width="0" hidden="1" customWidth="1"/>
    <col min="5889" max="5889" width="14.28515625" customWidth="1"/>
    <col min="5890" max="5896" width="14" customWidth="1"/>
    <col min="5897" max="5897" width="17.42578125" customWidth="1"/>
    <col min="5898" max="5901" width="14" customWidth="1"/>
    <col min="5902" max="5906" width="0" hidden="1" customWidth="1"/>
    <col min="6145" max="6145" width="14.28515625" customWidth="1"/>
    <col min="6146" max="6152" width="14" customWidth="1"/>
    <col min="6153" max="6153" width="17.42578125" customWidth="1"/>
    <col min="6154" max="6157" width="14" customWidth="1"/>
    <col min="6158" max="6162" width="0" hidden="1" customWidth="1"/>
    <col min="6401" max="6401" width="14.28515625" customWidth="1"/>
    <col min="6402" max="6408" width="14" customWidth="1"/>
    <col min="6409" max="6409" width="17.42578125" customWidth="1"/>
    <col min="6410" max="6413" width="14" customWidth="1"/>
    <col min="6414" max="6418" width="0" hidden="1" customWidth="1"/>
    <col min="6657" max="6657" width="14.28515625" customWidth="1"/>
    <col min="6658" max="6664" width="14" customWidth="1"/>
    <col min="6665" max="6665" width="17.42578125" customWidth="1"/>
    <col min="6666" max="6669" width="14" customWidth="1"/>
    <col min="6670" max="6674" width="0" hidden="1" customWidth="1"/>
    <col min="6913" max="6913" width="14.28515625" customWidth="1"/>
    <col min="6914" max="6920" width="14" customWidth="1"/>
    <col min="6921" max="6921" width="17.42578125" customWidth="1"/>
    <col min="6922" max="6925" width="14" customWidth="1"/>
    <col min="6926" max="6930" width="0" hidden="1" customWidth="1"/>
    <col min="7169" max="7169" width="14.28515625" customWidth="1"/>
    <col min="7170" max="7176" width="14" customWidth="1"/>
    <col min="7177" max="7177" width="17.42578125" customWidth="1"/>
    <col min="7178" max="7181" width="14" customWidth="1"/>
    <col min="7182" max="7186" width="0" hidden="1" customWidth="1"/>
    <col min="7425" max="7425" width="14.28515625" customWidth="1"/>
    <col min="7426" max="7432" width="14" customWidth="1"/>
    <col min="7433" max="7433" width="17.42578125" customWidth="1"/>
    <col min="7434" max="7437" width="14" customWidth="1"/>
    <col min="7438" max="7442" width="0" hidden="1" customWidth="1"/>
    <col min="7681" max="7681" width="14.28515625" customWidth="1"/>
    <col min="7682" max="7688" width="14" customWidth="1"/>
    <col min="7689" max="7689" width="17.42578125" customWidth="1"/>
    <col min="7690" max="7693" width="14" customWidth="1"/>
    <col min="7694" max="7698" width="0" hidden="1" customWidth="1"/>
    <col min="7937" max="7937" width="14.28515625" customWidth="1"/>
    <col min="7938" max="7944" width="14" customWidth="1"/>
    <col min="7945" max="7945" width="17.42578125" customWidth="1"/>
    <col min="7946" max="7949" width="14" customWidth="1"/>
    <col min="7950" max="7954" width="0" hidden="1" customWidth="1"/>
    <col min="8193" max="8193" width="14.28515625" customWidth="1"/>
    <col min="8194" max="8200" width="14" customWidth="1"/>
    <col min="8201" max="8201" width="17.42578125" customWidth="1"/>
    <col min="8202" max="8205" width="14" customWidth="1"/>
    <col min="8206" max="8210" width="0" hidden="1" customWidth="1"/>
    <col min="8449" max="8449" width="14.28515625" customWidth="1"/>
    <col min="8450" max="8456" width="14" customWidth="1"/>
    <col min="8457" max="8457" width="17.42578125" customWidth="1"/>
    <col min="8458" max="8461" width="14" customWidth="1"/>
    <col min="8462" max="8466" width="0" hidden="1" customWidth="1"/>
    <col min="8705" max="8705" width="14.28515625" customWidth="1"/>
    <col min="8706" max="8712" width="14" customWidth="1"/>
    <col min="8713" max="8713" width="17.42578125" customWidth="1"/>
    <col min="8714" max="8717" width="14" customWidth="1"/>
    <col min="8718" max="8722" width="0" hidden="1" customWidth="1"/>
    <col min="8961" max="8961" width="14.28515625" customWidth="1"/>
    <col min="8962" max="8968" width="14" customWidth="1"/>
    <col min="8969" max="8969" width="17.42578125" customWidth="1"/>
    <col min="8970" max="8973" width="14" customWidth="1"/>
    <col min="8974" max="8978" width="0" hidden="1" customWidth="1"/>
    <col min="9217" max="9217" width="14.28515625" customWidth="1"/>
    <col min="9218" max="9224" width="14" customWidth="1"/>
    <col min="9225" max="9225" width="17.42578125" customWidth="1"/>
    <col min="9226" max="9229" width="14" customWidth="1"/>
    <col min="9230" max="9234" width="0" hidden="1" customWidth="1"/>
    <col min="9473" max="9473" width="14.28515625" customWidth="1"/>
    <col min="9474" max="9480" width="14" customWidth="1"/>
    <col min="9481" max="9481" width="17.42578125" customWidth="1"/>
    <col min="9482" max="9485" width="14" customWidth="1"/>
    <col min="9486" max="9490" width="0" hidden="1" customWidth="1"/>
    <col min="9729" max="9729" width="14.28515625" customWidth="1"/>
    <col min="9730" max="9736" width="14" customWidth="1"/>
    <col min="9737" max="9737" width="17.42578125" customWidth="1"/>
    <col min="9738" max="9741" width="14" customWidth="1"/>
    <col min="9742" max="9746" width="0" hidden="1" customWidth="1"/>
    <col min="9985" max="9985" width="14.28515625" customWidth="1"/>
    <col min="9986" max="9992" width="14" customWidth="1"/>
    <col min="9993" max="9993" width="17.42578125" customWidth="1"/>
    <col min="9994" max="9997" width="14" customWidth="1"/>
    <col min="9998" max="10002" width="0" hidden="1" customWidth="1"/>
    <col min="10241" max="10241" width="14.28515625" customWidth="1"/>
    <col min="10242" max="10248" width="14" customWidth="1"/>
    <col min="10249" max="10249" width="17.42578125" customWidth="1"/>
    <col min="10250" max="10253" width="14" customWidth="1"/>
    <col min="10254" max="10258" width="0" hidden="1" customWidth="1"/>
    <col min="10497" max="10497" width="14.28515625" customWidth="1"/>
    <col min="10498" max="10504" width="14" customWidth="1"/>
    <col min="10505" max="10505" width="17.42578125" customWidth="1"/>
    <col min="10506" max="10509" width="14" customWidth="1"/>
    <col min="10510" max="10514" width="0" hidden="1" customWidth="1"/>
    <col min="10753" max="10753" width="14.28515625" customWidth="1"/>
    <col min="10754" max="10760" width="14" customWidth="1"/>
    <col min="10761" max="10761" width="17.42578125" customWidth="1"/>
    <col min="10762" max="10765" width="14" customWidth="1"/>
    <col min="10766" max="10770" width="0" hidden="1" customWidth="1"/>
    <col min="11009" max="11009" width="14.28515625" customWidth="1"/>
    <col min="11010" max="11016" width="14" customWidth="1"/>
    <col min="11017" max="11017" width="17.42578125" customWidth="1"/>
    <col min="11018" max="11021" width="14" customWidth="1"/>
    <col min="11022" max="11026" width="0" hidden="1" customWidth="1"/>
    <col min="11265" max="11265" width="14.28515625" customWidth="1"/>
    <col min="11266" max="11272" width="14" customWidth="1"/>
    <col min="11273" max="11273" width="17.42578125" customWidth="1"/>
    <col min="11274" max="11277" width="14" customWidth="1"/>
    <col min="11278" max="11282" width="0" hidden="1" customWidth="1"/>
    <col min="11521" max="11521" width="14.28515625" customWidth="1"/>
    <col min="11522" max="11528" width="14" customWidth="1"/>
    <col min="11529" max="11529" width="17.42578125" customWidth="1"/>
    <col min="11530" max="11533" width="14" customWidth="1"/>
    <col min="11534" max="11538" width="0" hidden="1" customWidth="1"/>
    <col min="11777" max="11777" width="14.28515625" customWidth="1"/>
    <col min="11778" max="11784" width="14" customWidth="1"/>
    <col min="11785" max="11785" width="17.42578125" customWidth="1"/>
    <col min="11786" max="11789" width="14" customWidth="1"/>
    <col min="11790" max="11794" width="0" hidden="1" customWidth="1"/>
    <col min="12033" max="12033" width="14.28515625" customWidth="1"/>
    <col min="12034" max="12040" width="14" customWidth="1"/>
    <col min="12041" max="12041" width="17.42578125" customWidth="1"/>
    <col min="12042" max="12045" width="14" customWidth="1"/>
    <col min="12046" max="12050" width="0" hidden="1" customWidth="1"/>
    <col min="12289" max="12289" width="14.28515625" customWidth="1"/>
    <col min="12290" max="12296" width="14" customWidth="1"/>
    <col min="12297" max="12297" width="17.42578125" customWidth="1"/>
    <col min="12298" max="12301" width="14" customWidth="1"/>
    <col min="12302" max="12306" width="0" hidden="1" customWidth="1"/>
    <col min="12545" max="12545" width="14.28515625" customWidth="1"/>
    <col min="12546" max="12552" width="14" customWidth="1"/>
    <col min="12553" max="12553" width="17.42578125" customWidth="1"/>
    <col min="12554" max="12557" width="14" customWidth="1"/>
    <col min="12558" max="12562" width="0" hidden="1" customWidth="1"/>
    <col min="12801" max="12801" width="14.28515625" customWidth="1"/>
    <col min="12802" max="12808" width="14" customWidth="1"/>
    <col min="12809" max="12809" width="17.42578125" customWidth="1"/>
    <col min="12810" max="12813" width="14" customWidth="1"/>
    <col min="12814" max="12818" width="0" hidden="1" customWidth="1"/>
    <col min="13057" max="13057" width="14.28515625" customWidth="1"/>
    <col min="13058" max="13064" width="14" customWidth="1"/>
    <col min="13065" max="13065" width="17.42578125" customWidth="1"/>
    <col min="13066" max="13069" width="14" customWidth="1"/>
    <col min="13070" max="13074" width="0" hidden="1" customWidth="1"/>
    <col min="13313" max="13313" width="14.28515625" customWidth="1"/>
    <col min="13314" max="13320" width="14" customWidth="1"/>
    <col min="13321" max="13321" width="17.42578125" customWidth="1"/>
    <col min="13322" max="13325" width="14" customWidth="1"/>
    <col min="13326" max="13330" width="0" hidden="1" customWidth="1"/>
    <col min="13569" max="13569" width="14.28515625" customWidth="1"/>
    <col min="13570" max="13576" width="14" customWidth="1"/>
    <col min="13577" max="13577" width="17.42578125" customWidth="1"/>
    <col min="13578" max="13581" width="14" customWidth="1"/>
    <col min="13582" max="13586" width="0" hidden="1" customWidth="1"/>
    <col min="13825" max="13825" width="14.28515625" customWidth="1"/>
    <col min="13826" max="13832" width="14" customWidth="1"/>
    <col min="13833" max="13833" width="17.42578125" customWidth="1"/>
    <col min="13834" max="13837" width="14" customWidth="1"/>
    <col min="13838" max="13842" width="0" hidden="1" customWidth="1"/>
    <col min="14081" max="14081" width="14.28515625" customWidth="1"/>
    <col min="14082" max="14088" width="14" customWidth="1"/>
    <col min="14089" max="14089" width="17.42578125" customWidth="1"/>
    <col min="14090" max="14093" width="14" customWidth="1"/>
    <col min="14094" max="14098" width="0" hidden="1" customWidth="1"/>
    <col min="14337" max="14337" width="14.28515625" customWidth="1"/>
    <col min="14338" max="14344" width="14" customWidth="1"/>
    <col min="14345" max="14345" width="17.42578125" customWidth="1"/>
    <col min="14346" max="14349" width="14" customWidth="1"/>
    <col min="14350" max="14354" width="0" hidden="1" customWidth="1"/>
    <col min="14593" max="14593" width="14.28515625" customWidth="1"/>
    <col min="14594" max="14600" width="14" customWidth="1"/>
    <col min="14601" max="14601" width="17.42578125" customWidth="1"/>
    <col min="14602" max="14605" width="14" customWidth="1"/>
    <col min="14606" max="14610" width="0" hidden="1" customWidth="1"/>
    <col min="14849" max="14849" width="14.28515625" customWidth="1"/>
    <col min="14850" max="14856" width="14" customWidth="1"/>
    <col min="14857" max="14857" width="17.42578125" customWidth="1"/>
    <col min="14858" max="14861" width="14" customWidth="1"/>
    <col min="14862" max="14866" width="0" hidden="1" customWidth="1"/>
    <col min="15105" max="15105" width="14.28515625" customWidth="1"/>
    <col min="15106" max="15112" width="14" customWidth="1"/>
    <col min="15113" max="15113" width="17.42578125" customWidth="1"/>
    <col min="15114" max="15117" width="14" customWidth="1"/>
    <col min="15118" max="15122" width="0" hidden="1" customWidth="1"/>
    <col min="15361" max="15361" width="14.28515625" customWidth="1"/>
    <col min="15362" max="15368" width="14" customWidth="1"/>
    <col min="15369" max="15369" width="17.42578125" customWidth="1"/>
    <col min="15370" max="15373" width="14" customWidth="1"/>
    <col min="15374" max="15378" width="0" hidden="1" customWidth="1"/>
    <col min="15617" max="15617" width="14.28515625" customWidth="1"/>
    <col min="15618" max="15624" width="14" customWidth="1"/>
    <col min="15625" max="15625" width="17.42578125" customWidth="1"/>
    <col min="15626" max="15629" width="14" customWidth="1"/>
    <col min="15630" max="15634" width="0" hidden="1" customWidth="1"/>
    <col min="15873" max="15873" width="14.28515625" customWidth="1"/>
    <col min="15874" max="15880" width="14" customWidth="1"/>
    <col min="15881" max="15881" width="17.42578125" customWidth="1"/>
    <col min="15882" max="15885" width="14" customWidth="1"/>
    <col min="15886" max="15890" width="0" hidden="1" customWidth="1"/>
    <col min="16129" max="16129" width="14.28515625" customWidth="1"/>
    <col min="16130" max="16136" width="14" customWidth="1"/>
    <col min="16137" max="16137" width="17.42578125" customWidth="1"/>
    <col min="16138" max="16141" width="14" customWidth="1"/>
    <col min="16142" max="16146" width="0" hidden="1" customWidth="1"/>
  </cols>
  <sheetData>
    <row r="1" spans="1:15" x14ac:dyDescent="0.25">
      <c r="A1" s="196" t="s">
        <v>996</v>
      </c>
      <c r="B1" s="197"/>
      <c r="C1" s="194"/>
      <c r="D1" s="194"/>
      <c r="E1" s="198"/>
      <c r="J1" s="199" t="s">
        <v>858</v>
      </c>
      <c r="K1" s="200"/>
      <c r="L1" s="199">
        <f>Modulliste!H1</f>
        <v>0</v>
      </c>
      <c r="M1" s="198"/>
    </row>
    <row r="2" spans="1:15" x14ac:dyDescent="0.25">
      <c r="A2" s="196" t="s">
        <v>1014</v>
      </c>
      <c r="B2" s="201"/>
      <c r="C2" s="194"/>
      <c r="D2" s="194"/>
      <c r="E2" s="198"/>
      <c r="J2" s="199" t="s">
        <v>859</v>
      </c>
      <c r="K2" s="200"/>
      <c r="L2" s="199">
        <f>Modulliste!H2</f>
        <v>0</v>
      </c>
      <c r="M2" s="198"/>
      <c r="O2" s="172" t="s">
        <v>995</v>
      </c>
    </row>
    <row r="3" spans="1:15" x14ac:dyDescent="0.25">
      <c r="A3" s="196" t="s">
        <v>1015</v>
      </c>
      <c r="B3" s="199" t="str">
        <f>PSDUS0202!A1</f>
        <v>PCD3.M5360</v>
      </c>
      <c r="C3" s="194"/>
      <c r="D3" s="194"/>
      <c r="E3" s="198"/>
      <c r="G3" s="202" t="s">
        <v>792</v>
      </c>
      <c r="H3" s="203"/>
      <c r="J3" s="199" t="s">
        <v>860</v>
      </c>
      <c r="K3" s="200"/>
      <c r="L3" s="199">
        <f>Modulliste!H3</f>
        <v>0</v>
      </c>
      <c r="M3" s="198"/>
      <c r="O3" s="172" t="s">
        <v>484</v>
      </c>
    </row>
    <row r="4" spans="1:15" x14ac:dyDescent="0.25">
      <c r="A4" s="196" t="s">
        <v>1016</v>
      </c>
      <c r="B4" s="197"/>
      <c r="C4" s="204"/>
      <c r="D4" s="194"/>
      <c r="E4" s="198"/>
      <c r="G4" s="205" t="s">
        <v>997</v>
      </c>
      <c r="H4" s="206"/>
      <c r="J4" s="199" t="s">
        <v>861</v>
      </c>
      <c r="K4" s="200"/>
      <c r="L4" s="199">
        <f>Modulliste!H4</f>
        <v>0</v>
      </c>
      <c r="M4" s="198"/>
      <c r="O4" s="172" t="s">
        <v>485</v>
      </c>
    </row>
    <row r="5" spans="1:15" x14ac:dyDescent="0.25">
      <c r="J5" s="199" t="s">
        <v>862</v>
      </c>
      <c r="K5" s="200"/>
      <c r="L5" s="199">
        <f>Modulliste!H5</f>
        <v>0</v>
      </c>
      <c r="M5" s="198"/>
      <c r="O5" s="172" t="s">
        <v>0</v>
      </c>
    </row>
    <row r="6" spans="1:15" ht="15.75" thickBot="1" x14ac:dyDescent="0.3">
      <c r="J6" s="207"/>
      <c r="K6" s="207"/>
      <c r="L6" s="207"/>
      <c r="O6" s="172"/>
    </row>
    <row r="7" spans="1:15" x14ac:dyDescent="0.25">
      <c r="A7" s="521" t="s">
        <v>998</v>
      </c>
      <c r="B7" s="522"/>
      <c r="C7" s="31" t="s">
        <v>999</v>
      </c>
      <c r="D7" s="31" t="s">
        <v>1000</v>
      </c>
      <c r="E7" s="31" t="s">
        <v>1001</v>
      </c>
      <c r="F7" s="31" t="s">
        <v>1002</v>
      </c>
      <c r="G7" s="31" t="s">
        <v>1003</v>
      </c>
      <c r="H7" s="208" t="s">
        <v>1004</v>
      </c>
      <c r="I7" s="209"/>
      <c r="J7" s="207"/>
      <c r="K7" s="207"/>
      <c r="L7" s="207"/>
      <c r="O7" s="172"/>
    </row>
    <row r="8" spans="1:15" x14ac:dyDescent="0.25">
      <c r="A8" s="523"/>
      <c r="B8" s="524"/>
      <c r="C8" s="210"/>
      <c r="D8" s="211"/>
      <c r="E8" s="212"/>
      <c r="F8" s="28"/>
      <c r="G8" s="213"/>
      <c r="H8" s="214"/>
      <c r="I8" s="215"/>
      <c r="J8" s="207"/>
      <c r="K8" s="207"/>
      <c r="L8" s="207"/>
      <c r="O8" s="172"/>
    </row>
    <row r="9" spans="1:15" ht="15.75" thickBot="1" x14ac:dyDescent="0.3">
      <c r="A9" s="525"/>
      <c r="B9" s="526"/>
      <c r="C9" s="116"/>
      <c r="D9" s="116"/>
      <c r="E9" s="116"/>
      <c r="F9" s="116"/>
      <c r="G9" s="216"/>
      <c r="H9" s="216"/>
      <c r="I9" s="217"/>
      <c r="J9" s="207"/>
      <c r="K9" s="207"/>
      <c r="L9" s="207"/>
      <c r="O9" s="172"/>
    </row>
    <row r="10" spans="1:15" x14ac:dyDescent="0.25">
      <c r="A10" s="60"/>
      <c r="B10" s="60"/>
      <c r="H10" s="115"/>
      <c r="J10" s="207"/>
      <c r="K10" s="207"/>
      <c r="L10" s="207"/>
      <c r="O10" s="172"/>
    </row>
    <row r="11" spans="1:15" x14ac:dyDescent="0.25">
      <c r="A11" s="60"/>
      <c r="B11" s="60"/>
      <c r="H11" s="115"/>
      <c r="J11" s="207"/>
      <c r="K11" s="207"/>
      <c r="L11" s="207"/>
      <c r="O11" s="172"/>
    </row>
    <row r="12" spans="1:15" x14ac:dyDescent="0.25">
      <c r="A12" s="60"/>
      <c r="B12" s="60"/>
      <c r="H12" s="115"/>
      <c r="J12" s="207"/>
      <c r="K12" s="207"/>
      <c r="L12" s="207"/>
      <c r="O12" s="172"/>
    </row>
    <row r="13" spans="1:15" x14ac:dyDescent="0.25">
      <c r="O13" s="172" t="s">
        <v>1</v>
      </c>
    </row>
    <row r="14" spans="1:15" x14ac:dyDescent="0.25">
      <c r="A14" s="218" t="s">
        <v>1005</v>
      </c>
      <c r="B14" s="219"/>
      <c r="C14" s="219"/>
      <c r="D14" s="219"/>
      <c r="E14" s="219"/>
      <c r="F14" s="174"/>
      <c r="G14" s="174"/>
      <c r="H14" s="174"/>
      <c r="I14" s="174"/>
      <c r="J14" s="174"/>
      <c r="K14" s="174"/>
      <c r="L14" s="174"/>
      <c r="M14" s="175"/>
      <c r="O14" s="172" t="s">
        <v>3</v>
      </c>
    </row>
    <row r="15" spans="1:15" x14ac:dyDescent="0.25">
      <c r="A15" s="220" t="s">
        <v>1006</v>
      </c>
      <c r="B15" s="221" t="s">
        <v>856</v>
      </c>
      <c r="C15" s="222"/>
      <c r="D15" s="222"/>
      <c r="E15" s="223"/>
      <c r="F15" s="221" t="s">
        <v>477</v>
      </c>
      <c r="G15" s="222"/>
      <c r="H15" s="222"/>
      <c r="I15" s="223"/>
      <c r="J15" s="221" t="s">
        <v>477</v>
      </c>
      <c r="K15" s="222"/>
      <c r="L15" s="222"/>
      <c r="M15" s="223"/>
    </row>
    <row r="16" spans="1:15" x14ac:dyDescent="0.25">
      <c r="A16" s="196" t="s">
        <v>864</v>
      </c>
      <c r="B16" s="224">
        <v>0</v>
      </c>
      <c r="C16" s="225">
        <v>1</v>
      </c>
      <c r="D16" s="225">
        <v>2</v>
      </c>
      <c r="E16" s="226">
        <v>3</v>
      </c>
      <c r="F16" s="224">
        <v>4</v>
      </c>
      <c r="G16" s="225">
        <v>5</v>
      </c>
      <c r="H16" s="225">
        <v>6</v>
      </c>
      <c r="I16" s="226">
        <v>7</v>
      </c>
      <c r="J16" s="224">
        <v>8</v>
      </c>
      <c r="K16" s="225">
        <v>9</v>
      </c>
      <c r="L16" s="225">
        <v>10</v>
      </c>
      <c r="M16" s="226">
        <v>11</v>
      </c>
    </row>
    <row r="17" spans="1:15" x14ac:dyDescent="0.25">
      <c r="A17" s="196" t="s">
        <v>1007</v>
      </c>
      <c r="B17" s="227">
        <v>0</v>
      </c>
      <c r="C17" s="228">
        <v>16</v>
      </c>
      <c r="D17" s="228">
        <v>32</v>
      </c>
      <c r="E17" s="229">
        <v>48</v>
      </c>
      <c r="F17" s="227">
        <v>64</v>
      </c>
      <c r="G17" s="228">
        <v>80</v>
      </c>
      <c r="H17" s="228">
        <v>96</v>
      </c>
      <c r="I17" s="229">
        <v>112</v>
      </c>
      <c r="J17" s="227">
        <v>128</v>
      </c>
      <c r="K17" s="228">
        <v>144</v>
      </c>
      <c r="L17" s="228">
        <v>160</v>
      </c>
      <c r="M17" s="229">
        <v>176</v>
      </c>
      <c r="O17" s="172" t="s">
        <v>1008</v>
      </c>
    </row>
    <row r="18" spans="1:15" x14ac:dyDescent="0.25">
      <c r="A18" s="196" t="s">
        <v>1009</v>
      </c>
      <c r="B18" s="230" t="str">
        <f ca="1">Modulliste!H7</f>
        <v>x</v>
      </c>
      <c r="C18" s="231" t="str">
        <f ca="1">Modulliste!H8</f>
        <v>x</v>
      </c>
      <c r="D18" s="231" t="str">
        <f ca="1">Modulliste!H9</f>
        <v>x</v>
      </c>
      <c r="E18" s="232" t="str">
        <f ca="1">Modulliste!H10</f>
        <v>x</v>
      </c>
      <c r="F18" s="230" t="str">
        <f ca="1">Modulliste!H11</f>
        <v>PCD3.A465</v>
      </c>
      <c r="G18" s="231" t="str">
        <f ca="1">Modulliste!H12</f>
        <v>PCD3.A465</v>
      </c>
      <c r="H18" s="231" t="str">
        <f ca="1">Modulliste!H13</f>
        <v>PCD3.A465</v>
      </c>
      <c r="I18" s="232" t="str">
        <f ca="1">Modulliste!H14</f>
        <v>PCD3.E165</v>
      </c>
      <c r="J18" s="232" t="str">
        <f ca="1">Modulliste!H15</f>
        <v>PCD3.E165</v>
      </c>
      <c r="K18" s="231" t="str">
        <f ca="1">Modulliste!H16</f>
        <v>PCD3.E165</v>
      </c>
      <c r="L18" s="231" t="str">
        <f ca="1">Modulliste!H17</f>
        <v>PCD3.E165</v>
      </c>
      <c r="M18" s="232" t="str">
        <f ca="1">Modulliste!H18</f>
        <v>PCD3.E165</v>
      </c>
      <c r="O18" s="172" t="s">
        <v>1010</v>
      </c>
    </row>
    <row r="19" spans="1:15" x14ac:dyDescent="0.25">
      <c r="A19" s="199"/>
      <c r="B19" s="194"/>
      <c r="C19" s="194"/>
      <c r="D19" s="194"/>
      <c r="E19" s="194"/>
      <c r="F19" s="194"/>
      <c r="G19" s="194"/>
      <c r="H19" s="194"/>
      <c r="I19" s="194"/>
      <c r="J19" s="194"/>
      <c r="K19" s="194"/>
      <c r="L19" s="194"/>
      <c r="M19" s="198"/>
      <c r="O19" s="172" t="s">
        <v>1011</v>
      </c>
    </row>
    <row r="20" spans="1:15" x14ac:dyDescent="0.25">
      <c r="A20" s="220" t="s">
        <v>1006</v>
      </c>
      <c r="B20" s="221" t="s">
        <v>478</v>
      </c>
      <c r="C20" s="222"/>
      <c r="D20" s="222"/>
      <c r="E20" s="223"/>
      <c r="F20" s="221" t="s">
        <v>1012</v>
      </c>
      <c r="G20" s="222"/>
      <c r="H20" s="222"/>
      <c r="I20" s="223"/>
      <c r="J20" s="221" t="s">
        <v>1012</v>
      </c>
      <c r="K20" s="222"/>
      <c r="L20" s="222"/>
      <c r="M20" s="223"/>
    </row>
    <row r="21" spans="1:15" x14ac:dyDescent="0.25">
      <c r="A21" s="196" t="s">
        <v>864</v>
      </c>
      <c r="B21" s="224">
        <v>12</v>
      </c>
      <c r="C21" s="225">
        <v>13</v>
      </c>
      <c r="D21" s="225">
        <v>14</v>
      </c>
      <c r="E21" s="226">
        <v>15</v>
      </c>
      <c r="F21" s="224">
        <v>16</v>
      </c>
      <c r="G21" s="225">
        <v>17</v>
      </c>
      <c r="H21" s="225">
        <v>18</v>
      </c>
      <c r="I21" s="226">
        <v>19</v>
      </c>
      <c r="J21" s="224">
        <v>20</v>
      </c>
      <c r="K21" s="225">
        <v>21</v>
      </c>
      <c r="L21" s="225">
        <v>22</v>
      </c>
      <c r="M21" s="226">
        <v>23</v>
      </c>
    </row>
    <row r="22" spans="1:15" x14ac:dyDescent="0.25">
      <c r="A22" s="196" t="s">
        <v>1007</v>
      </c>
      <c r="B22" s="227">
        <v>192</v>
      </c>
      <c r="C22" s="228">
        <v>208</v>
      </c>
      <c r="D22" s="228">
        <v>224</v>
      </c>
      <c r="E22" s="229">
        <v>240</v>
      </c>
      <c r="F22" s="227">
        <v>256</v>
      </c>
      <c r="G22" s="228">
        <v>272</v>
      </c>
      <c r="H22" s="228">
        <v>288</v>
      </c>
      <c r="I22" s="229">
        <v>304</v>
      </c>
      <c r="J22" s="227">
        <v>320</v>
      </c>
      <c r="K22" s="228">
        <v>336</v>
      </c>
      <c r="L22" s="228">
        <v>352</v>
      </c>
      <c r="M22" s="229">
        <v>368</v>
      </c>
    </row>
    <row r="23" spans="1:15" x14ac:dyDescent="0.25">
      <c r="A23" s="196" t="s">
        <v>1009</v>
      </c>
      <c r="B23" s="230" t="str">
        <f ca="1">Modulliste!H19</f>
        <v>PCD3.E165</v>
      </c>
      <c r="C23" s="231" t="str">
        <f ca="1">Modulliste!H20</f>
        <v>PCD3.W340</v>
      </c>
      <c r="D23" s="231" t="str">
        <f ca="1">Modulliste!H21</f>
        <v>PCD3.W340</v>
      </c>
      <c r="E23" s="232" t="str">
        <f ca="1">Modulliste!H23</f>
        <v>PCD3.W340</v>
      </c>
      <c r="F23" s="230" t="str">
        <f ca="1">Modulliste!H24</f>
        <v>x</v>
      </c>
      <c r="G23" s="231" t="str">
        <f ca="1">Modulliste!H25</f>
        <v>x</v>
      </c>
      <c r="H23" s="231" t="str">
        <f ca="1">Modulliste!H26</f>
        <v>x</v>
      </c>
      <c r="I23" s="232" t="str">
        <f ca="1">Modulliste!H27</f>
        <v>x</v>
      </c>
      <c r="J23" s="230" t="str">
        <f ca="1">Modulliste!H28</f>
        <v>x</v>
      </c>
      <c r="K23" s="231" t="str">
        <f ca="1">Modulliste!H29</f>
        <v>x</v>
      </c>
      <c r="L23" s="231" t="str">
        <f ca="1">Modulliste!H30</f>
        <v>x</v>
      </c>
      <c r="M23" s="232" t="str">
        <f ca="1">Modulliste!H31</f>
        <v>x</v>
      </c>
    </row>
    <row r="25" spans="1:15" x14ac:dyDescent="0.25">
      <c r="A25" s="220" t="s">
        <v>1006</v>
      </c>
      <c r="B25" s="221" t="s">
        <v>1012</v>
      </c>
      <c r="C25" s="222"/>
      <c r="D25" s="222"/>
      <c r="E25" s="223"/>
      <c r="F25" s="221" t="s">
        <v>1012</v>
      </c>
      <c r="G25" s="222"/>
      <c r="H25" s="222"/>
      <c r="I25" s="223"/>
      <c r="J25" s="221" t="s">
        <v>1012</v>
      </c>
      <c r="K25" s="222"/>
      <c r="L25" s="222"/>
      <c r="M25" s="223"/>
    </row>
    <row r="26" spans="1:15" x14ac:dyDescent="0.25">
      <c r="A26" s="196" t="s">
        <v>864</v>
      </c>
      <c r="B26" s="224">
        <v>24</v>
      </c>
      <c r="C26" s="224">
        <v>25</v>
      </c>
      <c r="D26" s="224">
        <v>26</v>
      </c>
      <c r="E26" s="224">
        <v>27</v>
      </c>
      <c r="F26" s="224">
        <v>28</v>
      </c>
      <c r="G26" s="224">
        <v>29</v>
      </c>
      <c r="H26" s="224">
        <v>30</v>
      </c>
      <c r="I26" s="224">
        <v>31</v>
      </c>
      <c r="J26" s="224">
        <v>32</v>
      </c>
      <c r="K26" s="224">
        <v>33</v>
      </c>
      <c r="L26" s="224">
        <v>34</v>
      </c>
      <c r="M26" s="224">
        <v>35</v>
      </c>
    </row>
    <row r="27" spans="1:15" x14ac:dyDescent="0.25">
      <c r="A27" s="196" t="s">
        <v>1007</v>
      </c>
      <c r="B27" s="227">
        <v>384</v>
      </c>
      <c r="C27" s="228">
        <v>400</v>
      </c>
      <c r="D27" s="228">
        <v>416</v>
      </c>
      <c r="E27" s="229">
        <v>432</v>
      </c>
      <c r="F27" s="227">
        <v>448</v>
      </c>
      <c r="G27" s="228">
        <v>464</v>
      </c>
      <c r="H27" s="228">
        <v>480</v>
      </c>
      <c r="I27" s="229">
        <v>496</v>
      </c>
      <c r="J27" s="227">
        <v>512</v>
      </c>
      <c r="K27" s="228">
        <v>528</v>
      </c>
      <c r="L27" s="228">
        <v>544</v>
      </c>
      <c r="M27" s="229">
        <v>560</v>
      </c>
    </row>
    <row r="28" spans="1:15" x14ac:dyDescent="0.25">
      <c r="A28" s="196" t="s">
        <v>1009</v>
      </c>
      <c r="B28" s="230" t="str">
        <f ca="1">Modulliste!H32</f>
        <v>x</v>
      </c>
      <c r="C28" s="231" t="str">
        <f ca="1">Modulliste!H33</f>
        <v>x</v>
      </c>
      <c r="D28" s="231" t="str">
        <f ca="1">Modulliste!H34</f>
        <v>x</v>
      </c>
      <c r="E28" s="232" t="str">
        <f ca="1">Modulliste!H35</f>
        <v>x</v>
      </c>
      <c r="F28" s="230" t="str">
        <f ca="1">Modulliste!H36</f>
        <v>x</v>
      </c>
      <c r="G28" s="231" t="str">
        <f ca="1">Modulliste!H37</f>
        <v>x</v>
      </c>
      <c r="H28" s="231" t="str">
        <f ca="1">Modulliste!H38</f>
        <v>x</v>
      </c>
      <c r="I28" s="232" t="str">
        <f ca="1">Modulliste!H39</f>
        <v>x</v>
      </c>
      <c r="J28" s="230" t="str">
        <f ca="1">Modulliste!H40</f>
        <v>x</v>
      </c>
      <c r="K28" s="231" t="str">
        <f ca="1">Modulliste!H41</f>
        <v>x</v>
      </c>
      <c r="L28" s="231" t="str">
        <f ca="1">Modulliste!H42</f>
        <v>x</v>
      </c>
      <c r="M28" s="232" t="str">
        <f ca="1">Modulliste!H43</f>
        <v>x</v>
      </c>
    </row>
    <row r="30" spans="1:15" x14ac:dyDescent="0.25">
      <c r="A30" s="207"/>
    </row>
    <row r="31" spans="1:15" x14ac:dyDescent="0.25">
      <c r="A31" s="167" t="s">
        <v>864</v>
      </c>
      <c r="B31" s="167" t="s">
        <v>865</v>
      </c>
      <c r="C31" s="167" t="s">
        <v>210</v>
      </c>
      <c r="D31" s="167" t="s">
        <v>866</v>
      </c>
      <c r="E31" s="168" t="s">
        <v>867</v>
      </c>
      <c r="F31" s="169"/>
      <c r="G31" s="168" t="s">
        <v>868</v>
      </c>
      <c r="H31" s="170"/>
      <c r="I31" s="170"/>
      <c r="J31" s="170"/>
      <c r="K31" s="170"/>
      <c r="L31" s="170"/>
      <c r="M31" s="171"/>
    </row>
    <row r="32" spans="1:15" x14ac:dyDescent="0.25">
      <c r="A32" s="172">
        <v>0</v>
      </c>
      <c r="B32" s="172" t="s">
        <v>869</v>
      </c>
      <c r="C32" s="173">
        <v>0</v>
      </c>
      <c r="D32" s="173">
        <v>0</v>
      </c>
      <c r="E32" s="174"/>
      <c r="F32" s="175"/>
      <c r="G32" s="176" t="s">
        <v>870</v>
      </c>
      <c r="H32" s="174"/>
      <c r="I32" s="174"/>
      <c r="J32" s="174"/>
      <c r="K32" s="174"/>
      <c r="L32" s="174"/>
      <c r="M32" s="175"/>
      <c r="O32">
        <v>0</v>
      </c>
    </row>
    <row r="33" spans="1:15" x14ac:dyDescent="0.25">
      <c r="A33" s="177"/>
      <c r="B33" s="177"/>
      <c r="C33" s="173">
        <v>1</v>
      </c>
      <c r="D33" s="173">
        <v>1</v>
      </c>
      <c r="E33" s="174"/>
      <c r="F33" s="175"/>
      <c r="G33" s="176"/>
      <c r="H33" s="174"/>
      <c r="I33" s="174"/>
      <c r="J33" s="174"/>
      <c r="K33" s="174"/>
      <c r="L33" s="174"/>
      <c r="M33" s="175"/>
      <c r="O33">
        <v>0</v>
      </c>
    </row>
    <row r="34" spans="1:15" x14ac:dyDescent="0.25">
      <c r="A34" s="178"/>
      <c r="B34" s="177"/>
      <c r="C34" s="173">
        <v>2</v>
      </c>
      <c r="D34" s="173">
        <v>2</v>
      </c>
      <c r="E34" s="174"/>
      <c r="F34" s="175"/>
      <c r="G34" s="176"/>
      <c r="H34" s="174"/>
      <c r="I34" s="174"/>
      <c r="J34" s="174"/>
      <c r="K34" s="174"/>
      <c r="L34" s="174"/>
      <c r="M34" s="175"/>
      <c r="O34">
        <v>0</v>
      </c>
    </row>
    <row r="35" spans="1:15" x14ac:dyDescent="0.25">
      <c r="A35" s="177"/>
      <c r="B35" s="177"/>
      <c r="C35" s="173">
        <v>3</v>
      </c>
      <c r="D35" s="173">
        <v>3</v>
      </c>
      <c r="E35" s="174"/>
      <c r="F35" s="175"/>
      <c r="G35" s="176"/>
      <c r="H35" s="174"/>
      <c r="I35" s="174"/>
      <c r="J35" s="174"/>
      <c r="K35" s="174"/>
      <c r="L35" s="174"/>
      <c r="M35" s="175"/>
      <c r="O35">
        <v>0</v>
      </c>
    </row>
    <row r="36" spans="1:15" x14ac:dyDescent="0.25">
      <c r="A36" s="177"/>
      <c r="B36" s="177"/>
      <c r="C36" s="173">
        <v>4</v>
      </c>
      <c r="D36" s="173">
        <v>4</v>
      </c>
      <c r="E36" s="174"/>
      <c r="F36" s="175"/>
      <c r="G36" s="176"/>
      <c r="H36" s="174"/>
      <c r="I36" s="174"/>
      <c r="J36" s="174"/>
      <c r="K36" s="174"/>
      <c r="L36" s="174"/>
      <c r="M36" s="175"/>
      <c r="O36">
        <v>0</v>
      </c>
    </row>
    <row r="37" spans="1:15" x14ac:dyDescent="0.25">
      <c r="A37" s="177"/>
      <c r="B37" s="177"/>
      <c r="C37" s="173">
        <v>5</v>
      </c>
      <c r="D37" s="173">
        <v>5</v>
      </c>
      <c r="E37" s="174"/>
      <c r="F37" s="174"/>
      <c r="G37" s="176"/>
      <c r="H37" s="174"/>
      <c r="I37" s="174"/>
      <c r="J37" s="174"/>
      <c r="K37" s="174"/>
      <c r="L37" s="174"/>
      <c r="M37" s="175"/>
      <c r="O37">
        <v>0</v>
      </c>
    </row>
    <row r="38" spans="1:15" x14ac:dyDescent="0.25">
      <c r="A38" s="177"/>
      <c r="B38" s="177"/>
      <c r="C38" s="173">
        <v>6</v>
      </c>
      <c r="D38" s="173">
        <v>6</v>
      </c>
      <c r="E38" s="174"/>
      <c r="F38" s="174"/>
      <c r="G38" s="176"/>
      <c r="H38" s="174"/>
      <c r="I38" s="174"/>
      <c r="J38" s="174"/>
      <c r="K38" s="174"/>
      <c r="L38" s="174"/>
      <c r="M38" s="175"/>
      <c r="O38">
        <v>0</v>
      </c>
    </row>
    <row r="39" spans="1:15" x14ac:dyDescent="0.25">
      <c r="A39" s="177"/>
      <c r="B39" s="177"/>
      <c r="C39" s="173">
        <v>7</v>
      </c>
      <c r="D39" s="173">
        <v>7</v>
      </c>
      <c r="E39" s="174"/>
      <c r="F39" s="175"/>
      <c r="G39" s="176"/>
      <c r="H39" s="174"/>
      <c r="I39" s="174"/>
      <c r="J39" s="174"/>
      <c r="K39" s="174"/>
      <c r="L39" s="174"/>
      <c r="M39" s="175"/>
      <c r="O39">
        <v>0</v>
      </c>
    </row>
    <row r="40" spans="1:15" x14ac:dyDescent="0.25">
      <c r="A40" s="177"/>
      <c r="B40" s="177"/>
      <c r="C40" s="173">
        <v>8</v>
      </c>
      <c r="D40" s="173">
        <v>8</v>
      </c>
      <c r="E40" s="174"/>
      <c r="F40" s="175"/>
      <c r="G40" s="176"/>
      <c r="H40" s="174"/>
      <c r="I40" s="174"/>
      <c r="J40" s="174"/>
      <c r="K40" s="174"/>
      <c r="L40" s="174"/>
      <c r="M40" s="175"/>
      <c r="O40">
        <v>0</v>
      </c>
    </row>
    <row r="41" spans="1:15" x14ac:dyDescent="0.25">
      <c r="A41" s="177"/>
      <c r="B41" s="177"/>
      <c r="C41" s="173">
        <v>9</v>
      </c>
      <c r="D41" s="173">
        <v>9</v>
      </c>
      <c r="E41" s="174"/>
      <c r="F41" s="175"/>
      <c r="G41" s="176"/>
      <c r="H41" s="174"/>
      <c r="I41" s="174"/>
      <c r="J41" s="174"/>
      <c r="K41" s="174"/>
      <c r="L41" s="174"/>
      <c r="M41" s="175"/>
      <c r="O41">
        <v>0</v>
      </c>
    </row>
    <row r="42" spans="1:15" x14ac:dyDescent="0.25">
      <c r="A42" s="177"/>
      <c r="B42" s="177"/>
      <c r="C42" s="173">
        <v>10</v>
      </c>
      <c r="D42" s="173">
        <v>10</v>
      </c>
      <c r="E42" s="174"/>
      <c r="F42" s="175"/>
      <c r="G42" s="176"/>
      <c r="H42" s="174"/>
      <c r="I42" s="174"/>
      <c r="J42" s="174"/>
      <c r="K42" s="174"/>
      <c r="L42" s="174"/>
      <c r="M42" s="175"/>
      <c r="O42">
        <v>0</v>
      </c>
    </row>
    <row r="43" spans="1:15" x14ac:dyDescent="0.25">
      <c r="A43" s="177"/>
      <c r="B43" s="177"/>
      <c r="C43" s="173">
        <v>11</v>
      </c>
      <c r="D43" s="173">
        <v>11</v>
      </c>
      <c r="E43" s="174"/>
      <c r="F43" s="175"/>
      <c r="G43" s="176"/>
      <c r="H43" s="174"/>
      <c r="I43" s="174"/>
      <c r="J43" s="174"/>
      <c r="K43" s="174"/>
      <c r="L43" s="174"/>
      <c r="M43" s="175"/>
      <c r="O43">
        <v>0</v>
      </c>
    </row>
    <row r="44" spans="1:15" x14ac:dyDescent="0.25">
      <c r="A44" s="177"/>
      <c r="B44" s="177"/>
      <c r="C44" s="173">
        <v>12</v>
      </c>
      <c r="D44" s="173">
        <v>12</v>
      </c>
      <c r="E44" s="174"/>
      <c r="F44" s="175"/>
      <c r="G44" s="176"/>
      <c r="H44" s="174"/>
      <c r="I44" s="174"/>
      <c r="J44" s="174"/>
      <c r="K44" s="174"/>
      <c r="L44" s="174"/>
      <c r="M44" s="175"/>
      <c r="O44">
        <v>0</v>
      </c>
    </row>
    <row r="45" spans="1:15" x14ac:dyDescent="0.25">
      <c r="A45" s="177"/>
      <c r="B45" s="177"/>
      <c r="C45" s="173">
        <v>13</v>
      </c>
      <c r="D45" s="173">
        <v>13</v>
      </c>
      <c r="E45" s="174"/>
      <c r="F45" s="175"/>
      <c r="G45" s="176"/>
      <c r="H45" s="174"/>
      <c r="I45" s="174"/>
      <c r="J45" s="174"/>
      <c r="K45" s="174"/>
      <c r="L45" s="174"/>
      <c r="M45" s="175"/>
      <c r="O45">
        <v>0</v>
      </c>
    </row>
    <row r="46" spans="1:15" x14ac:dyDescent="0.25">
      <c r="A46" s="177"/>
      <c r="B46" s="177"/>
      <c r="C46" s="173">
        <v>14</v>
      </c>
      <c r="D46" s="173">
        <v>14</v>
      </c>
      <c r="E46" s="174"/>
      <c r="F46" s="175"/>
      <c r="G46" s="176"/>
      <c r="H46" s="174"/>
      <c r="I46" s="174"/>
      <c r="J46" s="174"/>
      <c r="K46" s="174"/>
      <c r="L46" s="174"/>
      <c r="M46" s="175"/>
      <c r="O46">
        <v>0</v>
      </c>
    </row>
    <row r="47" spans="1:15" x14ac:dyDescent="0.25">
      <c r="A47" s="179"/>
      <c r="B47" s="179"/>
      <c r="C47" s="173">
        <v>15</v>
      </c>
      <c r="D47" s="173">
        <v>15</v>
      </c>
      <c r="E47" s="174"/>
      <c r="F47" s="175"/>
      <c r="G47" s="176"/>
      <c r="H47" s="174"/>
      <c r="I47" s="174"/>
      <c r="J47" s="174"/>
      <c r="K47" s="174"/>
      <c r="L47" s="174"/>
      <c r="M47" s="175"/>
      <c r="O47">
        <v>0</v>
      </c>
    </row>
    <row r="49" spans="1:15" x14ac:dyDescent="0.25">
      <c r="A49" s="167" t="s">
        <v>864</v>
      </c>
      <c r="B49" s="167" t="s">
        <v>865</v>
      </c>
      <c r="C49" s="167" t="s">
        <v>210</v>
      </c>
      <c r="D49" s="167" t="s">
        <v>866</v>
      </c>
      <c r="E49" s="168" t="s">
        <v>867</v>
      </c>
      <c r="F49" s="169"/>
      <c r="G49" s="168" t="s">
        <v>868</v>
      </c>
      <c r="H49" s="170"/>
      <c r="I49" s="170"/>
      <c r="J49" s="170"/>
      <c r="K49" s="170"/>
      <c r="L49" s="170"/>
      <c r="M49" s="171"/>
    </row>
    <row r="50" spans="1:15" x14ac:dyDescent="0.25">
      <c r="A50" s="172">
        <v>1</v>
      </c>
      <c r="B50" s="172" t="s">
        <v>2</v>
      </c>
      <c r="C50" s="173">
        <v>16</v>
      </c>
      <c r="D50" s="173">
        <v>0</v>
      </c>
      <c r="E50" s="174" t="s">
        <v>966</v>
      </c>
      <c r="F50" s="175" t="s">
        <v>871</v>
      </c>
      <c r="G50" s="173" t="s">
        <v>872</v>
      </c>
      <c r="H50" s="174"/>
      <c r="I50" s="174"/>
      <c r="J50" s="174"/>
      <c r="K50" s="174"/>
      <c r="L50" s="174"/>
      <c r="M50" s="175"/>
      <c r="O50">
        <v>1</v>
      </c>
    </row>
    <row r="51" spans="1:15" x14ac:dyDescent="0.25">
      <c r="A51" s="177"/>
      <c r="B51" s="177"/>
      <c r="C51" s="173">
        <v>17</v>
      </c>
      <c r="D51" s="173">
        <v>1</v>
      </c>
      <c r="E51" s="174" t="s">
        <v>966</v>
      </c>
      <c r="F51" s="175" t="s">
        <v>873</v>
      </c>
      <c r="G51" s="173" t="s">
        <v>874</v>
      </c>
      <c r="H51" s="174"/>
      <c r="I51" s="174"/>
      <c r="J51" s="174"/>
      <c r="K51" s="174"/>
      <c r="L51" s="174"/>
      <c r="M51" s="175"/>
      <c r="O51">
        <v>1</v>
      </c>
    </row>
    <row r="52" spans="1:15" x14ac:dyDescent="0.25">
      <c r="A52" s="178"/>
      <c r="B52" s="177"/>
      <c r="C52" s="173">
        <v>18</v>
      </c>
      <c r="D52" s="173">
        <v>2</v>
      </c>
      <c r="E52" s="174" t="s">
        <v>966</v>
      </c>
      <c r="F52" s="175" t="s">
        <v>875</v>
      </c>
      <c r="G52" s="173" t="s">
        <v>876</v>
      </c>
      <c r="H52" s="174"/>
      <c r="I52" s="174" t="s">
        <v>877</v>
      </c>
      <c r="J52" s="174"/>
      <c r="K52" s="174"/>
      <c r="L52" s="174"/>
      <c r="M52" s="175"/>
      <c r="O52">
        <v>1</v>
      </c>
    </row>
    <row r="53" spans="1:15" x14ac:dyDescent="0.25">
      <c r="A53" s="177"/>
      <c r="B53" s="177"/>
      <c r="C53" s="173">
        <v>19</v>
      </c>
      <c r="D53" s="173">
        <v>3</v>
      </c>
      <c r="E53" s="174" t="s">
        <v>966</v>
      </c>
      <c r="F53" s="175" t="s">
        <v>878</v>
      </c>
      <c r="G53" s="176" t="s">
        <v>879</v>
      </c>
      <c r="H53" s="174"/>
      <c r="I53" s="174" t="s">
        <v>877</v>
      </c>
      <c r="J53" s="174"/>
      <c r="K53" s="174"/>
      <c r="L53" s="174"/>
      <c r="M53" s="175"/>
      <c r="O53">
        <v>1</v>
      </c>
    </row>
    <row r="54" spans="1:15" x14ac:dyDescent="0.25">
      <c r="A54" s="177"/>
      <c r="B54" s="177"/>
      <c r="C54" s="173">
        <v>20</v>
      </c>
      <c r="D54" s="173">
        <v>4</v>
      </c>
      <c r="E54" s="176"/>
      <c r="F54" s="175"/>
      <c r="G54" s="176"/>
      <c r="H54" s="174"/>
      <c r="I54" s="174"/>
      <c r="J54" s="174"/>
      <c r="K54" s="174"/>
      <c r="L54" s="174"/>
      <c r="M54" s="175"/>
      <c r="O54">
        <v>1</v>
      </c>
    </row>
    <row r="55" spans="1:15" x14ac:dyDescent="0.25">
      <c r="A55" s="177"/>
      <c r="B55" s="177"/>
      <c r="C55" s="173">
        <v>21</v>
      </c>
      <c r="D55" s="173">
        <v>5</v>
      </c>
      <c r="E55" s="176"/>
      <c r="F55" s="175"/>
      <c r="G55" s="176"/>
      <c r="H55" s="174"/>
      <c r="I55" s="174"/>
      <c r="J55" s="174"/>
      <c r="K55" s="174"/>
      <c r="L55" s="174"/>
      <c r="M55" s="175"/>
      <c r="O55">
        <v>1</v>
      </c>
    </row>
    <row r="56" spans="1:15" x14ac:dyDescent="0.25">
      <c r="A56" s="177"/>
      <c r="B56" s="177"/>
      <c r="C56" s="173">
        <v>22</v>
      </c>
      <c r="D56" s="173">
        <v>6</v>
      </c>
      <c r="E56" s="176"/>
      <c r="F56" s="175"/>
      <c r="G56" s="176"/>
      <c r="H56" s="174"/>
      <c r="I56" s="174"/>
      <c r="J56" s="174"/>
      <c r="K56" s="174"/>
      <c r="L56" s="174"/>
      <c r="M56" s="175"/>
      <c r="O56">
        <v>1</v>
      </c>
    </row>
    <row r="57" spans="1:15" x14ac:dyDescent="0.25">
      <c r="A57" s="177"/>
      <c r="B57" s="177"/>
      <c r="C57" s="173">
        <v>23</v>
      </c>
      <c r="D57" s="173">
        <v>7</v>
      </c>
      <c r="E57" s="176"/>
      <c r="F57" s="175"/>
      <c r="G57" s="176"/>
      <c r="H57" s="174"/>
      <c r="I57" s="174"/>
      <c r="J57" s="174"/>
      <c r="K57" s="174"/>
      <c r="L57" s="174"/>
      <c r="M57" s="175"/>
      <c r="O57">
        <v>1</v>
      </c>
    </row>
    <row r="58" spans="1:15" x14ac:dyDescent="0.25">
      <c r="A58" s="177"/>
      <c r="B58" s="177"/>
      <c r="C58" s="173">
        <v>24</v>
      </c>
      <c r="D58" s="173">
        <v>8</v>
      </c>
      <c r="E58" s="174"/>
      <c r="F58" s="175"/>
      <c r="G58" s="176"/>
      <c r="H58" s="174"/>
      <c r="I58" s="174"/>
      <c r="J58" s="174"/>
      <c r="K58" s="174"/>
      <c r="L58" s="174"/>
      <c r="M58" s="175"/>
      <c r="O58">
        <v>0</v>
      </c>
    </row>
    <row r="59" spans="1:15" x14ac:dyDescent="0.25">
      <c r="A59" s="177"/>
      <c r="B59" s="177"/>
      <c r="C59" s="173">
        <v>25</v>
      </c>
      <c r="D59" s="173">
        <v>9</v>
      </c>
      <c r="E59" s="180"/>
      <c r="F59" s="181"/>
      <c r="G59" s="182"/>
      <c r="H59" s="174"/>
      <c r="I59" s="174"/>
      <c r="J59" s="174"/>
      <c r="K59" s="174"/>
      <c r="L59" s="174"/>
      <c r="M59" s="175"/>
      <c r="O59">
        <v>0</v>
      </c>
    </row>
    <row r="60" spans="1:15" x14ac:dyDescent="0.25">
      <c r="A60" s="177"/>
      <c r="B60" s="177"/>
      <c r="C60" s="173">
        <v>26</v>
      </c>
      <c r="D60" s="173">
        <v>10</v>
      </c>
      <c r="E60" s="180"/>
      <c r="F60" s="181"/>
      <c r="G60" s="182"/>
      <c r="H60" s="174"/>
      <c r="I60" s="174"/>
      <c r="J60" s="174"/>
      <c r="K60" s="174"/>
      <c r="L60" s="174"/>
      <c r="M60" s="175"/>
      <c r="O60">
        <v>0</v>
      </c>
    </row>
    <row r="61" spans="1:15" x14ac:dyDescent="0.25">
      <c r="A61" s="177"/>
      <c r="B61" s="177"/>
      <c r="C61" s="173">
        <v>27</v>
      </c>
      <c r="D61" s="173">
        <v>11</v>
      </c>
      <c r="E61" s="180"/>
      <c r="F61" s="181"/>
      <c r="G61" s="182"/>
      <c r="H61" s="174"/>
      <c r="I61" s="174"/>
      <c r="J61" s="174"/>
      <c r="K61" s="174"/>
      <c r="L61" s="174"/>
      <c r="M61" s="175"/>
      <c r="O61">
        <v>0</v>
      </c>
    </row>
    <row r="62" spans="1:15" x14ac:dyDescent="0.25">
      <c r="A62" s="177"/>
      <c r="B62" s="177"/>
      <c r="C62" s="173">
        <v>28</v>
      </c>
      <c r="D62" s="173">
        <v>12</v>
      </c>
      <c r="E62" s="180"/>
      <c r="F62" s="181"/>
      <c r="G62" s="183"/>
      <c r="H62" s="174"/>
      <c r="I62" s="174"/>
      <c r="J62" s="174"/>
      <c r="K62" s="174"/>
      <c r="L62" s="174"/>
      <c r="M62" s="175"/>
      <c r="O62">
        <v>0</v>
      </c>
    </row>
    <row r="63" spans="1:15" x14ac:dyDescent="0.25">
      <c r="A63" s="177"/>
      <c r="B63" s="177"/>
      <c r="C63" s="173">
        <v>29</v>
      </c>
      <c r="D63" s="173">
        <v>13</v>
      </c>
      <c r="E63" s="180"/>
      <c r="F63" s="181"/>
      <c r="G63" s="183"/>
      <c r="H63" s="174"/>
      <c r="I63" s="174"/>
      <c r="J63" s="174"/>
      <c r="K63" s="174"/>
      <c r="L63" s="174"/>
      <c r="M63" s="175"/>
      <c r="O63">
        <v>0</v>
      </c>
    </row>
    <row r="64" spans="1:15" x14ac:dyDescent="0.25">
      <c r="A64" s="177"/>
      <c r="B64" s="177"/>
      <c r="C64" s="173">
        <v>30</v>
      </c>
      <c r="D64" s="173">
        <v>14</v>
      </c>
      <c r="E64" s="180"/>
      <c r="F64" s="181"/>
      <c r="G64" s="184"/>
      <c r="H64" s="174"/>
      <c r="I64" s="174"/>
      <c r="J64" s="174"/>
      <c r="K64" s="174"/>
      <c r="L64" s="174"/>
      <c r="M64" s="175"/>
      <c r="O64">
        <v>0</v>
      </c>
    </row>
    <row r="65" spans="1:15" x14ac:dyDescent="0.25">
      <c r="A65" s="179"/>
      <c r="B65" s="179"/>
      <c r="C65" s="173">
        <v>31</v>
      </c>
      <c r="D65" s="173">
        <v>15</v>
      </c>
      <c r="E65" s="180"/>
      <c r="F65" s="181"/>
      <c r="G65" s="176"/>
      <c r="H65" s="174"/>
      <c r="I65" s="174"/>
      <c r="J65" s="174"/>
      <c r="K65" s="174"/>
      <c r="L65" s="174"/>
      <c r="M65" s="175"/>
      <c r="O65">
        <v>0</v>
      </c>
    </row>
    <row r="67" spans="1:15" x14ac:dyDescent="0.25">
      <c r="A67" s="167" t="s">
        <v>864</v>
      </c>
      <c r="B67" s="167" t="s">
        <v>865</v>
      </c>
      <c r="C67" s="167" t="s">
        <v>210</v>
      </c>
      <c r="D67" s="167" t="s">
        <v>866</v>
      </c>
      <c r="E67" s="168" t="s">
        <v>867</v>
      </c>
      <c r="F67" s="169"/>
      <c r="G67" s="168" t="s">
        <v>868</v>
      </c>
      <c r="H67" s="170"/>
      <c r="I67" s="170"/>
      <c r="J67" s="170"/>
      <c r="K67" s="170"/>
      <c r="L67" s="170"/>
      <c r="M67" s="171"/>
    </row>
    <row r="68" spans="1:15" x14ac:dyDescent="0.25">
      <c r="A68" s="172">
        <v>2</v>
      </c>
      <c r="B68" s="172" t="s">
        <v>2</v>
      </c>
      <c r="C68" s="173">
        <v>32</v>
      </c>
      <c r="D68" s="173">
        <v>0</v>
      </c>
      <c r="E68" s="174" t="s">
        <v>966</v>
      </c>
      <c r="F68" s="175" t="s">
        <v>880</v>
      </c>
      <c r="G68" s="176" t="s">
        <v>881</v>
      </c>
      <c r="H68" s="174"/>
      <c r="I68" s="174" t="s">
        <v>877</v>
      </c>
      <c r="J68" s="174"/>
      <c r="K68" s="174"/>
      <c r="L68" s="174"/>
      <c r="M68" s="175"/>
      <c r="O68">
        <v>1</v>
      </c>
    </row>
    <row r="69" spans="1:15" x14ac:dyDescent="0.25">
      <c r="A69" s="177"/>
      <c r="B69" s="177"/>
      <c r="C69" s="173">
        <v>33</v>
      </c>
      <c r="D69" s="173">
        <v>1</v>
      </c>
      <c r="E69" s="174" t="s">
        <v>966</v>
      </c>
      <c r="F69" s="185" t="s">
        <v>882</v>
      </c>
      <c r="G69" s="176" t="s">
        <v>883</v>
      </c>
      <c r="H69" s="174"/>
      <c r="I69" s="174" t="s">
        <v>884</v>
      </c>
      <c r="J69" s="174"/>
      <c r="K69" s="174"/>
      <c r="L69" s="174"/>
      <c r="M69" s="175"/>
      <c r="O69">
        <v>1</v>
      </c>
    </row>
    <row r="70" spans="1:15" x14ac:dyDescent="0.25">
      <c r="A70" s="178"/>
      <c r="B70" s="177"/>
      <c r="C70" s="173">
        <v>34</v>
      </c>
      <c r="D70" s="173">
        <v>2</v>
      </c>
      <c r="E70" s="174" t="s">
        <v>966</v>
      </c>
      <c r="F70" s="185" t="s">
        <v>885</v>
      </c>
      <c r="G70" s="176" t="s">
        <v>886</v>
      </c>
      <c r="H70" s="174"/>
      <c r="I70" s="174" t="s">
        <v>884</v>
      </c>
      <c r="J70" s="174"/>
      <c r="K70" s="174"/>
      <c r="L70" s="174"/>
      <c r="M70" s="175"/>
      <c r="O70">
        <v>1</v>
      </c>
    </row>
    <row r="71" spans="1:15" x14ac:dyDescent="0.25">
      <c r="A71" s="177"/>
      <c r="B71" s="177"/>
      <c r="C71" s="173">
        <v>35</v>
      </c>
      <c r="D71" s="173">
        <v>3</v>
      </c>
      <c r="E71" s="174" t="s">
        <v>966</v>
      </c>
      <c r="F71" s="185" t="s">
        <v>887</v>
      </c>
      <c r="G71" s="176" t="s">
        <v>888</v>
      </c>
      <c r="H71" s="174"/>
      <c r="I71" s="174" t="s">
        <v>884</v>
      </c>
      <c r="J71" s="174"/>
      <c r="K71" s="174"/>
      <c r="L71" s="174"/>
      <c r="M71" s="175"/>
      <c r="O71">
        <v>1</v>
      </c>
    </row>
    <row r="72" spans="1:15" x14ac:dyDescent="0.25">
      <c r="A72" s="177"/>
      <c r="B72" s="177"/>
      <c r="C72" s="173">
        <v>36</v>
      </c>
      <c r="D72" s="173">
        <v>4</v>
      </c>
      <c r="E72" s="176"/>
      <c r="F72" s="175"/>
      <c r="G72" s="176"/>
      <c r="H72" s="174"/>
      <c r="I72" s="174"/>
      <c r="J72" s="174"/>
      <c r="K72" s="174"/>
      <c r="L72" s="174"/>
      <c r="M72" s="175"/>
      <c r="O72">
        <v>1</v>
      </c>
    </row>
    <row r="73" spans="1:15" x14ac:dyDescent="0.25">
      <c r="A73" s="177"/>
      <c r="B73" s="177"/>
      <c r="C73" s="173">
        <v>37</v>
      </c>
      <c r="D73" s="173">
        <v>5</v>
      </c>
      <c r="E73" s="176"/>
      <c r="F73" s="175"/>
      <c r="G73" s="176"/>
      <c r="H73" s="174"/>
      <c r="I73" s="174"/>
      <c r="J73" s="174"/>
      <c r="K73" s="174"/>
      <c r="L73" s="174"/>
      <c r="M73" s="175"/>
      <c r="O73">
        <v>1</v>
      </c>
    </row>
    <row r="74" spans="1:15" x14ac:dyDescent="0.25">
      <c r="A74" s="177"/>
      <c r="B74" s="177"/>
      <c r="C74" s="173">
        <v>38</v>
      </c>
      <c r="D74" s="173">
        <v>6</v>
      </c>
      <c r="E74" s="176"/>
      <c r="F74" s="175"/>
      <c r="G74" s="176"/>
      <c r="H74" s="174"/>
      <c r="I74" s="174"/>
      <c r="J74" s="174"/>
      <c r="K74" s="527"/>
      <c r="L74" s="174"/>
      <c r="M74" s="175"/>
      <c r="O74">
        <v>1</v>
      </c>
    </row>
    <row r="75" spans="1:15" x14ac:dyDescent="0.25">
      <c r="A75" s="177"/>
      <c r="B75" s="177"/>
      <c r="C75" s="173">
        <v>39</v>
      </c>
      <c r="D75" s="173">
        <v>7</v>
      </c>
      <c r="E75" s="176"/>
      <c r="F75" s="175"/>
      <c r="G75" s="176"/>
      <c r="H75" s="174"/>
      <c r="I75" s="174"/>
      <c r="J75" s="174"/>
      <c r="K75" s="528"/>
      <c r="L75" s="174"/>
      <c r="M75" s="175"/>
      <c r="O75">
        <v>1</v>
      </c>
    </row>
    <row r="76" spans="1:15" x14ac:dyDescent="0.25">
      <c r="A76" s="177"/>
      <c r="B76" s="177"/>
      <c r="C76" s="173">
        <v>40</v>
      </c>
      <c r="D76" s="173">
        <v>8</v>
      </c>
      <c r="E76" s="176"/>
      <c r="F76" s="175"/>
      <c r="G76" s="176"/>
      <c r="H76" s="174"/>
      <c r="I76" s="174"/>
      <c r="J76" s="174"/>
      <c r="K76" s="174"/>
      <c r="L76" s="174"/>
      <c r="M76" s="175"/>
      <c r="O76">
        <v>1</v>
      </c>
    </row>
    <row r="77" spans="1:15" x14ac:dyDescent="0.25">
      <c r="A77" s="177"/>
      <c r="B77" s="177"/>
      <c r="C77" s="173">
        <v>41</v>
      </c>
      <c r="D77" s="173">
        <v>9</v>
      </c>
      <c r="E77" s="176"/>
      <c r="F77" s="175"/>
      <c r="G77" s="176"/>
      <c r="H77" s="174"/>
      <c r="I77" s="174"/>
      <c r="J77" s="174"/>
      <c r="K77" s="527"/>
      <c r="L77" s="174"/>
      <c r="M77" s="175"/>
      <c r="O77">
        <v>1</v>
      </c>
    </row>
    <row r="78" spans="1:15" x14ac:dyDescent="0.25">
      <c r="A78" s="177"/>
      <c r="B78" s="177"/>
      <c r="C78" s="173">
        <v>42</v>
      </c>
      <c r="D78" s="173">
        <v>10</v>
      </c>
      <c r="E78" s="176"/>
      <c r="F78" s="175"/>
      <c r="G78" s="176"/>
      <c r="H78" s="174"/>
      <c r="I78" s="174"/>
      <c r="J78" s="174"/>
      <c r="K78" s="528"/>
      <c r="L78" s="174"/>
      <c r="M78" s="175"/>
      <c r="O78">
        <v>1</v>
      </c>
    </row>
    <row r="79" spans="1:15" x14ac:dyDescent="0.25">
      <c r="A79" s="177"/>
      <c r="B79" s="177"/>
      <c r="C79" s="173">
        <v>43</v>
      </c>
      <c r="D79" s="173">
        <v>11</v>
      </c>
      <c r="E79" s="176"/>
      <c r="F79" s="175"/>
      <c r="G79" s="176"/>
      <c r="H79" s="174"/>
      <c r="I79" s="174"/>
      <c r="J79" s="174"/>
      <c r="K79" s="174"/>
      <c r="L79" s="174"/>
      <c r="M79" s="175"/>
      <c r="O79">
        <v>1</v>
      </c>
    </row>
    <row r="80" spans="1:15" x14ac:dyDescent="0.25">
      <c r="A80" s="177"/>
      <c r="B80" s="177"/>
      <c r="C80" s="173">
        <v>44</v>
      </c>
      <c r="D80" s="173">
        <v>12</v>
      </c>
      <c r="E80" s="176"/>
      <c r="F80" s="175"/>
      <c r="G80" s="176"/>
      <c r="H80" s="174"/>
      <c r="I80" s="174"/>
      <c r="J80" s="174"/>
      <c r="K80" s="174"/>
      <c r="L80" s="174"/>
      <c r="M80" s="175"/>
      <c r="O80">
        <v>1</v>
      </c>
    </row>
    <row r="81" spans="1:15" x14ac:dyDescent="0.25">
      <c r="A81" s="177"/>
      <c r="B81" s="177"/>
      <c r="C81" s="173">
        <v>45</v>
      </c>
      <c r="D81" s="173">
        <v>13</v>
      </c>
      <c r="E81" s="176"/>
      <c r="F81" s="175"/>
      <c r="G81" s="176"/>
      <c r="H81" s="174"/>
      <c r="I81" s="174"/>
      <c r="J81" s="174"/>
      <c r="K81" s="174"/>
      <c r="L81" s="174"/>
      <c r="M81" s="175"/>
      <c r="O81">
        <v>1</v>
      </c>
    </row>
    <row r="82" spans="1:15" x14ac:dyDescent="0.25">
      <c r="A82" s="177"/>
      <c r="B82" s="177"/>
      <c r="C82" s="173">
        <v>46</v>
      </c>
      <c r="D82" s="173">
        <v>14</v>
      </c>
      <c r="E82" s="176"/>
      <c r="F82" s="175"/>
      <c r="G82" s="176"/>
      <c r="H82" s="174"/>
      <c r="I82" s="174"/>
      <c r="J82" s="174"/>
      <c r="K82" s="174"/>
      <c r="L82" s="174"/>
      <c r="M82" s="175"/>
      <c r="O82">
        <v>1</v>
      </c>
    </row>
    <row r="83" spans="1:15" x14ac:dyDescent="0.25">
      <c r="A83" s="179"/>
      <c r="B83" s="179"/>
      <c r="C83" s="173">
        <v>47</v>
      </c>
      <c r="D83" s="173">
        <v>15</v>
      </c>
      <c r="E83" s="176"/>
      <c r="F83" s="175"/>
      <c r="G83" s="176"/>
      <c r="H83" s="174"/>
      <c r="I83" s="174"/>
      <c r="J83" s="174"/>
      <c r="K83" s="174"/>
      <c r="L83" s="174"/>
      <c r="M83" s="175"/>
      <c r="O83">
        <v>1</v>
      </c>
    </row>
    <row r="85" spans="1:15" x14ac:dyDescent="0.25">
      <c r="A85" s="167" t="s">
        <v>864</v>
      </c>
      <c r="B85" s="167" t="s">
        <v>865</v>
      </c>
      <c r="C85" s="167" t="s">
        <v>210</v>
      </c>
      <c r="D85" s="167" t="s">
        <v>866</v>
      </c>
      <c r="E85" s="168" t="s">
        <v>867</v>
      </c>
      <c r="F85" s="169"/>
      <c r="G85" s="168" t="s">
        <v>868</v>
      </c>
      <c r="H85" s="170"/>
      <c r="I85" s="170"/>
      <c r="J85" s="170"/>
      <c r="K85" s="170"/>
      <c r="L85" s="170"/>
      <c r="M85" s="171"/>
    </row>
    <row r="86" spans="1:15" x14ac:dyDescent="0.25">
      <c r="A86" s="172">
        <v>3</v>
      </c>
      <c r="B86" s="172" t="s">
        <v>2</v>
      </c>
      <c r="C86" s="173">
        <v>48</v>
      </c>
      <c r="D86" s="173">
        <v>0</v>
      </c>
      <c r="E86" s="174" t="s">
        <v>966</v>
      </c>
      <c r="F86" s="185" t="s">
        <v>889</v>
      </c>
      <c r="G86" s="173" t="s">
        <v>890</v>
      </c>
      <c r="H86" s="174"/>
      <c r="I86" s="174" t="s">
        <v>884</v>
      </c>
      <c r="J86" s="174"/>
      <c r="K86" s="174"/>
      <c r="L86" s="174"/>
      <c r="M86" s="175"/>
      <c r="O86">
        <v>1</v>
      </c>
    </row>
    <row r="87" spans="1:15" x14ac:dyDescent="0.25">
      <c r="A87" s="177"/>
      <c r="B87" s="177"/>
      <c r="C87" s="173">
        <v>49</v>
      </c>
      <c r="D87" s="173">
        <v>1</v>
      </c>
      <c r="E87" s="174" t="s">
        <v>966</v>
      </c>
      <c r="F87" s="185" t="s">
        <v>891</v>
      </c>
      <c r="G87" s="176" t="s">
        <v>892</v>
      </c>
      <c r="H87" s="174"/>
      <c r="I87" s="174" t="s">
        <v>884</v>
      </c>
      <c r="J87" s="174"/>
      <c r="K87" s="174"/>
      <c r="L87" s="174"/>
      <c r="M87" s="175"/>
      <c r="O87">
        <v>1</v>
      </c>
    </row>
    <row r="88" spans="1:15" x14ac:dyDescent="0.25">
      <c r="A88" s="178"/>
      <c r="B88" s="177"/>
      <c r="C88" s="173">
        <v>50</v>
      </c>
      <c r="D88" s="173">
        <v>2</v>
      </c>
      <c r="E88" s="174" t="s">
        <v>966</v>
      </c>
      <c r="F88" s="185" t="s">
        <v>893</v>
      </c>
      <c r="G88" s="176" t="s">
        <v>894</v>
      </c>
      <c r="H88" s="174"/>
      <c r="I88" s="174" t="s">
        <v>884</v>
      </c>
      <c r="J88" s="174"/>
      <c r="K88" s="174"/>
      <c r="L88" s="174"/>
      <c r="M88" s="175"/>
      <c r="O88">
        <v>1</v>
      </c>
    </row>
    <row r="89" spans="1:15" x14ac:dyDescent="0.25">
      <c r="A89" s="177"/>
      <c r="B89" s="177"/>
      <c r="C89" s="173">
        <v>51</v>
      </c>
      <c r="D89" s="173">
        <v>3</v>
      </c>
      <c r="E89" s="174" t="s">
        <v>966</v>
      </c>
      <c r="F89" s="185" t="s">
        <v>895</v>
      </c>
      <c r="G89" s="173" t="s">
        <v>896</v>
      </c>
      <c r="H89" s="174"/>
      <c r="I89" s="174" t="s">
        <v>884</v>
      </c>
      <c r="J89" s="174"/>
      <c r="K89" s="174"/>
      <c r="L89" s="174"/>
      <c r="M89" s="175"/>
      <c r="O89">
        <v>1</v>
      </c>
    </row>
    <row r="90" spans="1:15" x14ac:dyDescent="0.25">
      <c r="A90" s="177"/>
      <c r="B90" s="177"/>
      <c r="C90" s="173">
        <v>52</v>
      </c>
      <c r="D90" s="173">
        <v>4</v>
      </c>
      <c r="E90" s="176"/>
      <c r="F90" s="175"/>
      <c r="G90" s="174"/>
      <c r="H90" s="174"/>
      <c r="I90" s="174"/>
      <c r="J90" s="174"/>
      <c r="K90" s="174"/>
      <c r="L90" s="174"/>
      <c r="M90" s="175"/>
      <c r="O90">
        <v>1</v>
      </c>
    </row>
    <row r="91" spans="1:15" x14ac:dyDescent="0.25">
      <c r="A91" s="177"/>
      <c r="B91" s="177"/>
      <c r="C91" s="173">
        <v>53</v>
      </c>
      <c r="D91" s="173">
        <v>5</v>
      </c>
      <c r="E91" s="176"/>
      <c r="F91" s="175"/>
      <c r="G91" s="174"/>
      <c r="H91" s="174"/>
      <c r="I91" s="174"/>
      <c r="J91" s="174"/>
      <c r="K91" s="174"/>
      <c r="L91" s="174"/>
      <c r="M91" s="175"/>
      <c r="O91">
        <v>1</v>
      </c>
    </row>
    <row r="92" spans="1:15" x14ac:dyDescent="0.25">
      <c r="A92" s="177"/>
      <c r="B92" s="177"/>
      <c r="C92" s="173">
        <v>54</v>
      </c>
      <c r="D92" s="173">
        <v>6</v>
      </c>
      <c r="E92" s="176"/>
      <c r="F92" s="175"/>
      <c r="G92" s="174"/>
      <c r="H92" s="174"/>
      <c r="I92" s="174"/>
      <c r="J92" s="174"/>
      <c r="K92" s="174"/>
      <c r="L92" s="174"/>
      <c r="M92" s="175"/>
      <c r="O92">
        <v>1</v>
      </c>
    </row>
    <row r="93" spans="1:15" x14ac:dyDescent="0.25">
      <c r="A93" s="177"/>
      <c r="B93" s="177"/>
      <c r="C93" s="173">
        <v>55</v>
      </c>
      <c r="D93" s="173">
        <v>7</v>
      </c>
      <c r="E93" s="176"/>
      <c r="F93" s="175"/>
      <c r="G93" s="174"/>
      <c r="H93" s="174"/>
      <c r="I93" s="174"/>
      <c r="J93" s="174"/>
      <c r="K93" s="174"/>
      <c r="L93" s="174"/>
      <c r="M93" s="175"/>
      <c r="O93">
        <v>1</v>
      </c>
    </row>
    <row r="94" spans="1:15" x14ac:dyDescent="0.25">
      <c r="A94" s="177"/>
      <c r="B94" s="177"/>
      <c r="C94" s="173">
        <v>56</v>
      </c>
      <c r="D94" s="173">
        <v>8</v>
      </c>
      <c r="E94" s="176"/>
      <c r="F94" s="175"/>
      <c r="G94" s="174"/>
      <c r="H94" s="174"/>
      <c r="I94" s="174"/>
      <c r="J94" s="174"/>
      <c r="K94" s="174"/>
      <c r="L94" s="174"/>
      <c r="M94" s="175"/>
      <c r="O94">
        <v>1</v>
      </c>
    </row>
    <row r="95" spans="1:15" x14ac:dyDescent="0.25">
      <c r="A95" s="177"/>
      <c r="B95" s="177"/>
      <c r="C95" s="173">
        <v>57</v>
      </c>
      <c r="D95" s="173">
        <v>9</v>
      </c>
      <c r="E95" s="176"/>
      <c r="F95" s="175"/>
      <c r="G95" s="174"/>
      <c r="H95" s="174"/>
      <c r="I95" s="174"/>
      <c r="J95" s="174"/>
      <c r="K95" s="174"/>
      <c r="L95" s="174"/>
      <c r="M95" s="175"/>
      <c r="O95">
        <v>1</v>
      </c>
    </row>
    <row r="96" spans="1:15" x14ac:dyDescent="0.25">
      <c r="A96" s="177"/>
      <c r="B96" s="177"/>
      <c r="C96" s="173">
        <v>58</v>
      </c>
      <c r="D96" s="173">
        <v>10</v>
      </c>
      <c r="E96" s="176"/>
      <c r="F96" s="175"/>
      <c r="G96" s="174"/>
      <c r="H96" s="174"/>
      <c r="I96" s="174"/>
      <c r="J96" s="174"/>
      <c r="K96" s="174"/>
      <c r="L96" s="174"/>
      <c r="M96" s="175"/>
      <c r="O96">
        <v>1</v>
      </c>
    </row>
    <row r="97" spans="1:15" x14ac:dyDescent="0.25">
      <c r="A97" s="177"/>
      <c r="B97" s="177"/>
      <c r="C97" s="173">
        <v>59</v>
      </c>
      <c r="D97" s="173">
        <v>11</v>
      </c>
      <c r="E97" s="176"/>
      <c r="F97" s="175"/>
      <c r="G97" s="174"/>
      <c r="H97" s="174"/>
      <c r="I97" s="174"/>
      <c r="J97" s="174"/>
      <c r="K97" s="174"/>
      <c r="L97" s="174"/>
      <c r="M97" s="175"/>
      <c r="O97">
        <v>1</v>
      </c>
    </row>
    <row r="98" spans="1:15" x14ac:dyDescent="0.25">
      <c r="A98" s="177"/>
      <c r="B98" s="177"/>
      <c r="C98" s="173">
        <v>60</v>
      </c>
      <c r="D98" s="173">
        <v>12</v>
      </c>
      <c r="E98" s="176"/>
      <c r="F98" s="175"/>
      <c r="G98" s="174"/>
      <c r="H98" s="174"/>
      <c r="I98" s="174"/>
      <c r="J98" s="186"/>
      <c r="K98" s="174"/>
      <c r="L98" s="174"/>
      <c r="M98" s="175"/>
      <c r="O98">
        <v>1</v>
      </c>
    </row>
    <row r="99" spans="1:15" x14ac:dyDescent="0.25">
      <c r="A99" s="177"/>
      <c r="B99" s="177"/>
      <c r="C99" s="173">
        <v>61</v>
      </c>
      <c r="D99" s="173">
        <v>13</v>
      </c>
      <c r="E99" s="176"/>
      <c r="F99" s="175"/>
      <c r="G99" s="174"/>
      <c r="H99" s="174"/>
      <c r="I99" s="174"/>
      <c r="J99" s="186"/>
      <c r="K99" s="174"/>
      <c r="L99" s="174"/>
      <c r="M99" s="175"/>
      <c r="O99">
        <v>1</v>
      </c>
    </row>
    <row r="100" spans="1:15" x14ac:dyDescent="0.25">
      <c r="A100" s="177"/>
      <c r="B100" s="177"/>
      <c r="C100" s="173">
        <v>62</v>
      </c>
      <c r="D100" s="173">
        <v>14</v>
      </c>
      <c r="E100" s="176"/>
      <c r="F100" s="175"/>
      <c r="G100" s="174"/>
      <c r="H100" s="174"/>
      <c r="I100" s="174"/>
      <c r="J100" s="186"/>
      <c r="K100" s="174"/>
      <c r="L100" s="174"/>
      <c r="M100" s="175"/>
      <c r="O100">
        <v>1</v>
      </c>
    </row>
    <row r="101" spans="1:15" x14ac:dyDescent="0.25">
      <c r="A101" s="179"/>
      <c r="B101" s="179"/>
      <c r="C101" s="173">
        <v>63</v>
      </c>
      <c r="D101" s="173">
        <v>15</v>
      </c>
      <c r="E101" s="176"/>
      <c r="F101" s="175"/>
      <c r="G101" s="174"/>
      <c r="H101" s="174"/>
      <c r="I101" s="174"/>
      <c r="J101" s="186"/>
      <c r="K101" s="174"/>
      <c r="L101" s="174"/>
      <c r="M101" s="175"/>
      <c r="O101">
        <v>1</v>
      </c>
    </row>
    <row r="102" spans="1:15" x14ac:dyDescent="0.25">
      <c r="E102" s="176"/>
      <c r="F102" s="174"/>
      <c r="G102" s="174"/>
      <c r="H102" s="174"/>
      <c r="I102" s="174"/>
    </row>
    <row r="103" spans="1:15" x14ac:dyDescent="0.25">
      <c r="A103" s="167" t="s">
        <v>864</v>
      </c>
      <c r="B103" s="167" t="s">
        <v>865</v>
      </c>
      <c r="C103" s="167" t="s">
        <v>210</v>
      </c>
      <c r="D103" s="167" t="s">
        <v>866</v>
      </c>
      <c r="E103" s="168" t="s">
        <v>867</v>
      </c>
      <c r="F103" s="169"/>
      <c r="G103" s="168" t="s">
        <v>868</v>
      </c>
      <c r="H103" s="170"/>
      <c r="I103" s="170"/>
      <c r="J103" s="170"/>
      <c r="K103" s="170"/>
      <c r="L103" s="170"/>
      <c r="M103" s="171"/>
    </row>
    <row r="104" spans="1:15" x14ac:dyDescent="0.25">
      <c r="A104" s="172">
        <v>4</v>
      </c>
      <c r="B104" s="172" t="s">
        <v>2</v>
      </c>
      <c r="C104" s="173">
        <v>64</v>
      </c>
      <c r="D104" s="173">
        <v>0</v>
      </c>
      <c r="E104" s="174" t="s">
        <v>966</v>
      </c>
      <c r="F104" s="185" t="s">
        <v>897</v>
      </c>
      <c r="G104" s="176" t="s">
        <v>898</v>
      </c>
      <c r="H104" s="174"/>
      <c r="I104" s="174" t="s">
        <v>884</v>
      </c>
      <c r="J104" s="174"/>
      <c r="K104" s="174"/>
      <c r="L104" s="174"/>
      <c r="M104" s="175"/>
      <c r="O104">
        <v>1</v>
      </c>
    </row>
    <row r="105" spans="1:15" x14ac:dyDescent="0.25">
      <c r="A105" s="177"/>
      <c r="B105" s="177"/>
      <c r="C105" s="173">
        <v>65</v>
      </c>
      <c r="D105" s="173">
        <v>1</v>
      </c>
      <c r="E105" s="174" t="s">
        <v>966</v>
      </c>
      <c r="F105" s="185" t="s">
        <v>899</v>
      </c>
      <c r="G105" s="176" t="s">
        <v>900</v>
      </c>
      <c r="H105" s="174"/>
      <c r="I105" s="174" t="s">
        <v>884</v>
      </c>
      <c r="J105" s="174"/>
      <c r="K105" s="174"/>
      <c r="L105" s="174"/>
      <c r="M105" s="175"/>
      <c r="O105">
        <v>1</v>
      </c>
    </row>
    <row r="106" spans="1:15" x14ac:dyDescent="0.25">
      <c r="A106" s="178"/>
      <c r="B106" s="177"/>
      <c r="C106" s="173">
        <v>66</v>
      </c>
      <c r="D106" s="173">
        <v>2</v>
      </c>
      <c r="E106" s="174" t="s">
        <v>966</v>
      </c>
      <c r="F106" s="185"/>
      <c r="G106" s="176" t="s">
        <v>869</v>
      </c>
      <c r="H106" s="174"/>
      <c r="I106" s="174"/>
      <c r="J106" s="174"/>
      <c r="K106" s="174"/>
      <c r="L106" s="174"/>
      <c r="M106" s="175"/>
      <c r="O106">
        <v>1</v>
      </c>
    </row>
    <row r="107" spans="1:15" x14ac:dyDescent="0.25">
      <c r="A107" s="177"/>
      <c r="B107" s="177"/>
      <c r="C107" s="173">
        <v>67</v>
      </c>
      <c r="D107" s="173">
        <v>3</v>
      </c>
      <c r="E107" s="174" t="s">
        <v>966</v>
      </c>
      <c r="F107" s="185"/>
      <c r="G107" s="176" t="s">
        <v>869</v>
      </c>
      <c r="H107" s="174"/>
      <c r="I107" s="174"/>
      <c r="J107" s="174"/>
      <c r="K107" s="174"/>
      <c r="L107" s="174"/>
      <c r="M107" s="175"/>
      <c r="O107">
        <v>1</v>
      </c>
    </row>
    <row r="108" spans="1:15" x14ac:dyDescent="0.25">
      <c r="A108" s="177"/>
      <c r="B108" s="177"/>
      <c r="C108" s="173">
        <v>68</v>
      </c>
      <c r="D108" s="173">
        <v>4</v>
      </c>
      <c r="E108" s="174" t="s">
        <v>966</v>
      </c>
      <c r="F108" s="185"/>
      <c r="G108" s="176"/>
      <c r="H108" s="174"/>
      <c r="I108" s="174"/>
      <c r="J108" s="174"/>
      <c r="K108" s="174"/>
      <c r="L108" s="174"/>
      <c r="M108" s="175"/>
      <c r="O108">
        <v>1</v>
      </c>
    </row>
    <row r="109" spans="1:15" x14ac:dyDescent="0.25">
      <c r="A109" s="177"/>
      <c r="B109" s="177"/>
      <c r="C109" s="173">
        <v>69</v>
      </c>
      <c r="D109" s="173">
        <v>5</v>
      </c>
      <c r="E109" s="174" t="s">
        <v>966</v>
      </c>
      <c r="F109" s="185"/>
      <c r="G109" s="176"/>
      <c r="H109" s="174"/>
      <c r="I109" s="174"/>
      <c r="J109" s="174"/>
      <c r="K109" s="174"/>
      <c r="L109" s="174"/>
      <c r="M109" s="175"/>
      <c r="O109">
        <v>1</v>
      </c>
    </row>
    <row r="110" spans="1:15" x14ac:dyDescent="0.25">
      <c r="A110" s="177"/>
      <c r="B110" s="177"/>
      <c r="C110" s="173">
        <v>70</v>
      </c>
      <c r="D110" s="173">
        <v>6</v>
      </c>
      <c r="E110" s="174" t="s">
        <v>966</v>
      </c>
      <c r="F110" s="185"/>
      <c r="G110" s="176"/>
      <c r="H110" s="174"/>
      <c r="I110" s="174"/>
      <c r="J110" s="174"/>
      <c r="K110" s="174"/>
      <c r="L110" s="174"/>
      <c r="M110" s="175"/>
      <c r="O110">
        <v>1</v>
      </c>
    </row>
    <row r="111" spans="1:15" x14ac:dyDescent="0.25">
      <c r="A111" s="177"/>
      <c r="B111" s="177"/>
      <c r="C111" s="173">
        <v>71</v>
      </c>
      <c r="D111" s="173">
        <v>7</v>
      </c>
      <c r="E111" s="174" t="s">
        <v>966</v>
      </c>
      <c r="F111" s="185"/>
      <c r="G111" s="176"/>
      <c r="H111" s="174"/>
      <c r="I111" s="174"/>
      <c r="J111" s="174"/>
      <c r="K111" s="174"/>
      <c r="L111" s="174"/>
      <c r="M111" s="175"/>
      <c r="O111">
        <v>1</v>
      </c>
    </row>
    <row r="112" spans="1:15" x14ac:dyDescent="0.25">
      <c r="A112" s="177"/>
      <c r="B112" s="177"/>
      <c r="C112" s="173">
        <v>72</v>
      </c>
      <c r="D112" s="173">
        <v>8</v>
      </c>
      <c r="E112" s="174" t="s">
        <v>966</v>
      </c>
      <c r="F112" s="185"/>
      <c r="G112" s="176"/>
      <c r="H112" s="174"/>
      <c r="I112" s="174"/>
      <c r="J112" s="174"/>
      <c r="K112" s="174"/>
      <c r="L112" s="174"/>
      <c r="M112" s="175"/>
      <c r="O112">
        <v>1</v>
      </c>
    </row>
    <row r="113" spans="1:15" x14ac:dyDescent="0.25">
      <c r="A113" s="177"/>
      <c r="B113" s="177"/>
      <c r="C113" s="173">
        <v>73</v>
      </c>
      <c r="D113" s="173">
        <v>9</v>
      </c>
      <c r="E113" s="174" t="s">
        <v>966</v>
      </c>
      <c r="F113" s="185"/>
      <c r="G113" s="187"/>
      <c r="H113" s="174"/>
      <c r="I113" s="174"/>
      <c r="J113" s="174"/>
      <c r="K113" s="174"/>
      <c r="L113" s="174"/>
      <c r="M113" s="175"/>
      <c r="O113">
        <v>1</v>
      </c>
    </row>
    <row r="114" spans="1:15" x14ac:dyDescent="0.25">
      <c r="A114" s="177"/>
      <c r="B114" s="177"/>
      <c r="C114" s="173">
        <v>74</v>
      </c>
      <c r="D114" s="173">
        <v>10</v>
      </c>
      <c r="E114" s="174" t="s">
        <v>966</v>
      </c>
      <c r="F114" s="185"/>
      <c r="G114" s="187"/>
      <c r="H114" s="174"/>
      <c r="I114" s="174"/>
      <c r="J114" s="174"/>
      <c r="K114" s="174"/>
      <c r="L114" s="174"/>
      <c r="M114" s="175"/>
      <c r="O114">
        <v>1</v>
      </c>
    </row>
    <row r="115" spans="1:15" x14ac:dyDescent="0.25">
      <c r="A115" s="177"/>
      <c r="B115" s="177"/>
      <c r="C115" s="173">
        <v>75</v>
      </c>
      <c r="D115" s="173">
        <v>11</v>
      </c>
      <c r="E115" s="174" t="s">
        <v>966</v>
      </c>
      <c r="F115" s="188"/>
      <c r="G115" s="187"/>
      <c r="H115" s="174"/>
      <c r="I115" s="174"/>
      <c r="J115" s="174"/>
      <c r="K115" s="174"/>
      <c r="L115" s="174"/>
      <c r="M115" s="175"/>
      <c r="O115">
        <v>1</v>
      </c>
    </row>
    <row r="116" spans="1:15" x14ac:dyDescent="0.25">
      <c r="A116" s="177"/>
      <c r="B116" s="177"/>
      <c r="C116" s="173">
        <v>76</v>
      </c>
      <c r="D116" s="173">
        <v>12</v>
      </c>
      <c r="E116" s="176"/>
      <c r="F116" s="174"/>
      <c r="G116" s="176"/>
      <c r="H116" s="174"/>
      <c r="I116" s="174"/>
      <c r="J116" s="174"/>
      <c r="K116" s="174"/>
      <c r="L116" s="175"/>
      <c r="M116" s="175"/>
      <c r="O116">
        <v>1</v>
      </c>
    </row>
    <row r="117" spans="1:15" x14ac:dyDescent="0.25">
      <c r="A117" s="177"/>
      <c r="B117" s="177"/>
      <c r="C117" s="173">
        <v>77</v>
      </c>
      <c r="D117" s="173">
        <v>13</v>
      </c>
      <c r="E117" s="176"/>
      <c r="F117" s="174"/>
      <c r="G117" s="176"/>
      <c r="H117" s="174"/>
      <c r="I117" s="174"/>
      <c r="J117" s="188"/>
      <c r="K117" s="174"/>
      <c r="L117" s="175"/>
      <c r="M117" s="175"/>
      <c r="O117">
        <v>1</v>
      </c>
    </row>
    <row r="118" spans="1:15" x14ac:dyDescent="0.25">
      <c r="A118" s="177"/>
      <c r="B118" s="177"/>
      <c r="C118" s="173">
        <v>78</v>
      </c>
      <c r="D118" s="173">
        <v>14</v>
      </c>
      <c r="E118" s="176"/>
      <c r="F118" s="174"/>
      <c r="G118" s="176"/>
      <c r="H118" s="174"/>
      <c r="I118" s="174"/>
      <c r="J118" s="174"/>
      <c r="K118" s="174"/>
      <c r="L118" s="175"/>
      <c r="M118" s="175"/>
      <c r="O118">
        <v>1</v>
      </c>
    </row>
    <row r="119" spans="1:15" x14ac:dyDescent="0.25">
      <c r="A119" s="179"/>
      <c r="B119" s="179"/>
      <c r="C119" s="173">
        <v>79</v>
      </c>
      <c r="D119" s="173">
        <v>15</v>
      </c>
      <c r="E119" s="176"/>
      <c r="F119" s="174"/>
      <c r="G119" s="176"/>
      <c r="H119" s="174"/>
      <c r="I119" s="174"/>
      <c r="J119" s="174"/>
      <c r="K119" s="174"/>
      <c r="L119" s="175"/>
      <c r="M119" s="175"/>
      <c r="O119">
        <v>1</v>
      </c>
    </row>
    <row r="121" spans="1:15" x14ac:dyDescent="0.25">
      <c r="A121" s="167" t="s">
        <v>864</v>
      </c>
      <c r="B121" s="167" t="s">
        <v>865</v>
      </c>
      <c r="C121" s="167" t="s">
        <v>210</v>
      </c>
      <c r="D121" s="167" t="s">
        <v>866</v>
      </c>
      <c r="E121" s="168" t="s">
        <v>867</v>
      </c>
      <c r="F121" s="169"/>
      <c r="G121" s="168" t="s">
        <v>868</v>
      </c>
      <c r="H121" s="170"/>
      <c r="I121" s="170"/>
      <c r="J121" s="170"/>
      <c r="K121" s="170"/>
      <c r="L121" s="170"/>
      <c r="M121" s="171"/>
    </row>
    <row r="122" spans="1:15" x14ac:dyDescent="0.25">
      <c r="A122" s="172">
        <v>5</v>
      </c>
      <c r="B122" s="172" t="s">
        <v>0</v>
      </c>
      <c r="C122" s="173">
        <v>80</v>
      </c>
      <c r="D122" s="173">
        <v>0</v>
      </c>
      <c r="E122" s="174" t="s">
        <v>966</v>
      </c>
      <c r="F122" s="175" t="s">
        <v>901</v>
      </c>
      <c r="G122" s="176" t="s">
        <v>902</v>
      </c>
      <c r="H122" s="174"/>
      <c r="I122" s="174" t="s">
        <v>903</v>
      </c>
      <c r="J122" s="174"/>
      <c r="K122" s="174"/>
      <c r="L122" s="174"/>
      <c r="M122" s="175"/>
      <c r="O122">
        <v>1</v>
      </c>
    </row>
    <row r="123" spans="1:15" x14ac:dyDescent="0.25">
      <c r="A123" s="177"/>
      <c r="B123" s="177"/>
      <c r="C123" s="173">
        <v>81</v>
      </c>
      <c r="D123" s="173">
        <v>1</v>
      </c>
      <c r="E123" s="174" t="s">
        <v>966</v>
      </c>
      <c r="F123" s="175" t="s">
        <v>904</v>
      </c>
      <c r="G123" s="176" t="s">
        <v>905</v>
      </c>
      <c r="H123" s="174"/>
      <c r="I123" s="174" t="s">
        <v>877</v>
      </c>
      <c r="J123" s="174"/>
      <c r="K123" s="174"/>
      <c r="L123" s="174"/>
      <c r="M123" s="175"/>
      <c r="O123">
        <v>1</v>
      </c>
    </row>
    <row r="124" spans="1:15" x14ac:dyDescent="0.25">
      <c r="A124" s="178"/>
      <c r="B124" s="177"/>
      <c r="C124" s="173">
        <v>82</v>
      </c>
      <c r="D124" s="173">
        <v>2</v>
      </c>
      <c r="E124" s="174" t="s">
        <v>966</v>
      </c>
      <c r="F124" s="175" t="s">
        <v>906</v>
      </c>
      <c r="G124" s="176" t="s">
        <v>907</v>
      </c>
      <c r="H124" s="189"/>
      <c r="I124" s="174" t="s">
        <v>884</v>
      </c>
      <c r="J124" s="174"/>
      <c r="K124" s="174"/>
      <c r="L124" s="174"/>
      <c r="M124" s="175"/>
      <c r="O124">
        <v>1</v>
      </c>
    </row>
    <row r="125" spans="1:15" x14ac:dyDescent="0.25">
      <c r="A125" s="177"/>
      <c r="B125" s="177"/>
      <c r="C125" s="173">
        <v>83</v>
      </c>
      <c r="D125" s="173">
        <v>3</v>
      </c>
      <c r="E125" s="174" t="s">
        <v>966</v>
      </c>
      <c r="F125" s="175" t="s">
        <v>908</v>
      </c>
      <c r="G125" s="176" t="s">
        <v>909</v>
      </c>
      <c r="H125" s="174"/>
      <c r="I125" s="174" t="s">
        <v>884</v>
      </c>
      <c r="J125" s="174"/>
      <c r="K125" s="174"/>
      <c r="L125" s="174"/>
      <c r="M125" s="175"/>
      <c r="O125">
        <v>1</v>
      </c>
    </row>
    <row r="126" spans="1:15" x14ac:dyDescent="0.25">
      <c r="A126" s="177"/>
      <c r="B126" s="177"/>
      <c r="C126" s="173">
        <v>84</v>
      </c>
      <c r="D126" s="173">
        <v>4</v>
      </c>
      <c r="E126" s="174" t="s">
        <v>966</v>
      </c>
      <c r="F126" s="175" t="s">
        <v>910</v>
      </c>
      <c r="G126" s="176" t="s">
        <v>911</v>
      </c>
      <c r="H126" s="189"/>
      <c r="I126" s="174" t="s">
        <v>884</v>
      </c>
      <c r="J126" s="174"/>
      <c r="K126" s="174"/>
      <c r="L126" s="174"/>
      <c r="M126" s="175"/>
      <c r="O126">
        <v>1</v>
      </c>
    </row>
    <row r="127" spans="1:15" x14ac:dyDescent="0.25">
      <c r="A127" s="177"/>
      <c r="B127" s="177"/>
      <c r="C127" s="173">
        <v>85</v>
      </c>
      <c r="D127" s="173">
        <v>5</v>
      </c>
      <c r="E127" s="174" t="s">
        <v>966</v>
      </c>
      <c r="F127" s="175"/>
      <c r="G127" s="176" t="s">
        <v>869</v>
      </c>
      <c r="H127" s="174"/>
      <c r="I127" s="174"/>
      <c r="J127" s="174"/>
      <c r="K127" s="174"/>
      <c r="L127" s="174"/>
      <c r="M127" s="175"/>
      <c r="O127">
        <v>1</v>
      </c>
    </row>
    <row r="128" spans="1:15" x14ac:dyDescent="0.25">
      <c r="A128" s="177"/>
      <c r="B128" s="177"/>
      <c r="C128" s="173">
        <v>86</v>
      </c>
      <c r="D128" s="173">
        <v>6</v>
      </c>
      <c r="E128" s="174" t="s">
        <v>966</v>
      </c>
      <c r="F128" s="175"/>
      <c r="G128" s="176" t="s">
        <v>869</v>
      </c>
      <c r="H128" s="174"/>
      <c r="I128" s="174"/>
      <c r="J128" s="174"/>
      <c r="K128" s="174"/>
      <c r="L128" s="174"/>
      <c r="M128" s="175"/>
      <c r="O128">
        <v>1</v>
      </c>
    </row>
    <row r="129" spans="1:15" x14ac:dyDescent="0.25">
      <c r="A129" s="177"/>
      <c r="B129" s="177"/>
      <c r="C129" s="173">
        <v>87</v>
      </c>
      <c r="D129" s="173">
        <v>7</v>
      </c>
      <c r="E129" s="174" t="s">
        <v>966</v>
      </c>
      <c r="F129" s="175"/>
      <c r="G129" s="176" t="s">
        <v>869</v>
      </c>
      <c r="H129" s="174"/>
      <c r="I129" s="174"/>
      <c r="J129" s="174"/>
      <c r="K129" s="174"/>
      <c r="L129" s="174"/>
      <c r="M129" s="175"/>
      <c r="O129">
        <v>1</v>
      </c>
    </row>
    <row r="130" spans="1:15" x14ac:dyDescent="0.25">
      <c r="A130" s="177"/>
      <c r="B130" s="177"/>
      <c r="C130" s="173">
        <v>88</v>
      </c>
      <c r="D130" s="173">
        <v>8</v>
      </c>
      <c r="E130" s="174" t="s">
        <v>966</v>
      </c>
      <c r="F130" s="175"/>
      <c r="G130" s="176" t="s">
        <v>869</v>
      </c>
      <c r="H130" s="174"/>
      <c r="I130" s="174"/>
      <c r="J130" s="174"/>
      <c r="K130" s="174"/>
      <c r="L130" s="174"/>
      <c r="M130" s="175"/>
      <c r="O130">
        <v>1</v>
      </c>
    </row>
    <row r="131" spans="1:15" x14ac:dyDescent="0.25">
      <c r="A131" s="177"/>
      <c r="B131" s="177"/>
      <c r="C131" s="173">
        <v>89</v>
      </c>
      <c r="D131" s="173">
        <v>9</v>
      </c>
      <c r="E131" s="174" t="s">
        <v>966</v>
      </c>
      <c r="F131" s="175"/>
      <c r="G131" s="176" t="s">
        <v>869</v>
      </c>
      <c r="H131" s="174"/>
      <c r="I131" s="174"/>
      <c r="J131" s="174"/>
      <c r="K131" s="174"/>
      <c r="L131" s="174"/>
      <c r="M131" s="175"/>
      <c r="O131">
        <v>1</v>
      </c>
    </row>
    <row r="132" spans="1:15" x14ac:dyDescent="0.25">
      <c r="A132" s="177"/>
      <c r="B132" s="177"/>
      <c r="C132" s="173">
        <v>90</v>
      </c>
      <c r="D132" s="173">
        <v>10</v>
      </c>
      <c r="E132" s="174" t="s">
        <v>966</v>
      </c>
      <c r="F132" s="175"/>
      <c r="G132" s="176" t="s">
        <v>869</v>
      </c>
      <c r="H132" s="174"/>
      <c r="I132" s="174"/>
      <c r="J132" s="174"/>
      <c r="K132" s="174"/>
      <c r="L132" s="174"/>
      <c r="M132" s="175"/>
      <c r="O132">
        <v>1</v>
      </c>
    </row>
    <row r="133" spans="1:15" x14ac:dyDescent="0.25">
      <c r="A133" s="177"/>
      <c r="B133" s="177"/>
      <c r="C133" s="173">
        <v>91</v>
      </c>
      <c r="D133" s="173">
        <v>11</v>
      </c>
      <c r="E133" s="174" t="s">
        <v>966</v>
      </c>
      <c r="F133" s="175"/>
      <c r="G133" s="176" t="s">
        <v>869</v>
      </c>
      <c r="H133" s="174"/>
      <c r="I133" s="174"/>
      <c r="J133" s="174"/>
      <c r="K133" s="174"/>
      <c r="L133" s="174"/>
      <c r="M133" s="175"/>
      <c r="O133">
        <v>1</v>
      </c>
    </row>
    <row r="134" spans="1:15" x14ac:dyDescent="0.25">
      <c r="A134" s="177"/>
      <c r="B134" s="177"/>
      <c r="C134" s="173">
        <v>92</v>
      </c>
      <c r="D134" s="173">
        <v>12</v>
      </c>
      <c r="E134" s="174" t="s">
        <v>966</v>
      </c>
      <c r="F134" s="175"/>
      <c r="G134" s="176" t="s">
        <v>869</v>
      </c>
      <c r="H134" s="190"/>
      <c r="I134" s="190"/>
      <c r="J134" s="174"/>
      <c r="K134" s="174"/>
      <c r="L134" s="174"/>
      <c r="M134" s="175"/>
      <c r="O134">
        <v>1</v>
      </c>
    </row>
    <row r="135" spans="1:15" x14ac:dyDescent="0.25">
      <c r="A135" s="177"/>
      <c r="B135" s="177"/>
      <c r="C135" s="173">
        <v>93</v>
      </c>
      <c r="D135" s="173">
        <v>13</v>
      </c>
      <c r="E135" s="174" t="s">
        <v>966</v>
      </c>
      <c r="F135" s="175" t="s">
        <v>912</v>
      </c>
      <c r="G135" s="191" t="s">
        <v>913</v>
      </c>
      <c r="H135" s="190" t="s">
        <v>914</v>
      </c>
      <c r="I135" s="190"/>
      <c r="J135" s="174"/>
      <c r="K135" s="174"/>
      <c r="L135" s="174"/>
      <c r="M135" s="175"/>
      <c r="O135">
        <v>1</v>
      </c>
    </row>
    <row r="136" spans="1:15" x14ac:dyDescent="0.25">
      <c r="A136" s="177"/>
      <c r="B136" s="177"/>
      <c r="C136" s="173">
        <v>94</v>
      </c>
      <c r="D136" s="173">
        <v>14</v>
      </c>
      <c r="E136" s="174" t="s">
        <v>966</v>
      </c>
      <c r="F136" s="175" t="s">
        <v>912</v>
      </c>
      <c r="G136" s="191" t="s">
        <v>915</v>
      </c>
      <c r="H136" s="190" t="s">
        <v>916</v>
      </c>
      <c r="I136" s="190"/>
      <c r="J136" s="174"/>
      <c r="K136" s="174"/>
      <c r="L136" s="174"/>
      <c r="M136" s="175"/>
      <c r="O136">
        <v>1</v>
      </c>
    </row>
    <row r="137" spans="1:15" x14ac:dyDescent="0.25">
      <c r="A137" s="179"/>
      <c r="B137" s="179"/>
      <c r="C137" s="173">
        <v>95</v>
      </c>
      <c r="D137" s="173">
        <v>15</v>
      </c>
      <c r="E137" s="174" t="s">
        <v>966</v>
      </c>
      <c r="F137" s="175" t="s">
        <v>912</v>
      </c>
      <c r="G137" s="191" t="s">
        <v>917</v>
      </c>
      <c r="H137" s="190" t="s">
        <v>918</v>
      </c>
      <c r="I137" s="190"/>
      <c r="J137" s="174"/>
      <c r="K137" s="174"/>
      <c r="L137" s="174"/>
      <c r="M137" s="175"/>
      <c r="O137">
        <v>1</v>
      </c>
    </row>
    <row r="139" spans="1:15" x14ac:dyDescent="0.25">
      <c r="A139" s="167" t="s">
        <v>864</v>
      </c>
      <c r="B139" s="167" t="s">
        <v>865</v>
      </c>
      <c r="C139" s="167" t="s">
        <v>210</v>
      </c>
      <c r="D139" s="167" t="s">
        <v>866</v>
      </c>
      <c r="E139" s="168" t="s">
        <v>867</v>
      </c>
      <c r="F139" s="169"/>
      <c r="G139" s="168" t="s">
        <v>919</v>
      </c>
      <c r="H139" s="170"/>
      <c r="I139" s="170"/>
      <c r="J139" s="170"/>
      <c r="K139" s="170"/>
      <c r="L139" s="170"/>
      <c r="M139" s="171"/>
    </row>
    <row r="140" spans="1:15" x14ac:dyDescent="0.25">
      <c r="A140" s="172">
        <v>6</v>
      </c>
      <c r="B140" s="172" t="s">
        <v>1</v>
      </c>
      <c r="C140" s="173">
        <v>96</v>
      </c>
      <c r="D140" s="173">
        <v>0</v>
      </c>
      <c r="E140" s="174" t="s">
        <v>966</v>
      </c>
      <c r="F140" s="185" t="s">
        <v>920</v>
      </c>
      <c r="G140" s="176" t="s">
        <v>921</v>
      </c>
      <c r="H140" s="174"/>
      <c r="I140" s="174" t="s">
        <v>922</v>
      </c>
      <c r="J140" s="174"/>
      <c r="K140" s="174"/>
      <c r="L140" s="174"/>
      <c r="M140" s="175"/>
      <c r="O140">
        <v>1</v>
      </c>
    </row>
    <row r="141" spans="1:15" x14ac:dyDescent="0.25">
      <c r="A141" s="177"/>
      <c r="B141" s="177"/>
      <c r="C141" s="173">
        <v>97</v>
      </c>
      <c r="D141" s="173">
        <v>1</v>
      </c>
      <c r="E141" s="174" t="s">
        <v>966</v>
      </c>
      <c r="F141" s="185" t="s">
        <v>923</v>
      </c>
      <c r="G141" s="176" t="s">
        <v>924</v>
      </c>
      <c r="H141" s="174"/>
      <c r="I141" s="174" t="s">
        <v>922</v>
      </c>
      <c r="J141" s="174"/>
      <c r="K141" s="174"/>
      <c r="L141" s="174"/>
      <c r="M141" s="175"/>
      <c r="O141">
        <v>1</v>
      </c>
    </row>
    <row r="142" spans="1:15" x14ac:dyDescent="0.25">
      <c r="A142" s="178"/>
      <c r="B142" s="177"/>
      <c r="C142" s="173">
        <v>98</v>
      </c>
      <c r="D142" s="173">
        <v>2</v>
      </c>
      <c r="E142" s="174" t="s">
        <v>966</v>
      </c>
      <c r="F142" s="185" t="s">
        <v>925</v>
      </c>
      <c r="G142" s="176" t="s">
        <v>926</v>
      </c>
      <c r="H142" s="174"/>
      <c r="I142" s="174" t="s">
        <v>922</v>
      </c>
      <c r="J142" s="174"/>
      <c r="K142" s="174"/>
      <c r="L142" s="174"/>
      <c r="M142" s="175"/>
      <c r="O142">
        <v>1</v>
      </c>
    </row>
    <row r="143" spans="1:15" x14ac:dyDescent="0.25">
      <c r="A143" s="177"/>
      <c r="B143" s="177"/>
      <c r="C143" s="173">
        <v>99</v>
      </c>
      <c r="D143" s="173">
        <v>3</v>
      </c>
      <c r="E143" s="174" t="s">
        <v>966</v>
      </c>
      <c r="F143" s="185" t="s">
        <v>927</v>
      </c>
      <c r="G143" s="176" t="s">
        <v>928</v>
      </c>
      <c r="H143" s="174"/>
      <c r="I143" s="174" t="s">
        <v>922</v>
      </c>
      <c r="J143" s="174"/>
      <c r="K143" s="174"/>
      <c r="L143" s="174"/>
      <c r="M143" s="175"/>
      <c r="O143">
        <v>1</v>
      </c>
    </row>
    <row r="144" spans="1:15" x14ac:dyDescent="0.25">
      <c r="A144" s="177"/>
      <c r="B144" s="177"/>
      <c r="C144" s="173">
        <v>100</v>
      </c>
      <c r="D144" s="173">
        <v>4</v>
      </c>
      <c r="E144" s="174" t="s">
        <v>966</v>
      </c>
      <c r="F144" s="185" t="s">
        <v>929</v>
      </c>
      <c r="G144" s="176" t="s">
        <v>930</v>
      </c>
      <c r="H144" s="174"/>
      <c r="I144" s="174" t="s">
        <v>922</v>
      </c>
      <c r="J144" s="174"/>
      <c r="K144" s="174"/>
      <c r="L144" s="174"/>
      <c r="M144" s="175"/>
      <c r="O144">
        <v>1</v>
      </c>
    </row>
    <row r="145" spans="1:15" x14ac:dyDescent="0.25">
      <c r="A145" s="177"/>
      <c r="B145" s="177"/>
      <c r="C145" s="173">
        <v>101</v>
      </c>
      <c r="D145" s="173">
        <v>5</v>
      </c>
      <c r="E145" s="174" t="s">
        <v>966</v>
      </c>
      <c r="F145" s="185" t="s">
        <v>931</v>
      </c>
      <c r="G145" s="176" t="s">
        <v>932</v>
      </c>
      <c r="H145" s="174"/>
      <c r="I145" s="174" t="s">
        <v>922</v>
      </c>
      <c r="J145" s="174"/>
      <c r="K145" s="174"/>
      <c r="L145" s="174"/>
      <c r="M145" s="175"/>
      <c r="O145">
        <v>1</v>
      </c>
    </row>
    <row r="146" spans="1:15" x14ac:dyDescent="0.25">
      <c r="A146" s="177"/>
      <c r="B146" s="177"/>
      <c r="C146" s="173">
        <v>102</v>
      </c>
      <c r="D146" s="173">
        <v>6</v>
      </c>
      <c r="E146" s="174" t="s">
        <v>966</v>
      </c>
      <c r="F146" s="185" t="s">
        <v>933</v>
      </c>
      <c r="G146" s="176" t="s">
        <v>934</v>
      </c>
      <c r="H146" s="174"/>
      <c r="I146" s="174" t="s">
        <v>922</v>
      </c>
      <c r="J146" s="174"/>
      <c r="K146" s="174"/>
      <c r="L146" s="174"/>
      <c r="M146" s="175"/>
      <c r="O146">
        <v>1</v>
      </c>
    </row>
    <row r="147" spans="1:15" x14ac:dyDescent="0.25">
      <c r="A147" s="177"/>
      <c r="B147" s="177"/>
      <c r="C147" s="173">
        <v>103</v>
      </c>
      <c r="D147" s="173">
        <v>7</v>
      </c>
      <c r="E147" s="174" t="s">
        <v>966</v>
      </c>
      <c r="F147" s="185" t="s">
        <v>935</v>
      </c>
      <c r="G147" s="176" t="s">
        <v>936</v>
      </c>
      <c r="H147" s="174"/>
      <c r="I147" s="174" t="s">
        <v>922</v>
      </c>
      <c r="J147" s="174"/>
      <c r="K147" s="174"/>
      <c r="L147" s="174"/>
      <c r="M147" s="175"/>
      <c r="O147">
        <v>1</v>
      </c>
    </row>
    <row r="148" spans="1:15" x14ac:dyDescent="0.25">
      <c r="A148" s="177"/>
      <c r="B148" s="177"/>
      <c r="C148" s="173">
        <v>104</v>
      </c>
      <c r="D148" s="173">
        <v>8</v>
      </c>
      <c r="E148" s="174" t="s">
        <v>966</v>
      </c>
      <c r="F148" s="185" t="s">
        <v>937</v>
      </c>
      <c r="G148" s="176" t="s">
        <v>938</v>
      </c>
      <c r="H148" s="174"/>
      <c r="I148" s="174" t="s">
        <v>922</v>
      </c>
      <c r="J148" s="174"/>
      <c r="K148" s="174"/>
      <c r="L148" s="174"/>
      <c r="M148" s="175"/>
      <c r="O148">
        <v>1</v>
      </c>
    </row>
    <row r="149" spans="1:15" x14ac:dyDescent="0.25">
      <c r="A149" s="177"/>
      <c r="B149" s="177"/>
      <c r="C149" s="173">
        <v>105</v>
      </c>
      <c r="D149" s="173">
        <v>9</v>
      </c>
      <c r="E149" s="174" t="s">
        <v>966</v>
      </c>
      <c r="F149" s="185"/>
      <c r="G149" s="176" t="s">
        <v>869</v>
      </c>
      <c r="H149" s="174"/>
      <c r="I149" s="174"/>
      <c r="J149" s="174"/>
      <c r="K149" s="174"/>
      <c r="L149" s="174"/>
      <c r="M149" s="175"/>
      <c r="O149">
        <v>1</v>
      </c>
    </row>
    <row r="150" spans="1:15" x14ac:dyDescent="0.25">
      <c r="A150" s="177"/>
      <c r="B150" s="177"/>
      <c r="C150" s="173">
        <v>106</v>
      </c>
      <c r="D150" s="173">
        <v>10</v>
      </c>
      <c r="E150" s="174" t="s">
        <v>966</v>
      </c>
      <c r="F150" s="185"/>
      <c r="G150" s="176" t="s">
        <v>869</v>
      </c>
      <c r="H150" s="174"/>
      <c r="I150" s="174"/>
      <c r="J150" s="174"/>
      <c r="K150" s="174"/>
      <c r="L150" s="174"/>
      <c r="M150" s="175"/>
      <c r="O150">
        <v>1</v>
      </c>
    </row>
    <row r="151" spans="1:15" x14ac:dyDescent="0.25">
      <c r="A151" s="177"/>
      <c r="B151" s="177"/>
      <c r="C151" s="173">
        <v>107</v>
      </c>
      <c r="D151" s="173">
        <v>11</v>
      </c>
      <c r="E151" s="174" t="s">
        <v>966</v>
      </c>
      <c r="F151" s="185"/>
      <c r="G151" s="176" t="s">
        <v>869</v>
      </c>
      <c r="H151" s="174"/>
      <c r="I151" s="174"/>
      <c r="J151" s="174"/>
      <c r="K151" s="174"/>
      <c r="L151" s="174"/>
      <c r="M151" s="175"/>
      <c r="O151">
        <v>1</v>
      </c>
    </row>
    <row r="152" spans="1:15" x14ac:dyDescent="0.25">
      <c r="A152" s="177"/>
      <c r="B152" s="177"/>
      <c r="C152" s="173">
        <v>108</v>
      </c>
      <c r="D152" s="173">
        <v>12</v>
      </c>
      <c r="E152" s="174" t="s">
        <v>966</v>
      </c>
      <c r="F152" s="175" t="s">
        <v>939</v>
      </c>
      <c r="G152" s="176" t="s">
        <v>940</v>
      </c>
      <c r="H152" s="174"/>
      <c r="I152" s="174" t="s">
        <v>877</v>
      </c>
      <c r="J152" s="174"/>
      <c r="K152" s="174"/>
      <c r="L152" s="174"/>
      <c r="M152" s="175"/>
      <c r="O152" t="e">
        <v>#REF!</v>
      </c>
    </row>
    <row r="153" spans="1:15" x14ac:dyDescent="0.25">
      <c r="A153" s="177"/>
      <c r="B153" s="177"/>
      <c r="C153" s="173">
        <v>109</v>
      </c>
      <c r="D153" s="173">
        <v>13</v>
      </c>
      <c r="E153" s="174" t="s">
        <v>966</v>
      </c>
      <c r="F153" s="175" t="s">
        <v>941</v>
      </c>
      <c r="G153" s="176" t="s">
        <v>942</v>
      </c>
      <c r="H153" s="174"/>
      <c r="I153" s="174" t="s">
        <v>884</v>
      </c>
      <c r="J153" s="174"/>
      <c r="K153" s="174"/>
      <c r="L153" s="174"/>
      <c r="M153" s="175"/>
      <c r="O153" t="e">
        <v>#REF!</v>
      </c>
    </row>
    <row r="154" spans="1:15" x14ac:dyDescent="0.25">
      <c r="A154" s="177"/>
      <c r="B154" s="177"/>
      <c r="C154" s="173">
        <v>110</v>
      </c>
      <c r="D154" s="173">
        <v>14</v>
      </c>
      <c r="E154" s="174" t="s">
        <v>966</v>
      </c>
      <c r="F154" s="175" t="s">
        <v>943</v>
      </c>
      <c r="G154" s="176" t="s">
        <v>944</v>
      </c>
      <c r="H154" s="174"/>
      <c r="I154" s="174" t="s">
        <v>884</v>
      </c>
      <c r="J154" s="174"/>
      <c r="K154" s="174"/>
      <c r="L154" s="174"/>
      <c r="M154" s="175"/>
      <c r="O154">
        <v>1</v>
      </c>
    </row>
    <row r="155" spans="1:15" x14ac:dyDescent="0.25">
      <c r="A155" s="179"/>
      <c r="B155" s="179"/>
      <c r="C155" s="173">
        <v>111</v>
      </c>
      <c r="D155" s="173">
        <v>15</v>
      </c>
      <c r="E155" s="174" t="s">
        <v>966</v>
      </c>
      <c r="F155" s="175" t="s">
        <v>945</v>
      </c>
      <c r="G155" s="176" t="s">
        <v>946</v>
      </c>
      <c r="H155" s="174"/>
      <c r="I155" s="174" t="s">
        <v>884</v>
      </c>
      <c r="J155" s="174"/>
      <c r="K155" s="174"/>
      <c r="L155" s="174"/>
      <c r="M155" s="175"/>
      <c r="O155">
        <v>1</v>
      </c>
    </row>
    <row r="157" spans="1:15" x14ac:dyDescent="0.25">
      <c r="A157" s="167" t="s">
        <v>864</v>
      </c>
      <c r="B157" s="167" t="s">
        <v>865</v>
      </c>
      <c r="C157" s="167" t="s">
        <v>210</v>
      </c>
      <c r="D157" s="167" t="s">
        <v>866</v>
      </c>
      <c r="E157" s="168" t="s">
        <v>867</v>
      </c>
      <c r="F157" s="169"/>
      <c r="G157" s="168" t="s">
        <v>868</v>
      </c>
      <c r="H157" s="170"/>
      <c r="I157" s="170"/>
      <c r="J157" s="170"/>
      <c r="K157" s="170"/>
      <c r="L157" s="170"/>
      <c r="M157" s="171"/>
    </row>
    <row r="158" spans="1:15" x14ac:dyDescent="0.25">
      <c r="A158" s="172">
        <v>7</v>
      </c>
      <c r="B158" s="172" t="s">
        <v>1</v>
      </c>
      <c r="C158" s="173">
        <v>112</v>
      </c>
      <c r="D158" s="173">
        <v>0</v>
      </c>
      <c r="E158" s="174" t="s">
        <v>966</v>
      </c>
      <c r="F158" s="175" t="s">
        <v>947</v>
      </c>
      <c r="G158" s="176" t="s">
        <v>948</v>
      </c>
      <c r="H158" s="174"/>
      <c r="I158" s="174" t="s">
        <v>903</v>
      </c>
      <c r="J158" s="174"/>
      <c r="K158" s="174"/>
      <c r="L158" s="174"/>
      <c r="M158" s="175"/>
      <c r="O158">
        <v>1</v>
      </c>
    </row>
    <row r="159" spans="1:15" x14ac:dyDescent="0.25">
      <c r="A159" s="177"/>
      <c r="B159" s="177"/>
      <c r="C159" s="173">
        <v>113</v>
      </c>
      <c r="D159" s="173">
        <v>1</v>
      </c>
      <c r="E159" s="174" t="s">
        <v>966</v>
      </c>
      <c r="F159" s="175" t="s">
        <v>949</v>
      </c>
      <c r="G159" s="176" t="s">
        <v>950</v>
      </c>
      <c r="H159" s="174"/>
      <c r="I159" s="174" t="s">
        <v>877</v>
      </c>
      <c r="J159" s="174"/>
      <c r="K159" s="174"/>
      <c r="L159" s="174"/>
      <c r="M159" s="175"/>
      <c r="O159">
        <v>1</v>
      </c>
    </row>
    <row r="160" spans="1:15" x14ac:dyDescent="0.25">
      <c r="A160" s="178"/>
      <c r="B160" s="177"/>
      <c r="C160" s="173">
        <v>114</v>
      </c>
      <c r="D160" s="173">
        <v>2</v>
      </c>
      <c r="E160" s="174" t="s">
        <v>966</v>
      </c>
      <c r="F160" s="175" t="s">
        <v>951</v>
      </c>
      <c r="G160" s="176" t="s">
        <v>952</v>
      </c>
      <c r="H160" s="174"/>
      <c r="I160" s="174" t="s">
        <v>884</v>
      </c>
      <c r="J160" s="174"/>
      <c r="K160" s="174"/>
      <c r="L160" s="174"/>
      <c r="M160" s="175"/>
      <c r="O160">
        <v>1</v>
      </c>
    </row>
    <row r="161" spans="1:15" x14ac:dyDescent="0.25">
      <c r="A161" s="177"/>
      <c r="B161" s="177"/>
      <c r="C161" s="173">
        <v>115</v>
      </c>
      <c r="D161" s="173">
        <v>3</v>
      </c>
      <c r="E161" s="174" t="s">
        <v>966</v>
      </c>
      <c r="F161" s="175" t="s">
        <v>953</v>
      </c>
      <c r="G161" s="176" t="s">
        <v>954</v>
      </c>
      <c r="H161" s="174"/>
      <c r="I161" s="174" t="s">
        <v>884</v>
      </c>
      <c r="J161" s="174"/>
      <c r="K161" s="174"/>
      <c r="L161" s="174"/>
      <c r="M161" s="175"/>
      <c r="O161">
        <v>1</v>
      </c>
    </row>
    <row r="162" spans="1:15" x14ac:dyDescent="0.25">
      <c r="A162" s="177"/>
      <c r="B162" s="177"/>
      <c r="C162" s="173">
        <v>116</v>
      </c>
      <c r="D162" s="173">
        <v>4</v>
      </c>
      <c r="E162" s="174" t="s">
        <v>966</v>
      </c>
      <c r="F162" s="175" t="s">
        <v>955</v>
      </c>
      <c r="G162" s="176" t="s">
        <v>956</v>
      </c>
      <c r="H162" s="174"/>
      <c r="I162" s="174" t="s">
        <v>884</v>
      </c>
      <c r="J162" s="174"/>
      <c r="K162" s="174"/>
      <c r="L162" s="174"/>
      <c r="M162" s="175"/>
      <c r="O162">
        <v>1</v>
      </c>
    </row>
    <row r="163" spans="1:15" x14ac:dyDescent="0.25">
      <c r="A163" s="177"/>
      <c r="B163" s="177"/>
      <c r="C163" s="173">
        <v>117</v>
      </c>
      <c r="D163" s="173">
        <v>5</v>
      </c>
      <c r="E163" s="174" t="s">
        <v>966</v>
      </c>
      <c r="F163" s="175" t="s">
        <v>957</v>
      </c>
      <c r="G163" s="176" t="s">
        <v>958</v>
      </c>
      <c r="H163" s="174"/>
      <c r="I163" s="174" t="s">
        <v>877</v>
      </c>
      <c r="J163" s="174"/>
      <c r="K163" s="174"/>
      <c r="L163" s="174"/>
      <c r="M163" s="175"/>
      <c r="O163">
        <v>1</v>
      </c>
    </row>
    <row r="164" spans="1:15" x14ac:dyDescent="0.25">
      <c r="A164" s="177"/>
      <c r="B164" s="177"/>
      <c r="C164" s="173">
        <v>118</v>
      </c>
      <c r="D164" s="173">
        <v>6</v>
      </c>
      <c r="E164" s="174" t="s">
        <v>966</v>
      </c>
      <c r="F164" s="175" t="s">
        <v>959</v>
      </c>
      <c r="G164" s="176" t="s">
        <v>960</v>
      </c>
      <c r="H164" s="174"/>
      <c r="I164" s="174" t="s">
        <v>884</v>
      </c>
      <c r="J164" s="174"/>
      <c r="K164" s="174"/>
      <c r="L164" s="174"/>
      <c r="M164" s="175"/>
      <c r="O164">
        <v>1</v>
      </c>
    </row>
    <row r="165" spans="1:15" x14ac:dyDescent="0.25">
      <c r="A165" s="177"/>
      <c r="B165" s="177"/>
      <c r="C165" s="173">
        <v>119</v>
      </c>
      <c r="D165" s="173">
        <v>7</v>
      </c>
      <c r="E165" s="174" t="s">
        <v>966</v>
      </c>
      <c r="F165" s="175"/>
      <c r="G165" s="176" t="s">
        <v>869</v>
      </c>
      <c r="H165" s="174"/>
      <c r="I165" s="174" t="s">
        <v>884</v>
      </c>
      <c r="J165" s="174"/>
      <c r="K165" s="174"/>
      <c r="L165" s="174"/>
      <c r="M165" s="175"/>
      <c r="O165">
        <v>1</v>
      </c>
    </row>
    <row r="166" spans="1:15" x14ac:dyDescent="0.25">
      <c r="A166" s="177"/>
      <c r="B166" s="177"/>
      <c r="C166" s="173">
        <v>120</v>
      </c>
      <c r="D166" s="173">
        <v>8</v>
      </c>
      <c r="E166" s="174" t="s">
        <v>966</v>
      </c>
      <c r="F166" s="175" t="s">
        <v>961</v>
      </c>
      <c r="G166" s="176" t="s">
        <v>962</v>
      </c>
      <c r="H166" s="174"/>
      <c r="I166" s="174" t="s">
        <v>884</v>
      </c>
      <c r="J166" s="174"/>
      <c r="K166" s="174"/>
      <c r="L166" s="174"/>
      <c r="M166" s="175"/>
      <c r="O166">
        <v>0</v>
      </c>
    </row>
    <row r="167" spans="1:15" x14ac:dyDescent="0.25">
      <c r="A167" s="177"/>
      <c r="B167" s="177"/>
      <c r="C167" s="173">
        <v>121</v>
      </c>
      <c r="D167" s="173">
        <v>9</v>
      </c>
      <c r="E167" s="174" t="s">
        <v>966</v>
      </c>
      <c r="F167" s="175" t="s">
        <v>963</v>
      </c>
      <c r="G167" s="176" t="s">
        <v>964</v>
      </c>
      <c r="H167" s="174"/>
      <c r="I167" s="174" t="s">
        <v>884</v>
      </c>
      <c r="J167" s="174"/>
      <c r="K167" s="174"/>
      <c r="L167" s="174"/>
      <c r="M167" s="175"/>
      <c r="O167">
        <v>0</v>
      </c>
    </row>
    <row r="168" spans="1:15" x14ac:dyDescent="0.25">
      <c r="A168" s="177"/>
      <c r="B168" s="177"/>
      <c r="C168" s="173">
        <v>122</v>
      </c>
      <c r="D168" s="173">
        <v>10</v>
      </c>
      <c r="E168" s="174" t="s">
        <v>966</v>
      </c>
      <c r="F168" s="175" t="s">
        <v>965</v>
      </c>
      <c r="G168" s="176" t="s">
        <v>902</v>
      </c>
      <c r="H168" s="174"/>
      <c r="I168" s="174"/>
      <c r="J168" s="174"/>
      <c r="K168" s="174"/>
      <c r="L168" s="174"/>
      <c r="M168" s="175"/>
      <c r="O168">
        <v>0</v>
      </c>
    </row>
    <row r="169" spans="1:15" x14ac:dyDescent="0.25">
      <c r="A169" s="177"/>
      <c r="B169" s="177"/>
      <c r="C169" s="173">
        <v>123</v>
      </c>
      <c r="D169" s="173">
        <v>11</v>
      </c>
      <c r="E169" s="174" t="s">
        <v>966</v>
      </c>
      <c r="F169" s="175" t="s">
        <v>965</v>
      </c>
      <c r="G169" s="176" t="s">
        <v>905</v>
      </c>
      <c r="H169" s="174"/>
      <c r="I169" s="174"/>
      <c r="J169" s="174"/>
      <c r="K169" s="174"/>
      <c r="L169" s="174"/>
      <c r="M169" s="175"/>
      <c r="O169">
        <v>0</v>
      </c>
    </row>
    <row r="170" spans="1:15" x14ac:dyDescent="0.25">
      <c r="A170" s="177"/>
      <c r="B170" s="177"/>
      <c r="C170" s="173">
        <v>124</v>
      </c>
      <c r="D170" s="173">
        <v>12</v>
      </c>
      <c r="E170" s="174" t="s">
        <v>966</v>
      </c>
      <c r="F170" s="175" t="s">
        <v>965</v>
      </c>
      <c r="G170" s="176" t="s">
        <v>907</v>
      </c>
      <c r="H170" s="174"/>
      <c r="I170" s="174"/>
      <c r="J170" s="174"/>
      <c r="K170" s="174"/>
      <c r="L170" s="174"/>
      <c r="M170" s="175"/>
      <c r="O170">
        <v>0</v>
      </c>
    </row>
    <row r="171" spans="1:15" x14ac:dyDescent="0.25">
      <c r="A171" s="177"/>
      <c r="B171" s="177"/>
      <c r="C171" s="173">
        <v>125</v>
      </c>
      <c r="D171" s="173">
        <v>13</v>
      </c>
      <c r="E171" s="174" t="s">
        <v>966</v>
      </c>
      <c r="F171" s="175" t="s">
        <v>965</v>
      </c>
      <c r="G171" s="176" t="s">
        <v>909</v>
      </c>
      <c r="H171" s="174"/>
      <c r="I171" s="174"/>
      <c r="J171" s="174"/>
      <c r="K171" s="174"/>
      <c r="L171" s="174"/>
      <c r="M171" s="175"/>
      <c r="O171">
        <v>0</v>
      </c>
    </row>
    <row r="172" spans="1:15" x14ac:dyDescent="0.25">
      <c r="A172" s="177"/>
      <c r="B172" s="177"/>
      <c r="C172" s="173">
        <v>126</v>
      </c>
      <c r="D172" s="173">
        <v>14</v>
      </c>
      <c r="E172" s="174" t="s">
        <v>966</v>
      </c>
      <c r="F172" s="175" t="s">
        <v>965</v>
      </c>
      <c r="G172" s="176" t="s">
        <v>911</v>
      </c>
      <c r="H172" s="174"/>
      <c r="I172" s="174"/>
      <c r="J172" s="174"/>
      <c r="K172" s="174"/>
      <c r="L172" s="174"/>
      <c r="M172" s="175"/>
      <c r="O172">
        <v>0</v>
      </c>
    </row>
    <row r="173" spans="1:15" x14ac:dyDescent="0.25">
      <c r="A173" s="179"/>
      <c r="B173" s="179"/>
      <c r="C173" s="173">
        <v>127</v>
      </c>
      <c r="D173" s="173">
        <v>15</v>
      </c>
      <c r="E173" s="174" t="s">
        <v>966</v>
      </c>
      <c r="F173" s="175"/>
      <c r="G173" s="176" t="s">
        <v>869</v>
      </c>
      <c r="H173" s="174"/>
      <c r="I173" s="174"/>
      <c r="J173" s="174"/>
      <c r="K173" s="174"/>
      <c r="L173" s="174"/>
      <c r="M173" s="175"/>
      <c r="O173">
        <v>0</v>
      </c>
    </row>
    <row r="175" spans="1:15" x14ac:dyDescent="0.25">
      <c r="A175" s="167" t="s">
        <v>864</v>
      </c>
      <c r="B175" s="167" t="s">
        <v>865</v>
      </c>
      <c r="C175" s="167" t="s">
        <v>210</v>
      </c>
      <c r="D175" s="167" t="s">
        <v>866</v>
      </c>
      <c r="E175" s="168"/>
      <c r="F175" s="169"/>
      <c r="G175" s="168"/>
      <c r="H175" s="170"/>
      <c r="I175" s="170"/>
      <c r="J175" s="170"/>
      <c r="K175" s="170"/>
      <c r="L175" s="170"/>
      <c r="M175" s="171"/>
    </row>
    <row r="176" spans="1:15" x14ac:dyDescent="0.25">
      <c r="A176" s="172">
        <v>8</v>
      </c>
      <c r="B176" s="172" t="s">
        <v>1</v>
      </c>
      <c r="C176" s="173">
        <v>128</v>
      </c>
      <c r="D176" s="173">
        <v>0</v>
      </c>
      <c r="E176" s="174" t="s">
        <v>966</v>
      </c>
      <c r="F176" s="175" t="s">
        <v>965</v>
      </c>
      <c r="G176" s="176" t="s">
        <v>872</v>
      </c>
      <c r="H176" s="174"/>
      <c r="I176" s="174"/>
      <c r="J176" s="174"/>
      <c r="K176" s="174"/>
      <c r="L176" s="174"/>
      <c r="M176" s="175"/>
      <c r="O176" t="e">
        <v>#REF!</v>
      </c>
    </row>
    <row r="177" spans="1:15" x14ac:dyDescent="0.25">
      <c r="A177" s="177"/>
      <c r="B177" s="177"/>
      <c r="C177" s="173">
        <v>129</v>
      </c>
      <c r="D177" s="173">
        <v>1</v>
      </c>
      <c r="E177" s="174" t="s">
        <v>966</v>
      </c>
      <c r="F177" s="175" t="s">
        <v>965</v>
      </c>
      <c r="G177" s="176" t="s">
        <v>874</v>
      </c>
      <c r="H177" s="174"/>
      <c r="I177" s="174"/>
      <c r="J177" s="174"/>
      <c r="K177" s="174"/>
      <c r="L177" s="174"/>
      <c r="M177" s="175"/>
      <c r="O177" t="e">
        <v>#REF!</v>
      </c>
    </row>
    <row r="178" spans="1:15" x14ac:dyDescent="0.25">
      <c r="A178" s="178"/>
      <c r="B178" s="177"/>
      <c r="C178" s="173">
        <v>130</v>
      </c>
      <c r="D178" s="173">
        <v>2</v>
      </c>
      <c r="E178" s="174" t="s">
        <v>966</v>
      </c>
      <c r="F178" s="175" t="s">
        <v>965</v>
      </c>
      <c r="G178" s="176" t="s">
        <v>967</v>
      </c>
      <c r="H178" s="174"/>
      <c r="I178" s="174"/>
      <c r="J178" s="174"/>
      <c r="K178" s="174"/>
      <c r="L178" s="174"/>
      <c r="M178" s="175"/>
      <c r="O178" t="e">
        <v>#REF!</v>
      </c>
    </row>
    <row r="179" spans="1:15" x14ac:dyDescent="0.25">
      <c r="A179" s="177"/>
      <c r="B179" s="177"/>
      <c r="C179" s="173">
        <v>131</v>
      </c>
      <c r="D179" s="173">
        <v>3</v>
      </c>
      <c r="E179" s="174" t="s">
        <v>966</v>
      </c>
      <c r="F179" s="175" t="s">
        <v>965</v>
      </c>
      <c r="G179" s="176" t="s">
        <v>968</v>
      </c>
      <c r="H179" s="174"/>
      <c r="I179" s="174"/>
      <c r="J179" s="174"/>
      <c r="K179" s="174"/>
      <c r="L179" s="174"/>
      <c r="M179" s="175"/>
      <c r="O179" t="e">
        <v>#REF!</v>
      </c>
    </row>
    <row r="180" spans="1:15" x14ac:dyDescent="0.25">
      <c r="A180" s="177"/>
      <c r="B180" s="177"/>
      <c r="C180" s="173">
        <v>132</v>
      </c>
      <c r="D180" s="173">
        <v>4</v>
      </c>
      <c r="E180" s="174" t="s">
        <v>966</v>
      </c>
      <c r="F180" s="175" t="s">
        <v>965</v>
      </c>
      <c r="G180" s="176" t="s">
        <v>969</v>
      </c>
      <c r="H180" s="174"/>
      <c r="I180" s="174"/>
      <c r="J180" s="174"/>
      <c r="K180" s="174"/>
      <c r="L180" s="174"/>
      <c r="M180" s="175"/>
      <c r="O180" t="e">
        <v>#REF!</v>
      </c>
    </row>
    <row r="181" spans="1:15" x14ac:dyDescent="0.25">
      <c r="A181" s="177"/>
      <c r="B181" s="177"/>
      <c r="C181" s="173">
        <v>133</v>
      </c>
      <c r="D181" s="173">
        <v>5</v>
      </c>
      <c r="E181" s="174" t="s">
        <v>966</v>
      </c>
      <c r="F181" s="175" t="s">
        <v>965</v>
      </c>
      <c r="G181" s="176" t="s">
        <v>970</v>
      </c>
      <c r="H181" s="189"/>
      <c r="I181" s="174"/>
      <c r="J181" s="174"/>
      <c r="K181" s="174"/>
      <c r="L181" s="174"/>
      <c r="M181" s="175"/>
      <c r="O181" t="e">
        <v>#REF!</v>
      </c>
    </row>
    <row r="182" spans="1:15" x14ac:dyDescent="0.25">
      <c r="A182" s="177"/>
      <c r="B182" s="177"/>
      <c r="C182" s="173">
        <v>134</v>
      </c>
      <c r="D182" s="173">
        <v>6</v>
      </c>
      <c r="E182" s="174" t="s">
        <v>966</v>
      </c>
      <c r="F182" s="175" t="s">
        <v>965</v>
      </c>
      <c r="G182" s="176" t="s">
        <v>971</v>
      </c>
      <c r="H182" s="174"/>
      <c r="I182" s="174"/>
      <c r="J182" s="174"/>
      <c r="K182" s="174"/>
      <c r="L182" s="174"/>
      <c r="M182" s="175"/>
      <c r="O182" t="e">
        <v>#REF!</v>
      </c>
    </row>
    <row r="183" spans="1:15" x14ac:dyDescent="0.25">
      <c r="A183" s="177"/>
      <c r="B183" s="177"/>
      <c r="C183" s="173">
        <v>135</v>
      </c>
      <c r="D183" s="173">
        <v>7</v>
      </c>
      <c r="E183" s="174" t="s">
        <v>966</v>
      </c>
      <c r="F183" s="175" t="s">
        <v>965</v>
      </c>
      <c r="G183" s="176" t="s">
        <v>972</v>
      </c>
      <c r="H183" s="174"/>
      <c r="I183" s="174"/>
      <c r="J183" s="174"/>
      <c r="K183" s="174"/>
      <c r="L183" s="174"/>
      <c r="M183" s="175"/>
      <c r="O183" t="e">
        <v>#REF!</v>
      </c>
    </row>
    <row r="184" spans="1:15" x14ac:dyDescent="0.25">
      <c r="A184" s="177"/>
      <c r="B184" s="177"/>
      <c r="C184" s="173">
        <v>136</v>
      </c>
      <c r="D184" s="173">
        <v>8</v>
      </c>
      <c r="E184" s="174" t="s">
        <v>966</v>
      </c>
      <c r="F184" s="175" t="s">
        <v>965</v>
      </c>
      <c r="G184" s="192" t="s">
        <v>973</v>
      </c>
      <c r="H184" s="174"/>
      <c r="I184" s="174"/>
      <c r="J184" s="174"/>
      <c r="K184" s="174"/>
      <c r="L184" s="174"/>
      <c r="M184" s="175"/>
      <c r="O184" t="e">
        <v>#REF!</v>
      </c>
    </row>
    <row r="185" spans="1:15" x14ac:dyDescent="0.25">
      <c r="A185" s="177"/>
      <c r="B185" s="177"/>
      <c r="C185" s="173">
        <v>137</v>
      </c>
      <c r="D185" s="173">
        <v>9</v>
      </c>
      <c r="E185" s="174" t="s">
        <v>966</v>
      </c>
      <c r="F185" s="175" t="s">
        <v>965</v>
      </c>
      <c r="G185" s="183" t="s">
        <v>974</v>
      </c>
      <c r="H185" s="189"/>
      <c r="I185" s="174"/>
      <c r="J185" s="174"/>
      <c r="K185" s="174"/>
      <c r="L185" s="174"/>
      <c r="M185" s="175"/>
      <c r="O185" t="e">
        <v>#REF!</v>
      </c>
    </row>
    <row r="186" spans="1:15" x14ac:dyDescent="0.25">
      <c r="A186" s="177"/>
      <c r="B186" s="177"/>
      <c r="C186" s="173">
        <v>138</v>
      </c>
      <c r="D186" s="173">
        <v>10</v>
      </c>
      <c r="E186" s="174" t="s">
        <v>966</v>
      </c>
      <c r="F186" s="175" t="s">
        <v>965</v>
      </c>
      <c r="G186" s="176" t="s">
        <v>975</v>
      </c>
      <c r="H186" s="174"/>
      <c r="I186" s="174"/>
      <c r="J186" s="174"/>
      <c r="K186" s="174"/>
      <c r="L186" s="174"/>
      <c r="M186" s="175"/>
      <c r="O186" t="e">
        <v>#REF!</v>
      </c>
    </row>
    <row r="187" spans="1:15" x14ac:dyDescent="0.25">
      <c r="A187" s="177"/>
      <c r="B187" s="177"/>
      <c r="C187" s="173">
        <v>139</v>
      </c>
      <c r="D187" s="173">
        <v>11</v>
      </c>
      <c r="E187" s="174" t="s">
        <v>966</v>
      </c>
      <c r="F187" s="175" t="s">
        <v>965</v>
      </c>
      <c r="G187" s="176" t="s">
        <v>976</v>
      </c>
      <c r="H187" s="174"/>
      <c r="I187" s="174"/>
      <c r="J187" s="174"/>
      <c r="K187" s="174"/>
      <c r="L187" s="174"/>
      <c r="M187" s="175"/>
      <c r="O187" t="e">
        <v>#REF!</v>
      </c>
    </row>
    <row r="188" spans="1:15" x14ac:dyDescent="0.25">
      <c r="A188" s="177"/>
      <c r="B188" s="177"/>
      <c r="C188" s="173">
        <v>140</v>
      </c>
      <c r="D188" s="173">
        <v>12</v>
      </c>
      <c r="E188" s="174" t="s">
        <v>966</v>
      </c>
      <c r="F188" s="175" t="s">
        <v>965</v>
      </c>
      <c r="G188" s="176" t="s">
        <v>977</v>
      </c>
      <c r="H188" s="189"/>
      <c r="I188" s="174"/>
      <c r="J188" s="174"/>
      <c r="K188" s="174"/>
      <c r="L188" s="174"/>
      <c r="M188" s="175"/>
      <c r="O188" t="e">
        <v>#REF!</v>
      </c>
    </row>
    <row r="189" spans="1:15" x14ac:dyDescent="0.25">
      <c r="A189" s="177"/>
      <c r="B189" s="177"/>
      <c r="C189" s="173">
        <v>141</v>
      </c>
      <c r="D189" s="173">
        <v>13</v>
      </c>
      <c r="E189" s="174" t="s">
        <v>966</v>
      </c>
      <c r="F189" s="175" t="s">
        <v>965</v>
      </c>
      <c r="G189" s="176" t="s">
        <v>978</v>
      </c>
      <c r="H189" s="174"/>
      <c r="I189" s="174"/>
      <c r="J189" s="174"/>
      <c r="K189" s="174"/>
      <c r="L189" s="174"/>
      <c r="M189" s="175"/>
      <c r="O189" t="e">
        <v>#REF!</v>
      </c>
    </row>
    <row r="190" spans="1:15" x14ac:dyDescent="0.25">
      <c r="A190" s="177"/>
      <c r="B190" s="177"/>
      <c r="C190" s="173">
        <v>142</v>
      </c>
      <c r="D190" s="173">
        <v>14</v>
      </c>
      <c r="E190" s="174" t="s">
        <v>966</v>
      </c>
      <c r="F190" s="175"/>
      <c r="G190" s="174" t="s">
        <v>869</v>
      </c>
      <c r="H190" s="174"/>
      <c r="I190" s="174"/>
      <c r="J190" s="174"/>
      <c r="K190" s="174"/>
      <c r="L190" s="174"/>
      <c r="M190" s="175"/>
      <c r="O190" t="e">
        <v>#REF!</v>
      </c>
    </row>
    <row r="191" spans="1:15" x14ac:dyDescent="0.25">
      <c r="A191" s="179"/>
      <c r="B191" s="179"/>
      <c r="C191" s="173">
        <v>143</v>
      </c>
      <c r="D191" s="173">
        <v>15</v>
      </c>
      <c r="E191" s="174" t="s">
        <v>966</v>
      </c>
      <c r="F191" s="175"/>
      <c r="G191" s="174" t="s">
        <v>869</v>
      </c>
      <c r="H191" s="189"/>
      <c r="I191" s="174"/>
      <c r="J191" s="174"/>
      <c r="K191" s="174"/>
      <c r="L191" s="174"/>
      <c r="M191" s="175"/>
      <c r="O191" t="e">
        <v>#REF!</v>
      </c>
    </row>
    <row r="193" spans="1:15" x14ac:dyDescent="0.25">
      <c r="A193" s="167" t="s">
        <v>864</v>
      </c>
      <c r="B193" s="167" t="s">
        <v>865</v>
      </c>
      <c r="C193" s="167" t="s">
        <v>210</v>
      </c>
      <c r="D193" s="167" t="s">
        <v>866</v>
      </c>
      <c r="E193" s="168"/>
      <c r="F193" s="169"/>
      <c r="G193" s="168"/>
      <c r="H193" s="170"/>
      <c r="I193" s="170"/>
      <c r="J193" s="170"/>
      <c r="K193" s="170"/>
      <c r="L193" s="170"/>
      <c r="M193" s="171"/>
    </row>
    <row r="194" spans="1:15" x14ac:dyDescent="0.25">
      <c r="A194" s="172">
        <v>9</v>
      </c>
      <c r="B194" s="172" t="s">
        <v>3</v>
      </c>
      <c r="C194" s="173">
        <v>144</v>
      </c>
      <c r="D194" s="173">
        <v>0</v>
      </c>
      <c r="E194" s="174" t="s">
        <v>966</v>
      </c>
      <c r="F194" s="175" t="s">
        <v>979</v>
      </c>
      <c r="G194" s="176" t="s">
        <v>980</v>
      </c>
      <c r="H194" s="174"/>
      <c r="I194" s="174"/>
      <c r="J194" s="174"/>
      <c r="K194" s="174"/>
      <c r="L194" s="174"/>
      <c r="M194" s="175"/>
      <c r="O194" t="e">
        <v>#REF!</v>
      </c>
    </row>
    <row r="195" spans="1:15" x14ac:dyDescent="0.25">
      <c r="A195" s="177"/>
      <c r="B195" s="177"/>
      <c r="C195" s="173">
        <v>145</v>
      </c>
      <c r="D195" s="173">
        <v>1</v>
      </c>
      <c r="E195" s="174" t="s">
        <v>966</v>
      </c>
      <c r="F195" s="175" t="s">
        <v>981</v>
      </c>
      <c r="G195" s="176" t="s">
        <v>982</v>
      </c>
      <c r="H195" s="174"/>
      <c r="I195" s="174"/>
      <c r="J195" s="174"/>
      <c r="K195" s="174"/>
      <c r="L195" s="174"/>
      <c r="M195" s="175"/>
      <c r="O195" t="e">
        <v>#REF!</v>
      </c>
    </row>
    <row r="196" spans="1:15" x14ac:dyDescent="0.25">
      <c r="A196" s="178"/>
      <c r="B196" s="177"/>
      <c r="C196" s="173">
        <v>146</v>
      </c>
      <c r="D196" s="173">
        <v>2</v>
      </c>
      <c r="E196" s="174" t="s">
        <v>966</v>
      </c>
      <c r="F196" s="175" t="s">
        <v>983</v>
      </c>
      <c r="G196" s="187" t="s">
        <v>984</v>
      </c>
      <c r="H196" s="189"/>
      <c r="I196" s="174"/>
      <c r="J196" s="174"/>
      <c r="K196" s="174"/>
      <c r="L196" s="174"/>
      <c r="M196" s="175"/>
      <c r="O196" t="e">
        <v>#REF!</v>
      </c>
    </row>
    <row r="197" spans="1:15" x14ac:dyDescent="0.25">
      <c r="A197" s="177"/>
      <c r="B197" s="177"/>
      <c r="C197" s="173">
        <v>147</v>
      </c>
      <c r="D197" s="173">
        <v>3</v>
      </c>
      <c r="E197" s="174" t="s">
        <v>966</v>
      </c>
      <c r="F197" s="175" t="s">
        <v>985</v>
      </c>
      <c r="G197" s="187" t="s">
        <v>986</v>
      </c>
      <c r="H197" s="174"/>
      <c r="I197" s="174"/>
      <c r="J197" s="174"/>
      <c r="K197" s="174"/>
      <c r="L197" s="174"/>
      <c r="M197" s="175"/>
      <c r="O197" t="e">
        <v>#REF!</v>
      </c>
    </row>
    <row r="198" spans="1:15" x14ac:dyDescent="0.25">
      <c r="A198" s="177"/>
      <c r="B198" s="177"/>
      <c r="C198" s="173">
        <v>148</v>
      </c>
      <c r="D198" s="173">
        <v>4</v>
      </c>
      <c r="E198" s="174" t="s">
        <v>966</v>
      </c>
      <c r="F198" s="175" t="s">
        <v>987</v>
      </c>
      <c r="G198" s="176" t="s">
        <v>988</v>
      </c>
      <c r="H198" s="189"/>
      <c r="I198" s="174"/>
      <c r="J198" s="174"/>
      <c r="K198" s="174"/>
      <c r="L198" s="174"/>
      <c r="M198" s="175"/>
      <c r="O198" t="e">
        <v>#REF!</v>
      </c>
    </row>
    <row r="199" spans="1:15" x14ac:dyDescent="0.25">
      <c r="A199" s="177"/>
      <c r="B199" s="177"/>
      <c r="C199" s="173">
        <v>149</v>
      </c>
      <c r="D199" s="173">
        <v>5</v>
      </c>
      <c r="E199" s="174" t="s">
        <v>966</v>
      </c>
      <c r="F199" s="175" t="s">
        <v>989</v>
      </c>
      <c r="G199" s="187" t="s">
        <v>990</v>
      </c>
      <c r="H199" s="174"/>
      <c r="I199" s="174"/>
      <c r="J199" s="174"/>
      <c r="K199" s="174"/>
      <c r="L199" s="174"/>
      <c r="M199" s="175"/>
      <c r="O199" t="e">
        <v>#REF!</v>
      </c>
    </row>
    <row r="200" spans="1:15" x14ac:dyDescent="0.25">
      <c r="A200" s="177"/>
      <c r="B200" s="177"/>
      <c r="C200" s="173">
        <v>150</v>
      </c>
      <c r="D200" s="173">
        <v>6</v>
      </c>
      <c r="E200" s="174" t="s">
        <v>966</v>
      </c>
      <c r="F200" s="175" t="s">
        <v>991</v>
      </c>
      <c r="G200" s="176" t="s">
        <v>992</v>
      </c>
      <c r="H200" s="174"/>
      <c r="I200" s="174"/>
      <c r="J200" s="174"/>
      <c r="K200" s="174"/>
      <c r="L200" s="174"/>
      <c r="M200" s="175"/>
      <c r="O200" t="e">
        <v>#REF!</v>
      </c>
    </row>
    <row r="201" spans="1:15" x14ac:dyDescent="0.25">
      <c r="A201" s="177"/>
      <c r="B201" s="177"/>
      <c r="C201" s="173">
        <v>151</v>
      </c>
      <c r="D201" s="173">
        <v>7</v>
      </c>
      <c r="E201" s="174" t="s">
        <v>966</v>
      </c>
      <c r="F201" s="175" t="s">
        <v>993</v>
      </c>
      <c r="G201" s="176" t="s">
        <v>994</v>
      </c>
      <c r="H201" s="174"/>
      <c r="I201" s="174"/>
      <c r="J201" s="174"/>
      <c r="K201" s="174"/>
      <c r="L201" s="174"/>
      <c r="M201" s="175"/>
      <c r="O201" t="e">
        <v>#REF!</v>
      </c>
    </row>
    <row r="202" spans="1:15" x14ac:dyDescent="0.25">
      <c r="A202" s="177"/>
      <c r="B202" s="177"/>
      <c r="C202" s="173">
        <v>152</v>
      </c>
      <c r="D202" s="173">
        <v>8</v>
      </c>
      <c r="E202" s="174"/>
      <c r="F202" s="175"/>
      <c r="G202" s="176"/>
      <c r="H202" s="174"/>
      <c r="I202" s="174"/>
      <c r="J202" s="174"/>
      <c r="K202" s="174"/>
      <c r="L202" s="174"/>
      <c r="M202" s="175"/>
      <c r="O202" t="e">
        <v>#REF!</v>
      </c>
    </row>
    <row r="203" spans="1:15" x14ac:dyDescent="0.25">
      <c r="A203" s="177"/>
      <c r="B203" s="177"/>
      <c r="C203" s="173">
        <v>153</v>
      </c>
      <c r="D203" s="173">
        <v>9</v>
      </c>
      <c r="E203" s="174"/>
      <c r="F203" s="175"/>
      <c r="G203" s="176"/>
      <c r="H203" s="174"/>
      <c r="I203" s="174"/>
      <c r="J203" s="174"/>
      <c r="K203" s="174"/>
      <c r="L203" s="174"/>
      <c r="M203" s="175"/>
      <c r="O203" t="e">
        <v>#REF!</v>
      </c>
    </row>
    <row r="204" spans="1:15" x14ac:dyDescent="0.25">
      <c r="A204" s="177"/>
      <c r="B204" s="177"/>
      <c r="C204" s="173">
        <v>154</v>
      </c>
      <c r="D204" s="173">
        <v>10</v>
      </c>
      <c r="E204" s="174"/>
      <c r="F204" s="175"/>
      <c r="G204" s="176"/>
      <c r="H204" s="174"/>
      <c r="I204" s="174"/>
      <c r="J204" s="174"/>
      <c r="K204" s="174"/>
      <c r="L204" s="174"/>
      <c r="M204" s="175"/>
      <c r="O204" t="e">
        <v>#REF!</v>
      </c>
    </row>
    <row r="205" spans="1:15" x14ac:dyDescent="0.25">
      <c r="A205" s="177"/>
      <c r="B205" s="177"/>
      <c r="C205" s="173">
        <v>155</v>
      </c>
      <c r="D205" s="173">
        <v>11</v>
      </c>
      <c r="E205" s="174"/>
      <c r="F205" s="175"/>
      <c r="G205" s="176"/>
      <c r="H205" s="174"/>
      <c r="I205" s="174"/>
      <c r="J205" s="174"/>
      <c r="K205" s="174"/>
      <c r="L205" s="174"/>
      <c r="M205" s="175"/>
      <c r="O205" t="e">
        <v>#REF!</v>
      </c>
    </row>
    <row r="206" spans="1:15" x14ac:dyDescent="0.25">
      <c r="A206" s="177"/>
      <c r="B206" s="177"/>
      <c r="C206" s="173">
        <v>156</v>
      </c>
      <c r="D206" s="173">
        <v>12</v>
      </c>
      <c r="E206" s="174"/>
      <c r="F206" s="175"/>
      <c r="G206" s="176"/>
      <c r="H206" s="174"/>
      <c r="I206" s="174"/>
      <c r="J206" s="174"/>
      <c r="K206" s="174"/>
      <c r="L206" s="174"/>
      <c r="M206" s="175"/>
      <c r="O206" t="e">
        <v>#REF!</v>
      </c>
    </row>
    <row r="207" spans="1:15" x14ac:dyDescent="0.25">
      <c r="A207" s="177"/>
      <c r="B207" s="177"/>
      <c r="C207" s="173">
        <v>157</v>
      </c>
      <c r="D207" s="173">
        <v>13</v>
      </c>
      <c r="E207" s="174"/>
      <c r="F207" s="175"/>
      <c r="G207" s="176"/>
      <c r="H207" s="174"/>
      <c r="I207" s="174"/>
      <c r="J207" s="174"/>
      <c r="K207" s="174"/>
      <c r="L207" s="174"/>
      <c r="M207" s="175"/>
      <c r="O207" t="e">
        <v>#REF!</v>
      </c>
    </row>
    <row r="208" spans="1:15" x14ac:dyDescent="0.25">
      <c r="A208" s="177"/>
      <c r="B208" s="177"/>
      <c r="C208" s="173">
        <v>158</v>
      </c>
      <c r="D208" s="173">
        <v>14</v>
      </c>
      <c r="E208" s="174"/>
      <c r="F208" s="175"/>
      <c r="G208" s="176"/>
      <c r="H208" s="174"/>
      <c r="I208" s="174"/>
      <c r="J208" s="174"/>
      <c r="K208" s="174"/>
      <c r="L208" s="174"/>
      <c r="M208" s="175"/>
      <c r="O208" t="e">
        <v>#REF!</v>
      </c>
    </row>
    <row r="209" spans="1:15" x14ac:dyDescent="0.25">
      <c r="A209" s="179"/>
      <c r="B209" s="179"/>
      <c r="C209" s="173">
        <v>159</v>
      </c>
      <c r="D209" s="173">
        <v>15</v>
      </c>
      <c r="E209" s="174"/>
      <c r="F209" s="175"/>
      <c r="G209" s="176"/>
      <c r="H209" s="174"/>
      <c r="I209" s="174"/>
      <c r="J209" s="174"/>
      <c r="K209" s="174"/>
      <c r="L209" s="174"/>
      <c r="M209" s="175"/>
      <c r="O209" t="e">
        <v>#REF!</v>
      </c>
    </row>
    <row r="211" spans="1:15" x14ac:dyDescent="0.25">
      <c r="A211" s="167" t="s">
        <v>864</v>
      </c>
      <c r="B211" s="167" t="s">
        <v>865</v>
      </c>
      <c r="C211" s="167" t="s">
        <v>210</v>
      </c>
      <c r="D211" s="167" t="s">
        <v>866</v>
      </c>
      <c r="E211" s="168"/>
      <c r="F211" s="169"/>
      <c r="G211" s="168"/>
      <c r="H211" s="170"/>
      <c r="I211" s="170"/>
      <c r="J211" s="170"/>
      <c r="K211" s="170"/>
      <c r="L211" s="170"/>
      <c r="M211" s="171"/>
    </row>
    <row r="212" spans="1:15" x14ac:dyDescent="0.25">
      <c r="A212" s="172">
        <v>10</v>
      </c>
      <c r="B212" s="172" t="s">
        <v>995</v>
      </c>
      <c r="C212" s="173">
        <v>160</v>
      </c>
      <c r="D212" s="173">
        <v>0</v>
      </c>
      <c r="E212" s="174"/>
      <c r="F212" s="175"/>
      <c r="G212" s="176"/>
      <c r="H212" s="174"/>
      <c r="I212" s="174"/>
      <c r="J212" s="192"/>
      <c r="K212" s="174"/>
      <c r="L212" s="174"/>
      <c r="M212" s="175"/>
      <c r="O212">
        <v>0</v>
      </c>
    </row>
    <row r="213" spans="1:15" x14ac:dyDescent="0.25">
      <c r="A213" s="177"/>
      <c r="B213" s="177"/>
      <c r="C213" s="173">
        <v>161</v>
      </c>
      <c r="D213" s="173">
        <v>1</v>
      </c>
      <c r="E213" s="174"/>
      <c r="F213" s="193"/>
      <c r="G213" s="176"/>
      <c r="H213" s="174"/>
      <c r="I213" s="174"/>
      <c r="J213" s="192"/>
      <c r="K213" s="174"/>
      <c r="L213" s="174"/>
      <c r="M213" s="175"/>
      <c r="O213">
        <v>0</v>
      </c>
    </row>
    <row r="214" spans="1:15" x14ac:dyDescent="0.25">
      <c r="A214" s="178"/>
      <c r="B214" s="177"/>
      <c r="C214" s="173">
        <v>162</v>
      </c>
      <c r="D214" s="173">
        <v>2</v>
      </c>
      <c r="E214" s="174"/>
      <c r="F214" s="175"/>
      <c r="G214" s="176"/>
      <c r="H214" s="174"/>
      <c r="I214" s="174"/>
      <c r="J214" s="174"/>
      <c r="K214" s="174"/>
      <c r="L214" s="174"/>
      <c r="M214" s="175"/>
      <c r="O214">
        <v>0</v>
      </c>
    </row>
    <row r="215" spans="1:15" x14ac:dyDescent="0.25">
      <c r="A215" s="177"/>
      <c r="B215" s="177"/>
      <c r="C215" s="173">
        <v>163</v>
      </c>
      <c r="D215" s="173">
        <v>3</v>
      </c>
      <c r="E215" s="174"/>
      <c r="F215" s="193"/>
      <c r="G215" s="176"/>
      <c r="H215" s="174"/>
      <c r="I215" s="174"/>
      <c r="J215" s="174"/>
      <c r="K215" s="174"/>
      <c r="L215" s="174"/>
      <c r="M215" s="175"/>
      <c r="O215">
        <v>0</v>
      </c>
    </row>
    <row r="216" spans="1:15" x14ac:dyDescent="0.25">
      <c r="A216" s="177"/>
      <c r="B216" s="177"/>
      <c r="C216" s="173">
        <v>164</v>
      </c>
      <c r="D216" s="173">
        <v>4</v>
      </c>
      <c r="E216" s="180"/>
      <c r="F216" s="175"/>
      <c r="G216" s="176"/>
      <c r="H216" s="174"/>
      <c r="I216" s="174"/>
      <c r="J216" s="192"/>
      <c r="K216" s="174"/>
      <c r="L216" s="174"/>
      <c r="M216" s="175"/>
      <c r="O216">
        <v>0</v>
      </c>
    </row>
    <row r="217" spans="1:15" x14ac:dyDescent="0.25">
      <c r="A217" s="177"/>
      <c r="B217" s="177"/>
      <c r="C217" s="173">
        <v>165</v>
      </c>
      <c r="D217" s="173">
        <v>5</v>
      </c>
      <c r="E217" s="180"/>
      <c r="F217" s="193"/>
      <c r="G217" s="176"/>
      <c r="H217" s="174"/>
      <c r="I217" s="174"/>
      <c r="J217" s="192"/>
      <c r="K217" s="174"/>
      <c r="L217" s="174"/>
      <c r="M217" s="175"/>
      <c r="O217">
        <v>0</v>
      </c>
    </row>
    <row r="218" spans="1:15" x14ac:dyDescent="0.25">
      <c r="A218" s="177"/>
      <c r="B218" s="177"/>
      <c r="C218" s="173">
        <v>166</v>
      </c>
      <c r="D218" s="173">
        <v>6</v>
      </c>
      <c r="E218" s="174"/>
      <c r="F218" s="175"/>
      <c r="G218" s="176"/>
      <c r="H218" s="174"/>
      <c r="I218" s="174"/>
      <c r="J218" s="174"/>
      <c r="K218" s="174"/>
      <c r="L218" s="174"/>
      <c r="M218" s="175"/>
      <c r="O218">
        <v>0</v>
      </c>
    </row>
    <row r="219" spans="1:15" x14ac:dyDescent="0.25">
      <c r="A219" s="177"/>
      <c r="B219" s="177"/>
      <c r="C219" s="173">
        <v>167</v>
      </c>
      <c r="D219" s="173">
        <v>7</v>
      </c>
      <c r="E219" s="174"/>
      <c r="F219" s="175"/>
      <c r="G219" s="176"/>
      <c r="H219" s="174"/>
      <c r="I219" s="174"/>
      <c r="J219" s="174"/>
      <c r="K219" s="174"/>
      <c r="L219" s="174"/>
      <c r="M219" s="175"/>
      <c r="O219">
        <v>0</v>
      </c>
    </row>
    <row r="220" spans="1:15" x14ac:dyDescent="0.25">
      <c r="A220" s="177"/>
      <c r="B220" s="177"/>
      <c r="C220" s="173">
        <v>168</v>
      </c>
      <c r="D220" s="173">
        <v>8</v>
      </c>
      <c r="E220" s="174"/>
      <c r="F220" s="175"/>
      <c r="G220" s="176"/>
      <c r="H220" s="174"/>
      <c r="I220" s="174"/>
      <c r="J220" s="174"/>
      <c r="K220" s="174"/>
      <c r="L220" s="174"/>
      <c r="M220" s="175"/>
      <c r="O220">
        <v>0</v>
      </c>
    </row>
    <row r="221" spans="1:15" x14ac:dyDescent="0.25">
      <c r="A221" s="177"/>
      <c r="B221" s="177"/>
      <c r="C221" s="173">
        <v>169</v>
      </c>
      <c r="D221" s="173">
        <v>9</v>
      </c>
      <c r="E221" s="174"/>
      <c r="F221" s="175"/>
      <c r="G221" s="176"/>
      <c r="H221" s="174"/>
      <c r="I221" s="174"/>
      <c r="J221" s="174"/>
      <c r="K221" s="174"/>
      <c r="L221" s="174"/>
      <c r="M221" s="175"/>
      <c r="O221">
        <v>0</v>
      </c>
    </row>
    <row r="222" spans="1:15" x14ac:dyDescent="0.25">
      <c r="A222" s="177"/>
      <c r="B222" s="177"/>
      <c r="C222" s="173">
        <v>170</v>
      </c>
      <c r="D222" s="173">
        <v>10</v>
      </c>
      <c r="E222" s="174"/>
      <c r="F222" s="175"/>
      <c r="G222" s="176"/>
      <c r="H222" s="174"/>
      <c r="I222" s="174"/>
      <c r="J222" s="174"/>
      <c r="K222" s="174"/>
      <c r="L222" s="174"/>
      <c r="M222" s="175"/>
      <c r="O222">
        <v>0</v>
      </c>
    </row>
    <row r="223" spans="1:15" x14ac:dyDescent="0.25">
      <c r="A223" s="177"/>
      <c r="B223" s="177"/>
      <c r="C223" s="173">
        <v>171</v>
      </c>
      <c r="D223" s="173">
        <v>11</v>
      </c>
      <c r="E223" s="174"/>
      <c r="F223" s="175"/>
      <c r="G223" s="176"/>
      <c r="H223" s="174"/>
      <c r="I223" s="174"/>
      <c r="J223" s="174"/>
      <c r="K223" s="174"/>
      <c r="L223" s="174"/>
      <c r="M223" s="175"/>
      <c r="O223">
        <v>0</v>
      </c>
    </row>
    <row r="224" spans="1:15" x14ac:dyDescent="0.25">
      <c r="A224" s="177"/>
      <c r="B224" s="177"/>
      <c r="C224" s="173">
        <v>172</v>
      </c>
      <c r="D224" s="173">
        <v>12</v>
      </c>
      <c r="E224" s="174"/>
      <c r="F224" s="175"/>
      <c r="G224" s="176"/>
      <c r="H224" s="174"/>
      <c r="I224" s="174"/>
      <c r="J224" s="174"/>
      <c r="K224" s="174"/>
      <c r="L224" s="174"/>
      <c r="M224" s="175"/>
      <c r="O224">
        <v>0</v>
      </c>
    </row>
    <row r="225" spans="1:15" x14ac:dyDescent="0.25">
      <c r="A225" s="177"/>
      <c r="B225" s="177"/>
      <c r="C225" s="173">
        <v>173</v>
      </c>
      <c r="D225" s="173">
        <v>13</v>
      </c>
      <c r="E225" s="174"/>
      <c r="F225" s="175"/>
      <c r="G225" s="176"/>
      <c r="H225" s="174"/>
      <c r="I225" s="174"/>
      <c r="J225" s="174"/>
      <c r="K225" s="174"/>
      <c r="L225" s="174"/>
      <c r="M225" s="175"/>
      <c r="O225">
        <v>0</v>
      </c>
    </row>
    <row r="226" spans="1:15" x14ac:dyDescent="0.25">
      <c r="A226" s="177"/>
      <c r="B226" s="177"/>
      <c r="C226" s="173">
        <v>174</v>
      </c>
      <c r="D226" s="173">
        <v>14</v>
      </c>
      <c r="E226" s="174"/>
      <c r="F226" s="175"/>
      <c r="G226" s="176"/>
      <c r="H226" s="174"/>
      <c r="I226" s="174"/>
      <c r="J226" s="174"/>
      <c r="K226" s="174"/>
      <c r="L226" s="174"/>
      <c r="M226" s="175"/>
      <c r="O226">
        <v>0</v>
      </c>
    </row>
    <row r="227" spans="1:15" x14ac:dyDescent="0.25">
      <c r="A227" s="179"/>
      <c r="B227" s="179"/>
      <c r="C227" s="173">
        <v>175</v>
      </c>
      <c r="D227" s="173">
        <v>15</v>
      </c>
      <c r="E227" s="519"/>
      <c r="F227" s="520"/>
      <c r="G227" s="176"/>
      <c r="H227" s="174"/>
      <c r="I227" s="174"/>
      <c r="J227" s="174"/>
      <c r="K227" s="174"/>
      <c r="L227" s="174"/>
      <c r="M227" s="175"/>
      <c r="O227">
        <v>0</v>
      </c>
    </row>
    <row r="229" spans="1:15" x14ac:dyDescent="0.25">
      <c r="A229" s="167" t="s">
        <v>864</v>
      </c>
      <c r="B229" s="167" t="s">
        <v>865</v>
      </c>
      <c r="C229" s="167" t="s">
        <v>210</v>
      </c>
      <c r="D229" s="167" t="s">
        <v>866</v>
      </c>
      <c r="E229" s="168"/>
      <c r="F229" s="169"/>
      <c r="G229" s="168"/>
      <c r="H229" s="170"/>
      <c r="I229" s="170"/>
      <c r="J229" s="170"/>
      <c r="K229" s="170"/>
      <c r="L229" s="170"/>
      <c r="M229" s="171"/>
    </row>
    <row r="230" spans="1:15" x14ac:dyDescent="0.25">
      <c r="A230" s="172">
        <v>11</v>
      </c>
      <c r="B230" s="172" t="s">
        <v>995</v>
      </c>
      <c r="C230" s="173">
        <v>176</v>
      </c>
      <c r="D230" s="173">
        <v>0</v>
      </c>
      <c r="E230" s="529"/>
      <c r="F230" s="530"/>
      <c r="G230" s="176"/>
      <c r="H230" s="174"/>
      <c r="I230" s="174"/>
      <c r="J230" s="174"/>
      <c r="K230" s="174"/>
      <c r="L230" s="174"/>
      <c r="M230" s="175"/>
      <c r="O230">
        <v>0</v>
      </c>
    </row>
    <row r="231" spans="1:15" x14ac:dyDescent="0.25">
      <c r="A231" s="177"/>
      <c r="B231" s="177"/>
      <c r="C231" s="173">
        <v>177</v>
      </c>
      <c r="D231" s="173">
        <v>1</v>
      </c>
      <c r="E231" s="529"/>
      <c r="F231" s="530"/>
      <c r="G231" s="176"/>
      <c r="H231" s="174"/>
      <c r="I231" s="174"/>
      <c r="J231" s="174"/>
      <c r="K231" s="174"/>
      <c r="L231" s="174"/>
      <c r="M231" s="175"/>
      <c r="O231">
        <v>0</v>
      </c>
    </row>
    <row r="232" spans="1:15" x14ac:dyDescent="0.25">
      <c r="A232" s="178"/>
      <c r="B232" s="177"/>
      <c r="C232" s="173">
        <v>178</v>
      </c>
      <c r="D232" s="173">
        <v>2</v>
      </c>
      <c r="E232" s="529"/>
      <c r="F232" s="530"/>
      <c r="G232" s="176"/>
      <c r="H232" s="174"/>
      <c r="I232" s="174"/>
      <c r="J232" s="174"/>
      <c r="K232" s="174"/>
      <c r="L232" s="174"/>
      <c r="M232" s="175"/>
      <c r="O232">
        <v>0</v>
      </c>
    </row>
    <row r="233" spans="1:15" x14ac:dyDescent="0.25">
      <c r="A233" s="177"/>
      <c r="B233" s="177"/>
      <c r="C233" s="173">
        <v>179</v>
      </c>
      <c r="D233" s="173">
        <v>3</v>
      </c>
      <c r="E233" s="529"/>
      <c r="F233" s="530"/>
      <c r="G233" s="176"/>
      <c r="H233" s="174"/>
      <c r="I233" s="174"/>
      <c r="J233" s="174"/>
      <c r="K233" s="174"/>
      <c r="L233" s="174"/>
      <c r="M233" s="175"/>
      <c r="O233">
        <v>0</v>
      </c>
    </row>
    <row r="234" spans="1:15" x14ac:dyDescent="0.25">
      <c r="A234" s="177"/>
      <c r="B234" s="177"/>
      <c r="C234" s="173">
        <v>180</v>
      </c>
      <c r="D234" s="173">
        <v>4</v>
      </c>
      <c r="E234" s="529"/>
      <c r="F234" s="530"/>
      <c r="G234" s="176"/>
      <c r="H234" s="174"/>
      <c r="I234" s="174"/>
      <c r="J234" s="174"/>
      <c r="K234" s="174"/>
      <c r="L234" s="174"/>
      <c r="M234" s="175"/>
      <c r="O234">
        <v>0</v>
      </c>
    </row>
    <row r="235" spans="1:15" x14ac:dyDescent="0.25">
      <c r="A235" s="177"/>
      <c r="B235" s="177"/>
      <c r="C235" s="173">
        <v>181</v>
      </c>
      <c r="D235" s="173">
        <v>5</v>
      </c>
      <c r="E235" s="529"/>
      <c r="F235" s="530"/>
      <c r="G235" s="176"/>
      <c r="H235" s="174"/>
      <c r="I235" s="174"/>
      <c r="J235" s="174"/>
      <c r="K235" s="174"/>
      <c r="L235" s="174"/>
      <c r="M235" s="175"/>
      <c r="O235">
        <v>0</v>
      </c>
    </row>
    <row r="236" spans="1:15" x14ac:dyDescent="0.25">
      <c r="A236" s="177"/>
      <c r="B236" s="177"/>
      <c r="C236" s="173">
        <v>182</v>
      </c>
      <c r="D236" s="173">
        <v>6</v>
      </c>
      <c r="E236" s="529"/>
      <c r="F236" s="530"/>
      <c r="G236" s="176"/>
      <c r="H236" s="174"/>
      <c r="I236" s="174"/>
      <c r="J236" s="174"/>
      <c r="K236" s="174"/>
      <c r="L236" s="174"/>
      <c r="M236" s="175"/>
      <c r="O236">
        <v>0</v>
      </c>
    </row>
    <row r="237" spans="1:15" x14ac:dyDescent="0.25">
      <c r="A237" s="177"/>
      <c r="B237" s="177"/>
      <c r="C237" s="173">
        <v>183</v>
      </c>
      <c r="D237" s="173">
        <v>7</v>
      </c>
      <c r="E237" s="529"/>
      <c r="F237" s="530"/>
      <c r="G237" s="176"/>
      <c r="H237" s="174"/>
      <c r="I237" s="174"/>
      <c r="J237" s="174"/>
      <c r="K237" s="174"/>
      <c r="L237" s="174"/>
      <c r="M237" s="175"/>
      <c r="O237">
        <v>0</v>
      </c>
    </row>
    <row r="238" spans="1:15" x14ac:dyDescent="0.25">
      <c r="A238" s="177"/>
      <c r="B238" s="177"/>
      <c r="C238" s="173">
        <v>184</v>
      </c>
      <c r="D238" s="173">
        <v>8</v>
      </c>
      <c r="E238" s="174"/>
      <c r="F238" s="175"/>
      <c r="G238" s="176"/>
      <c r="H238" s="174"/>
      <c r="I238" s="174"/>
      <c r="J238" s="174"/>
      <c r="K238" s="174"/>
      <c r="L238" s="174"/>
      <c r="M238" s="175"/>
      <c r="O238">
        <v>0</v>
      </c>
    </row>
    <row r="239" spans="1:15" x14ac:dyDescent="0.25">
      <c r="A239" s="177"/>
      <c r="B239" s="177"/>
      <c r="C239" s="173">
        <v>185</v>
      </c>
      <c r="D239" s="173">
        <v>9</v>
      </c>
      <c r="E239" s="174"/>
      <c r="F239" s="175"/>
      <c r="G239" s="176"/>
      <c r="H239" s="174"/>
      <c r="I239" s="174"/>
      <c r="J239" s="174"/>
      <c r="K239" s="174"/>
      <c r="L239" s="174"/>
      <c r="M239" s="175"/>
      <c r="O239">
        <v>0</v>
      </c>
    </row>
    <row r="240" spans="1:15" x14ac:dyDescent="0.25">
      <c r="A240" s="177"/>
      <c r="B240" s="177"/>
      <c r="C240" s="173">
        <v>186</v>
      </c>
      <c r="D240" s="173">
        <v>10</v>
      </c>
      <c r="E240" s="174"/>
      <c r="F240" s="175"/>
      <c r="G240" s="176"/>
      <c r="H240" s="174"/>
      <c r="I240" s="174"/>
      <c r="J240" s="174"/>
      <c r="K240" s="174"/>
      <c r="L240" s="174"/>
      <c r="M240" s="175"/>
      <c r="O240">
        <v>0</v>
      </c>
    </row>
    <row r="241" spans="1:15" x14ac:dyDescent="0.25">
      <c r="A241" s="177"/>
      <c r="B241" s="177"/>
      <c r="C241" s="173">
        <v>187</v>
      </c>
      <c r="D241" s="173">
        <v>11</v>
      </c>
      <c r="E241" s="174"/>
      <c r="F241" s="175"/>
      <c r="G241" s="176"/>
      <c r="H241" s="174"/>
      <c r="I241" s="174"/>
      <c r="J241" s="174"/>
      <c r="K241" s="174"/>
      <c r="L241" s="174"/>
      <c r="M241" s="175"/>
      <c r="O241">
        <v>0</v>
      </c>
    </row>
    <row r="242" spans="1:15" x14ac:dyDescent="0.25">
      <c r="A242" s="177"/>
      <c r="B242" s="177"/>
      <c r="C242" s="173">
        <v>188</v>
      </c>
      <c r="D242" s="173">
        <v>12</v>
      </c>
      <c r="E242" s="174"/>
      <c r="F242" s="175"/>
      <c r="G242" s="176"/>
      <c r="H242" s="174"/>
      <c r="I242" s="174"/>
      <c r="J242" s="174"/>
      <c r="K242" s="174"/>
      <c r="L242" s="174"/>
      <c r="M242" s="175"/>
      <c r="O242">
        <v>0</v>
      </c>
    </row>
    <row r="243" spans="1:15" x14ac:dyDescent="0.25">
      <c r="A243" s="177"/>
      <c r="B243" s="177"/>
      <c r="C243" s="173">
        <v>189</v>
      </c>
      <c r="D243" s="173">
        <v>13</v>
      </c>
      <c r="E243" s="174"/>
      <c r="F243" s="175"/>
      <c r="G243" s="176"/>
      <c r="H243" s="174"/>
      <c r="I243" s="174"/>
      <c r="J243" s="174"/>
      <c r="K243" s="174"/>
      <c r="L243" s="174"/>
      <c r="M243" s="175"/>
      <c r="O243">
        <v>0</v>
      </c>
    </row>
    <row r="244" spans="1:15" x14ac:dyDescent="0.25">
      <c r="A244" s="177"/>
      <c r="B244" s="177"/>
      <c r="C244" s="173">
        <v>190</v>
      </c>
      <c r="D244" s="173">
        <v>14</v>
      </c>
      <c r="E244" s="174"/>
      <c r="F244" s="175"/>
      <c r="G244" s="176"/>
      <c r="H244" s="174"/>
      <c r="I244" s="174"/>
      <c r="J244" s="174"/>
      <c r="K244" s="174"/>
      <c r="L244" s="174"/>
      <c r="M244" s="175"/>
      <c r="O244">
        <v>0</v>
      </c>
    </row>
    <row r="245" spans="1:15" x14ac:dyDescent="0.25">
      <c r="A245" s="179"/>
      <c r="B245" s="179"/>
      <c r="C245" s="173">
        <v>191</v>
      </c>
      <c r="D245" s="173">
        <v>15</v>
      </c>
      <c r="E245" s="174"/>
      <c r="F245" s="175"/>
      <c r="G245" s="176"/>
      <c r="H245" s="174"/>
      <c r="I245" s="174"/>
      <c r="J245" s="174"/>
      <c r="K245" s="174"/>
      <c r="L245" s="174"/>
      <c r="M245" s="175"/>
      <c r="O245">
        <v>0</v>
      </c>
    </row>
    <row r="247" spans="1:15" x14ac:dyDescent="0.25">
      <c r="A247" s="167" t="s">
        <v>864</v>
      </c>
      <c r="B247" s="167" t="s">
        <v>865</v>
      </c>
      <c r="C247" s="167" t="s">
        <v>210</v>
      </c>
      <c r="D247" s="167" t="s">
        <v>866</v>
      </c>
      <c r="E247" s="168" t="s">
        <v>867</v>
      </c>
      <c r="F247" s="169"/>
      <c r="G247" s="168" t="s">
        <v>868</v>
      </c>
      <c r="H247" s="170"/>
      <c r="I247" s="170"/>
      <c r="J247" s="170"/>
      <c r="K247" s="170"/>
      <c r="L247" s="170"/>
      <c r="M247" s="171"/>
    </row>
    <row r="248" spans="1:15" x14ac:dyDescent="0.25">
      <c r="A248" s="172">
        <v>12</v>
      </c>
      <c r="B248" s="172" t="s">
        <v>995</v>
      </c>
      <c r="C248" s="173">
        <v>192</v>
      </c>
      <c r="D248" s="173">
        <v>0</v>
      </c>
      <c r="E248" s="180"/>
      <c r="F248" s="193"/>
      <c r="G248" s="187"/>
      <c r="H248" s="174"/>
      <c r="I248" s="174"/>
      <c r="J248" s="174"/>
      <c r="K248" s="174"/>
      <c r="L248" s="174"/>
      <c r="M248" s="175"/>
      <c r="O248">
        <v>0</v>
      </c>
    </row>
    <row r="249" spans="1:15" x14ac:dyDescent="0.25">
      <c r="A249" s="177"/>
      <c r="B249" s="177"/>
      <c r="C249" s="173">
        <v>193</v>
      </c>
      <c r="D249" s="173">
        <v>1</v>
      </c>
      <c r="E249" s="180"/>
      <c r="F249" s="193"/>
      <c r="G249" s="176"/>
      <c r="H249" s="174"/>
      <c r="I249" s="174"/>
      <c r="J249" s="174"/>
      <c r="K249" s="174"/>
      <c r="L249" s="174"/>
      <c r="M249" s="175"/>
      <c r="O249">
        <v>0</v>
      </c>
    </row>
    <row r="250" spans="1:15" x14ac:dyDescent="0.25">
      <c r="A250" s="178"/>
      <c r="B250" s="177"/>
      <c r="C250" s="173">
        <v>194</v>
      </c>
      <c r="D250" s="173">
        <v>2</v>
      </c>
      <c r="E250" s="180"/>
      <c r="F250" s="193"/>
      <c r="G250" s="176"/>
      <c r="H250" s="174"/>
      <c r="I250" s="174"/>
      <c r="J250" s="174"/>
      <c r="K250" s="174"/>
      <c r="L250" s="174"/>
      <c r="M250" s="175"/>
      <c r="O250">
        <v>0</v>
      </c>
    </row>
    <row r="251" spans="1:15" x14ac:dyDescent="0.25">
      <c r="A251" s="177"/>
      <c r="B251" s="177"/>
      <c r="C251" s="173">
        <v>195</v>
      </c>
      <c r="D251" s="173">
        <v>3</v>
      </c>
      <c r="E251" s="180"/>
      <c r="F251" s="193"/>
      <c r="G251" s="187"/>
      <c r="H251" s="174"/>
      <c r="I251" s="174"/>
      <c r="J251" s="174"/>
      <c r="K251" s="174"/>
      <c r="L251" s="174"/>
      <c r="M251" s="175"/>
      <c r="O251">
        <v>0</v>
      </c>
    </row>
    <row r="252" spans="1:15" x14ac:dyDescent="0.25">
      <c r="A252" s="177"/>
      <c r="B252" s="177"/>
      <c r="C252" s="173">
        <v>196</v>
      </c>
      <c r="D252" s="173">
        <v>4</v>
      </c>
      <c r="E252" s="180"/>
      <c r="F252" s="193"/>
      <c r="G252" s="187"/>
      <c r="H252" s="174"/>
      <c r="I252" s="174"/>
      <c r="J252" s="174"/>
      <c r="K252" s="174"/>
      <c r="L252" s="174"/>
      <c r="M252" s="175"/>
      <c r="O252">
        <v>0</v>
      </c>
    </row>
    <row r="253" spans="1:15" x14ac:dyDescent="0.25">
      <c r="A253" s="177"/>
      <c r="B253" s="177"/>
      <c r="C253" s="173">
        <v>197</v>
      </c>
      <c r="D253" s="173">
        <v>5</v>
      </c>
      <c r="E253" s="174"/>
      <c r="F253" s="193"/>
      <c r="G253" s="187"/>
      <c r="H253" s="174"/>
      <c r="I253" s="174"/>
      <c r="J253" s="174"/>
      <c r="K253" s="174"/>
      <c r="L253" s="174"/>
      <c r="M253" s="175"/>
      <c r="O253">
        <v>0</v>
      </c>
    </row>
    <row r="254" spans="1:15" x14ac:dyDescent="0.25">
      <c r="A254" s="177"/>
      <c r="B254" s="177"/>
      <c r="C254" s="173">
        <v>198</v>
      </c>
      <c r="D254" s="173">
        <v>6</v>
      </c>
      <c r="E254" s="174"/>
      <c r="F254" s="193"/>
      <c r="G254" s="187"/>
      <c r="H254" s="174"/>
      <c r="I254" s="174"/>
      <c r="J254" s="174"/>
      <c r="K254" s="174"/>
      <c r="L254" s="174"/>
      <c r="M254" s="175"/>
      <c r="O254">
        <v>0</v>
      </c>
    </row>
    <row r="255" spans="1:15" x14ac:dyDescent="0.25">
      <c r="A255" s="177"/>
      <c r="B255" s="177"/>
      <c r="C255" s="173">
        <v>199</v>
      </c>
      <c r="D255" s="173">
        <v>7</v>
      </c>
      <c r="E255" s="174"/>
      <c r="F255" s="193"/>
      <c r="G255" s="187"/>
      <c r="H255" s="174"/>
      <c r="I255" s="174"/>
      <c r="J255" s="174"/>
      <c r="K255" s="174"/>
      <c r="L255" s="174"/>
      <c r="M255" s="175"/>
      <c r="O255">
        <v>0</v>
      </c>
    </row>
    <row r="256" spans="1:15" x14ac:dyDescent="0.25">
      <c r="A256" s="177"/>
      <c r="B256" s="177"/>
      <c r="C256" s="173">
        <v>200</v>
      </c>
      <c r="D256" s="173">
        <v>8</v>
      </c>
      <c r="E256" s="174"/>
      <c r="F256" s="175"/>
      <c r="G256" s="176"/>
      <c r="H256" s="174"/>
      <c r="I256" s="174"/>
      <c r="J256" s="174"/>
      <c r="K256" s="174"/>
      <c r="L256" s="174"/>
      <c r="M256" s="175"/>
      <c r="O256">
        <v>0</v>
      </c>
    </row>
    <row r="257" spans="1:15" x14ac:dyDescent="0.25">
      <c r="A257" s="177"/>
      <c r="B257" s="177"/>
      <c r="C257" s="173">
        <v>201</v>
      </c>
      <c r="D257" s="173">
        <v>9</v>
      </c>
      <c r="E257" s="174"/>
      <c r="F257" s="175"/>
      <c r="G257" s="176"/>
      <c r="H257" s="174"/>
      <c r="I257" s="174"/>
      <c r="J257" s="174"/>
      <c r="K257" s="174"/>
      <c r="L257" s="174"/>
      <c r="M257" s="175"/>
      <c r="O257">
        <v>0</v>
      </c>
    </row>
    <row r="258" spans="1:15" x14ac:dyDescent="0.25">
      <c r="A258" s="177"/>
      <c r="B258" s="177"/>
      <c r="C258" s="173">
        <v>202</v>
      </c>
      <c r="D258" s="173">
        <v>10</v>
      </c>
      <c r="E258" s="174"/>
      <c r="F258" s="175"/>
      <c r="G258" s="176"/>
      <c r="H258" s="174"/>
      <c r="I258" s="174"/>
      <c r="J258" s="174"/>
      <c r="K258" s="174"/>
      <c r="L258" s="174"/>
      <c r="M258" s="175"/>
      <c r="O258">
        <v>0</v>
      </c>
    </row>
    <row r="259" spans="1:15" x14ac:dyDescent="0.25">
      <c r="A259" s="177"/>
      <c r="B259" s="177"/>
      <c r="C259" s="173">
        <v>203</v>
      </c>
      <c r="D259" s="173">
        <v>11</v>
      </c>
      <c r="E259" s="174"/>
      <c r="F259" s="175"/>
      <c r="G259" s="176"/>
      <c r="H259" s="174"/>
      <c r="I259" s="174"/>
      <c r="J259" s="174"/>
      <c r="K259" s="174"/>
      <c r="L259" s="174"/>
      <c r="M259" s="175"/>
      <c r="O259">
        <v>0</v>
      </c>
    </row>
    <row r="260" spans="1:15" x14ac:dyDescent="0.25">
      <c r="A260" s="177"/>
      <c r="B260" s="177"/>
      <c r="C260" s="173">
        <v>204</v>
      </c>
      <c r="D260" s="173">
        <v>12</v>
      </c>
      <c r="E260" s="174"/>
      <c r="F260" s="175"/>
      <c r="G260" s="176"/>
      <c r="H260" s="174"/>
      <c r="I260" s="174"/>
      <c r="J260" s="174"/>
      <c r="K260" s="174"/>
      <c r="L260" s="174"/>
      <c r="M260" s="175"/>
      <c r="O260">
        <v>0</v>
      </c>
    </row>
    <row r="261" spans="1:15" x14ac:dyDescent="0.25">
      <c r="A261" s="177"/>
      <c r="B261" s="177"/>
      <c r="C261" s="173">
        <v>205</v>
      </c>
      <c r="D261" s="173">
        <v>13</v>
      </c>
      <c r="E261" s="174"/>
      <c r="F261" s="175"/>
      <c r="G261" s="176"/>
      <c r="H261" s="174"/>
      <c r="I261" s="174"/>
      <c r="J261" s="174"/>
      <c r="K261" s="174"/>
      <c r="L261" s="174"/>
      <c r="M261" s="175"/>
      <c r="O261">
        <v>0</v>
      </c>
    </row>
    <row r="262" spans="1:15" x14ac:dyDescent="0.25">
      <c r="A262" s="177"/>
      <c r="B262" s="177"/>
      <c r="C262" s="173">
        <v>206</v>
      </c>
      <c r="D262" s="173">
        <v>14</v>
      </c>
      <c r="E262" s="174"/>
      <c r="F262" s="175"/>
      <c r="G262" s="176"/>
      <c r="H262" s="174"/>
      <c r="I262" s="174"/>
      <c r="J262" s="174"/>
      <c r="K262" s="174"/>
      <c r="L262" s="174"/>
      <c r="M262" s="175"/>
      <c r="O262">
        <v>0</v>
      </c>
    </row>
    <row r="263" spans="1:15" x14ac:dyDescent="0.25">
      <c r="A263" s="179"/>
      <c r="B263" s="179"/>
      <c r="C263" s="173">
        <v>207</v>
      </c>
      <c r="D263" s="173">
        <v>15</v>
      </c>
      <c r="E263" s="174"/>
      <c r="F263" s="175"/>
      <c r="G263" s="176"/>
      <c r="H263" s="174"/>
      <c r="I263" s="174"/>
      <c r="J263" s="174"/>
      <c r="K263" s="174"/>
      <c r="L263" s="174"/>
      <c r="M263" s="175"/>
      <c r="O263">
        <v>0</v>
      </c>
    </row>
    <row r="265" spans="1:15" x14ac:dyDescent="0.25">
      <c r="A265" s="167" t="s">
        <v>864</v>
      </c>
      <c r="B265" s="167" t="s">
        <v>865</v>
      </c>
      <c r="C265" s="167" t="s">
        <v>210</v>
      </c>
      <c r="D265" s="167" t="s">
        <v>866</v>
      </c>
      <c r="E265" s="168"/>
      <c r="F265" s="169"/>
      <c r="G265" s="168"/>
      <c r="H265" s="170"/>
      <c r="I265" s="170"/>
      <c r="J265" s="170"/>
      <c r="K265" s="170"/>
      <c r="L265" s="170"/>
      <c r="M265" s="171"/>
    </row>
    <row r="266" spans="1:15" x14ac:dyDescent="0.25">
      <c r="A266" s="172">
        <v>13</v>
      </c>
      <c r="B266" s="172" t="s">
        <v>995</v>
      </c>
      <c r="C266" s="173">
        <v>208</v>
      </c>
      <c r="D266" s="173">
        <v>0</v>
      </c>
      <c r="E266" s="174"/>
      <c r="F266" s="193"/>
      <c r="G266" s="187"/>
      <c r="H266" s="174"/>
      <c r="I266" s="174"/>
      <c r="J266" s="174"/>
      <c r="K266" s="174"/>
      <c r="L266" s="174"/>
      <c r="M266" s="175"/>
      <c r="O266">
        <v>0</v>
      </c>
    </row>
    <row r="267" spans="1:15" x14ac:dyDescent="0.25">
      <c r="A267" s="177"/>
      <c r="B267" s="177"/>
      <c r="C267" s="173">
        <v>209</v>
      </c>
      <c r="D267" s="173">
        <v>1</v>
      </c>
      <c r="E267" s="174"/>
      <c r="F267" s="193"/>
      <c r="G267" s="187"/>
      <c r="H267" s="174"/>
      <c r="I267" s="174"/>
      <c r="J267" s="174"/>
      <c r="K267" s="174"/>
      <c r="L267" s="174"/>
      <c r="M267" s="175"/>
      <c r="O267">
        <v>0</v>
      </c>
    </row>
    <row r="268" spans="1:15" x14ac:dyDescent="0.25">
      <c r="A268" s="178"/>
      <c r="B268" s="177"/>
      <c r="C268" s="173">
        <v>210</v>
      </c>
      <c r="D268" s="173">
        <v>2</v>
      </c>
      <c r="E268" s="519"/>
      <c r="F268" s="520"/>
      <c r="G268" s="187"/>
      <c r="H268" s="174"/>
      <c r="I268" s="174"/>
      <c r="J268" s="174"/>
      <c r="K268" s="174"/>
      <c r="L268" s="174"/>
      <c r="M268" s="175"/>
      <c r="O268">
        <v>0</v>
      </c>
    </row>
    <row r="269" spans="1:15" x14ac:dyDescent="0.25">
      <c r="A269" s="177"/>
      <c r="B269" s="177"/>
      <c r="C269" s="173">
        <v>211</v>
      </c>
      <c r="D269" s="173">
        <v>3</v>
      </c>
      <c r="E269" s="519"/>
      <c r="F269" s="520"/>
      <c r="G269" s="176"/>
      <c r="H269" s="174"/>
      <c r="I269" s="174"/>
      <c r="J269" s="174"/>
      <c r="K269" s="174"/>
      <c r="L269" s="174"/>
      <c r="M269" s="175"/>
      <c r="O269">
        <v>0</v>
      </c>
    </row>
    <row r="270" spans="1:15" x14ac:dyDescent="0.25">
      <c r="A270" s="177"/>
      <c r="B270" s="177"/>
      <c r="C270" s="173">
        <v>212</v>
      </c>
      <c r="D270" s="173">
        <v>4</v>
      </c>
      <c r="E270" s="176"/>
      <c r="F270" s="193"/>
      <c r="G270" s="176"/>
      <c r="H270" s="174"/>
      <c r="I270" s="174"/>
      <c r="J270" s="174"/>
      <c r="K270" s="174"/>
      <c r="L270" s="174"/>
      <c r="M270" s="175"/>
      <c r="O270">
        <v>0</v>
      </c>
    </row>
    <row r="271" spans="1:15" x14ac:dyDescent="0.25">
      <c r="A271" s="177"/>
      <c r="B271" s="177"/>
      <c r="C271" s="173">
        <v>213</v>
      </c>
      <c r="D271" s="173">
        <v>5</v>
      </c>
      <c r="E271" s="176"/>
      <c r="F271" s="193"/>
      <c r="G271" s="176"/>
      <c r="H271" s="174"/>
      <c r="I271" s="174"/>
      <c r="J271" s="174"/>
      <c r="K271" s="174"/>
      <c r="L271" s="174"/>
      <c r="M271" s="175"/>
      <c r="O271">
        <v>0</v>
      </c>
    </row>
    <row r="272" spans="1:15" x14ac:dyDescent="0.25">
      <c r="A272" s="177"/>
      <c r="B272" s="177"/>
      <c r="C272" s="173">
        <v>214</v>
      </c>
      <c r="D272" s="173">
        <v>6</v>
      </c>
      <c r="E272" s="174"/>
      <c r="F272" s="193"/>
      <c r="G272" s="176"/>
      <c r="H272" s="174"/>
      <c r="I272" s="174"/>
      <c r="J272" s="174"/>
      <c r="K272" s="174"/>
      <c r="L272" s="174"/>
      <c r="M272" s="175"/>
      <c r="O272">
        <v>0</v>
      </c>
    </row>
    <row r="273" spans="1:15" x14ac:dyDescent="0.25">
      <c r="A273" s="177"/>
      <c r="B273" s="177"/>
      <c r="C273" s="173">
        <v>215</v>
      </c>
      <c r="D273" s="173">
        <v>7</v>
      </c>
      <c r="E273" s="174"/>
      <c r="F273" s="193"/>
      <c r="G273" s="176"/>
      <c r="H273" s="174"/>
      <c r="I273" s="174"/>
      <c r="J273" s="174"/>
      <c r="K273" s="174"/>
      <c r="L273" s="174"/>
      <c r="M273" s="175"/>
      <c r="O273">
        <v>0</v>
      </c>
    </row>
    <row r="274" spans="1:15" x14ac:dyDescent="0.25">
      <c r="A274" s="177"/>
      <c r="B274" s="177"/>
      <c r="C274" s="173">
        <v>216</v>
      </c>
      <c r="D274" s="173">
        <v>8</v>
      </c>
      <c r="E274" s="174"/>
      <c r="F274" s="175"/>
      <c r="G274" s="176"/>
      <c r="H274" s="174"/>
      <c r="I274" s="174"/>
      <c r="J274" s="174"/>
      <c r="K274" s="174"/>
      <c r="L274" s="174"/>
      <c r="M274" s="175"/>
      <c r="O274">
        <v>0</v>
      </c>
    </row>
    <row r="275" spans="1:15" x14ac:dyDescent="0.25">
      <c r="A275" s="177"/>
      <c r="B275" s="177"/>
      <c r="C275" s="173">
        <v>217</v>
      </c>
      <c r="D275" s="173">
        <v>9</v>
      </c>
      <c r="E275" s="174"/>
      <c r="F275" s="175"/>
      <c r="G275" s="176"/>
      <c r="H275" s="174"/>
      <c r="I275" s="174"/>
      <c r="J275" s="174"/>
      <c r="K275" s="174"/>
      <c r="L275" s="174"/>
      <c r="M275" s="175"/>
      <c r="O275">
        <v>0</v>
      </c>
    </row>
    <row r="276" spans="1:15" x14ac:dyDescent="0.25">
      <c r="A276" s="177"/>
      <c r="B276" s="177"/>
      <c r="C276" s="173">
        <v>218</v>
      </c>
      <c r="D276" s="173">
        <v>10</v>
      </c>
      <c r="E276" s="174"/>
      <c r="F276" s="175"/>
      <c r="G276" s="176"/>
      <c r="H276" s="174"/>
      <c r="I276" s="174"/>
      <c r="J276" s="174"/>
      <c r="K276" s="174"/>
      <c r="L276" s="174"/>
      <c r="M276" s="175"/>
      <c r="O276">
        <v>0</v>
      </c>
    </row>
    <row r="277" spans="1:15" x14ac:dyDescent="0.25">
      <c r="A277" s="177"/>
      <c r="B277" s="177"/>
      <c r="C277" s="173">
        <v>219</v>
      </c>
      <c r="D277" s="173">
        <v>11</v>
      </c>
      <c r="E277" s="174"/>
      <c r="F277" s="175"/>
      <c r="G277" s="176"/>
      <c r="H277" s="174"/>
      <c r="I277" s="174"/>
      <c r="J277" s="174"/>
      <c r="K277" s="174"/>
      <c r="L277" s="174"/>
      <c r="M277" s="175"/>
      <c r="O277">
        <v>0</v>
      </c>
    </row>
    <row r="278" spans="1:15" x14ac:dyDescent="0.25">
      <c r="A278" s="177"/>
      <c r="B278" s="177"/>
      <c r="C278" s="173">
        <v>220</v>
      </c>
      <c r="D278" s="173">
        <v>12</v>
      </c>
      <c r="E278" s="174"/>
      <c r="F278" s="175"/>
      <c r="G278" s="176"/>
      <c r="H278" s="174"/>
      <c r="I278" s="174"/>
      <c r="J278" s="174"/>
      <c r="K278" s="174"/>
      <c r="L278" s="174"/>
      <c r="M278" s="175"/>
      <c r="O278">
        <v>0</v>
      </c>
    </row>
    <row r="279" spans="1:15" x14ac:dyDescent="0.25">
      <c r="A279" s="177"/>
      <c r="B279" s="177"/>
      <c r="C279" s="173">
        <v>221</v>
      </c>
      <c r="D279" s="173">
        <v>13</v>
      </c>
      <c r="E279" s="174"/>
      <c r="F279" s="175"/>
      <c r="G279" s="176"/>
      <c r="H279" s="174"/>
      <c r="I279" s="174"/>
      <c r="J279" s="174"/>
      <c r="K279" s="174"/>
      <c r="L279" s="174"/>
      <c r="M279" s="175"/>
      <c r="O279">
        <v>0</v>
      </c>
    </row>
    <row r="280" spans="1:15" x14ac:dyDescent="0.25">
      <c r="A280" s="177"/>
      <c r="B280" s="177"/>
      <c r="C280" s="173">
        <v>222</v>
      </c>
      <c r="D280" s="173">
        <v>14</v>
      </c>
      <c r="E280" s="174"/>
      <c r="F280" s="175"/>
      <c r="G280" s="176"/>
      <c r="H280" s="174"/>
      <c r="I280" s="174"/>
      <c r="J280" s="174"/>
      <c r="K280" s="174"/>
      <c r="L280" s="174"/>
      <c r="M280" s="175"/>
      <c r="O280">
        <v>0</v>
      </c>
    </row>
    <row r="281" spans="1:15" x14ac:dyDescent="0.25">
      <c r="A281" s="179"/>
      <c r="B281" s="179"/>
      <c r="C281" s="173">
        <v>223</v>
      </c>
      <c r="D281" s="173">
        <v>15</v>
      </c>
      <c r="E281" s="174"/>
      <c r="F281" s="175"/>
      <c r="G281" s="176"/>
      <c r="H281" s="174"/>
      <c r="I281" s="174"/>
      <c r="J281" s="174"/>
      <c r="K281" s="174"/>
      <c r="L281" s="174"/>
      <c r="M281" s="175"/>
      <c r="O281">
        <v>0</v>
      </c>
    </row>
    <row r="283" spans="1:15" x14ac:dyDescent="0.25">
      <c r="A283" s="167" t="s">
        <v>864</v>
      </c>
      <c r="B283" s="167" t="s">
        <v>865</v>
      </c>
      <c r="C283" s="167" t="s">
        <v>210</v>
      </c>
      <c r="D283" s="167" t="s">
        <v>866</v>
      </c>
      <c r="E283" s="168" t="s">
        <v>867</v>
      </c>
      <c r="F283" s="169"/>
      <c r="G283" s="168" t="s">
        <v>868</v>
      </c>
      <c r="H283" s="170"/>
      <c r="I283" s="170"/>
      <c r="J283" s="170"/>
      <c r="K283" s="170"/>
      <c r="L283" s="170"/>
      <c r="M283" s="171"/>
    </row>
    <row r="284" spans="1:15" x14ac:dyDescent="0.25">
      <c r="A284" s="172">
        <v>14</v>
      </c>
      <c r="B284" s="172" t="s">
        <v>995</v>
      </c>
      <c r="C284" s="173">
        <v>224</v>
      </c>
      <c r="D284" s="173">
        <v>0</v>
      </c>
      <c r="E284" s="174"/>
      <c r="F284" s="193"/>
      <c r="G284" s="176"/>
      <c r="H284" s="174"/>
      <c r="I284" s="174"/>
      <c r="J284" s="174"/>
      <c r="K284" s="174"/>
      <c r="L284" s="174"/>
      <c r="M284" s="175"/>
      <c r="O284">
        <v>0</v>
      </c>
    </row>
    <row r="285" spans="1:15" x14ac:dyDescent="0.25">
      <c r="A285" s="177"/>
      <c r="B285" s="177"/>
      <c r="C285" s="173">
        <v>225</v>
      </c>
      <c r="D285" s="173">
        <v>1</v>
      </c>
      <c r="E285" s="174"/>
      <c r="F285" s="193"/>
      <c r="G285" s="176"/>
      <c r="H285" s="174"/>
      <c r="I285" s="174"/>
      <c r="J285" s="174"/>
      <c r="K285" s="174"/>
      <c r="L285" s="174"/>
      <c r="M285" s="175"/>
      <c r="O285">
        <v>0</v>
      </c>
    </row>
    <row r="286" spans="1:15" x14ac:dyDescent="0.25">
      <c r="A286" s="178"/>
      <c r="B286" s="177"/>
      <c r="C286" s="173">
        <v>226</v>
      </c>
      <c r="D286" s="173">
        <v>2</v>
      </c>
      <c r="E286" s="174"/>
      <c r="F286" s="193"/>
      <c r="G286" s="176"/>
      <c r="H286" s="174"/>
      <c r="I286" s="174"/>
      <c r="J286" s="174"/>
      <c r="K286" s="174"/>
      <c r="L286" s="174"/>
      <c r="M286" s="175"/>
      <c r="O286">
        <v>0</v>
      </c>
    </row>
    <row r="287" spans="1:15" x14ac:dyDescent="0.25">
      <c r="A287" s="177"/>
      <c r="B287" s="177"/>
      <c r="C287" s="173">
        <v>227</v>
      </c>
      <c r="D287" s="173">
        <v>3</v>
      </c>
      <c r="E287" s="174"/>
      <c r="F287" s="193"/>
      <c r="G287" s="176"/>
      <c r="H287" s="174"/>
      <c r="I287" s="174"/>
      <c r="J287" s="174"/>
      <c r="K287" s="174"/>
      <c r="L287" s="174"/>
      <c r="M287" s="175"/>
      <c r="O287">
        <v>0</v>
      </c>
    </row>
    <row r="288" spans="1:15" x14ac:dyDescent="0.25">
      <c r="A288" s="177"/>
      <c r="B288" s="177"/>
      <c r="C288" s="173">
        <v>228</v>
      </c>
      <c r="D288" s="173">
        <v>4</v>
      </c>
      <c r="E288" s="174"/>
      <c r="F288" s="193"/>
      <c r="G288" s="176"/>
      <c r="H288" s="174"/>
      <c r="I288" s="174"/>
      <c r="J288" s="174"/>
      <c r="K288" s="174"/>
      <c r="L288" s="174"/>
      <c r="M288" s="175"/>
      <c r="O288">
        <v>0</v>
      </c>
    </row>
    <row r="289" spans="1:15" x14ac:dyDescent="0.25">
      <c r="A289" s="177"/>
      <c r="B289" s="177"/>
      <c r="C289" s="173">
        <v>229</v>
      </c>
      <c r="D289" s="173">
        <v>5</v>
      </c>
      <c r="E289" s="174"/>
      <c r="F289" s="193"/>
      <c r="G289" s="176"/>
      <c r="H289" s="174"/>
      <c r="I289" s="174"/>
      <c r="J289" s="174"/>
      <c r="K289" s="174"/>
      <c r="L289" s="174"/>
      <c r="M289" s="175"/>
      <c r="O289">
        <v>0</v>
      </c>
    </row>
    <row r="290" spans="1:15" x14ac:dyDescent="0.25">
      <c r="A290" s="177"/>
      <c r="B290" s="177"/>
      <c r="C290" s="173">
        <v>230</v>
      </c>
      <c r="D290" s="173">
        <v>6</v>
      </c>
      <c r="E290" s="174"/>
      <c r="F290" s="193"/>
      <c r="G290" s="176"/>
      <c r="H290" s="174"/>
      <c r="I290" s="174"/>
      <c r="J290" s="174"/>
      <c r="K290" s="174"/>
      <c r="L290" s="174"/>
      <c r="M290" s="175"/>
      <c r="O290">
        <v>0</v>
      </c>
    </row>
    <row r="291" spans="1:15" x14ac:dyDescent="0.25">
      <c r="A291" s="177"/>
      <c r="B291" s="177"/>
      <c r="C291" s="173">
        <v>231</v>
      </c>
      <c r="D291" s="173">
        <v>7</v>
      </c>
      <c r="E291" s="174"/>
      <c r="F291" s="193"/>
      <c r="G291" s="176"/>
      <c r="H291" s="174"/>
      <c r="I291" s="174"/>
      <c r="J291" s="174"/>
      <c r="K291" s="174"/>
      <c r="L291" s="174"/>
      <c r="M291" s="175"/>
      <c r="O291">
        <v>0</v>
      </c>
    </row>
    <row r="292" spans="1:15" x14ac:dyDescent="0.25">
      <c r="A292" s="177"/>
      <c r="B292" s="177"/>
      <c r="C292" s="173">
        <v>232</v>
      </c>
      <c r="D292" s="173">
        <v>8</v>
      </c>
      <c r="E292" s="174"/>
      <c r="F292" s="175"/>
      <c r="G292" s="176"/>
      <c r="H292" s="174"/>
      <c r="I292" s="174"/>
      <c r="J292" s="174"/>
      <c r="K292" s="174"/>
      <c r="L292" s="174"/>
      <c r="M292" s="175"/>
      <c r="O292">
        <v>0</v>
      </c>
    </row>
    <row r="293" spans="1:15" x14ac:dyDescent="0.25">
      <c r="A293" s="177"/>
      <c r="B293" s="177"/>
      <c r="C293" s="173">
        <v>233</v>
      </c>
      <c r="D293" s="173">
        <v>9</v>
      </c>
      <c r="E293" s="174"/>
      <c r="F293" s="175"/>
      <c r="G293" s="176"/>
      <c r="H293" s="174"/>
      <c r="I293" s="174"/>
      <c r="J293" s="174"/>
      <c r="K293" s="174"/>
      <c r="L293" s="174"/>
      <c r="M293" s="175"/>
      <c r="O293">
        <v>0</v>
      </c>
    </row>
    <row r="294" spans="1:15" x14ac:dyDescent="0.25">
      <c r="A294" s="177"/>
      <c r="B294" s="177"/>
      <c r="C294" s="173">
        <v>234</v>
      </c>
      <c r="D294" s="173">
        <v>10</v>
      </c>
      <c r="E294" s="174"/>
      <c r="F294" s="175"/>
      <c r="G294" s="176"/>
      <c r="H294" s="174"/>
      <c r="I294" s="174"/>
      <c r="J294" s="174"/>
      <c r="K294" s="174"/>
      <c r="L294" s="174"/>
      <c r="M294" s="175"/>
      <c r="O294">
        <v>0</v>
      </c>
    </row>
    <row r="295" spans="1:15" x14ac:dyDescent="0.25">
      <c r="A295" s="177"/>
      <c r="B295" s="177"/>
      <c r="C295" s="173">
        <v>235</v>
      </c>
      <c r="D295" s="173">
        <v>11</v>
      </c>
      <c r="E295" s="174"/>
      <c r="F295" s="175"/>
      <c r="G295" s="176"/>
      <c r="H295" s="174"/>
      <c r="I295" s="174"/>
      <c r="J295" s="174"/>
      <c r="K295" s="174"/>
      <c r="L295" s="174"/>
      <c r="M295" s="175"/>
      <c r="O295">
        <v>0</v>
      </c>
    </row>
    <row r="296" spans="1:15" x14ac:dyDescent="0.25">
      <c r="A296" s="177"/>
      <c r="B296" s="177"/>
      <c r="C296" s="173">
        <v>236</v>
      </c>
      <c r="D296" s="173">
        <v>12</v>
      </c>
      <c r="E296" s="174"/>
      <c r="F296" s="175"/>
      <c r="G296" s="176"/>
      <c r="H296" s="174"/>
      <c r="I296" s="174"/>
      <c r="J296" s="174"/>
      <c r="K296" s="174"/>
      <c r="L296" s="174"/>
      <c r="M296" s="175"/>
      <c r="O296">
        <v>0</v>
      </c>
    </row>
    <row r="297" spans="1:15" x14ac:dyDescent="0.25">
      <c r="A297" s="177"/>
      <c r="B297" s="177"/>
      <c r="C297" s="173">
        <v>237</v>
      </c>
      <c r="D297" s="173">
        <v>13</v>
      </c>
      <c r="E297" s="174"/>
      <c r="F297" s="175"/>
      <c r="G297" s="176"/>
      <c r="H297" s="174"/>
      <c r="I297" s="174"/>
      <c r="J297" s="174"/>
      <c r="K297" s="174"/>
      <c r="L297" s="174"/>
      <c r="M297" s="175"/>
      <c r="O297">
        <v>0</v>
      </c>
    </row>
    <row r="298" spans="1:15" x14ac:dyDescent="0.25">
      <c r="A298" s="177"/>
      <c r="B298" s="177"/>
      <c r="C298" s="173">
        <v>238</v>
      </c>
      <c r="D298" s="173">
        <v>14</v>
      </c>
      <c r="E298" s="174"/>
      <c r="F298" s="175"/>
      <c r="G298" s="176"/>
      <c r="H298" s="174"/>
      <c r="I298" s="174"/>
      <c r="J298" s="174"/>
      <c r="K298" s="174"/>
      <c r="L298" s="174"/>
      <c r="M298" s="175"/>
      <c r="O298">
        <v>0</v>
      </c>
    </row>
    <row r="299" spans="1:15" x14ac:dyDescent="0.25">
      <c r="A299" s="179"/>
      <c r="B299" s="179"/>
      <c r="C299" s="173">
        <v>239</v>
      </c>
      <c r="D299" s="173">
        <v>15</v>
      </c>
      <c r="E299" s="174"/>
      <c r="F299" s="175"/>
      <c r="G299" s="176"/>
      <c r="H299" s="174"/>
      <c r="I299" s="174"/>
      <c r="J299" s="174"/>
      <c r="K299" s="174"/>
      <c r="L299" s="174"/>
      <c r="M299" s="175"/>
      <c r="O299">
        <v>0</v>
      </c>
    </row>
    <row r="301" spans="1:15" x14ac:dyDescent="0.25">
      <c r="A301" s="167" t="s">
        <v>864</v>
      </c>
      <c r="B301" s="167" t="s">
        <v>865</v>
      </c>
      <c r="C301" s="167" t="s">
        <v>210</v>
      </c>
      <c r="D301" s="167" t="s">
        <v>866</v>
      </c>
      <c r="E301" s="168"/>
      <c r="F301" s="169"/>
      <c r="G301" s="168"/>
      <c r="H301" s="170"/>
      <c r="I301" s="170"/>
      <c r="J301" s="170"/>
      <c r="K301" s="170"/>
      <c r="L301" s="170"/>
      <c r="M301" s="171"/>
    </row>
    <row r="302" spans="1:15" x14ac:dyDescent="0.25">
      <c r="A302" s="172">
        <v>15</v>
      </c>
      <c r="B302" s="172" t="s">
        <v>995</v>
      </c>
      <c r="C302" s="173">
        <v>240</v>
      </c>
      <c r="D302" s="173">
        <v>0</v>
      </c>
      <c r="E302" s="174"/>
      <c r="F302" s="175"/>
      <c r="G302" s="176"/>
      <c r="H302" s="174"/>
      <c r="I302" s="174"/>
      <c r="J302" s="174"/>
      <c r="K302" s="174"/>
      <c r="L302" s="174"/>
      <c r="M302" s="175"/>
      <c r="O302">
        <v>0</v>
      </c>
    </row>
    <row r="303" spans="1:15" x14ac:dyDescent="0.25">
      <c r="A303" s="177"/>
      <c r="B303" s="177"/>
      <c r="C303" s="173">
        <v>241</v>
      </c>
      <c r="D303" s="173">
        <v>1</v>
      </c>
      <c r="E303" s="174"/>
      <c r="F303" s="175"/>
      <c r="G303" s="176"/>
      <c r="H303" s="174"/>
      <c r="I303" s="174"/>
      <c r="J303" s="174"/>
      <c r="K303" s="174"/>
      <c r="L303" s="174"/>
      <c r="M303" s="175"/>
      <c r="O303">
        <v>0</v>
      </c>
    </row>
    <row r="304" spans="1:15" x14ac:dyDescent="0.25">
      <c r="A304" s="178"/>
      <c r="B304" s="177"/>
      <c r="C304" s="173">
        <v>242</v>
      </c>
      <c r="D304" s="173">
        <v>2</v>
      </c>
      <c r="E304" s="174"/>
      <c r="F304" s="175"/>
      <c r="G304" s="176"/>
      <c r="H304" s="174"/>
      <c r="I304" s="174"/>
      <c r="J304" s="174"/>
      <c r="K304" s="174"/>
      <c r="L304" s="174"/>
      <c r="M304" s="175"/>
      <c r="O304">
        <v>0</v>
      </c>
    </row>
    <row r="305" spans="1:15" x14ac:dyDescent="0.25">
      <c r="A305" s="177"/>
      <c r="B305" s="177"/>
      <c r="C305" s="173">
        <v>243</v>
      </c>
      <c r="D305" s="173">
        <v>3</v>
      </c>
      <c r="E305" s="174"/>
      <c r="F305" s="175"/>
      <c r="G305" s="176"/>
      <c r="H305" s="174"/>
      <c r="I305" s="174"/>
      <c r="J305" s="174"/>
      <c r="K305" s="174"/>
      <c r="L305" s="174"/>
      <c r="M305" s="175"/>
      <c r="O305">
        <v>0</v>
      </c>
    </row>
    <row r="306" spans="1:15" x14ac:dyDescent="0.25">
      <c r="A306" s="177"/>
      <c r="B306" s="177"/>
      <c r="C306" s="173">
        <v>244</v>
      </c>
      <c r="D306" s="173">
        <v>4</v>
      </c>
      <c r="E306" s="174"/>
      <c r="F306" s="175"/>
      <c r="G306" s="176"/>
      <c r="H306" s="174"/>
      <c r="I306" s="174"/>
      <c r="J306" s="174"/>
      <c r="K306" s="174"/>
      <c r="L306" s="174"/>
      <c r="M306" s="175"/>
      <c r="O306">
        <v>0</v>
      </c>
    </row>
    <row r="307" spans="1:15" x14ac:dyDescent="0.25">
      <c r="A307" s="177"/>
      <c r="B307" s="177"/>
      <c r="C307" s="173">
        <v>245</v>
      </c>
      <c r="D307" s="173">
        <v>5</v>
      </c>
      <c r="E307" s="174"/>
      <c r="F307" s="175"/>
      <c r="G307" s="176"/>
      <c r="H307" s="174"/>
      <c r="I307" s="174"/>
      <c r="J307" s="174"/>
      <c r="K307" s="174"/>
      <c r="L307" s="174"/>
      <c r="M307" s="175"/>
      <c r="O307">
        <v>0</v>
      </c>
    </row>
    <row r="308" spans="1:15" x14ac:dyDescent="0.25">
      <c r="A308" s="177"/>
      <c r="B308" s="177"/>
      <c r="C308" s="173">
        <v>246</v>
      </c>
      <c r="D308" s="173">
        <v>6</v>
      </c>
      <c r="E308" s="174"/>
      <c r="F308" s="175"/>
      <c r="G308" s="176"/>
      <c r="H308" s="174"/>
      <c r="I308" s="174"/>
      <c r="J308" s="174"/>
      <c r="K308" s="174"/>
      <c r="L308" s="174"/>
      <c r="M308" s="175"/>
      <c r="O308">
        <v>0</v>
      </c>
    </row>
    <row r="309" spans="1:15" x14ac:dyDescent="0.25">
      <c r="A309" s="177"/>
      <c r="B309" s="177"/>
      <c r="C309" s="173">
        <v>247</v>
      </c>
      <c r="D309" s="173">
        <v>7</v>
      </c>
      <c r="E309" s="174"/>
      <c r="F309" s="175"/>
      <c r="G309" s="176"/>
      <c r="H309" s="174"/>
      <c r="I309" s="174"/>
      <c r="J309" s="174"/>
      <c r="K309" s="174"/>
      <c r="L309" s="174"/>
      <c r="M309" s="175"/>
      <c r="O309">
        <v>0</v>
      </c>
    </row>
    <row r="310" spans="1:15" x14ac:dyDescent="0.25">
      <c r="A310" s="177"/>
      <c r="B310" s="177"/>
      <c r="C310" s="173">
        <v>248</v>
      </c>
      <c r="D310" s="173">
        <v>8</v>
      </c>
      <c r="E310" s="174"/>
      <c r="F310" s="175"/>
      <c r="G310" s="176"/>
      <c r="H310" s="174"/>
      <c r="I310" s="174"/>
      <c r="J310" s="174"/>
      <c r="K310" s="174"/>
      <c r="L310" s="174"/>
      <c r="M310" s="175"/>
      <c r="O310">
        <v>0</v>
      </c>
    </row>
    <row r="311" spans="1:15" x14ac:dyDescent="0.25">
      <c r="A311" s="177"/>
      <c r="B311" s="177"/>
      <c r="C311" s="173">
        <v>249</v>
      </c>
      <c r="D311" s="173">
        <v>9</v>
      </c>
      <c r="E311" s="174"/>
      <c r="F311" s="175"/>
      <c r="G311" s="176"/>
      <c r="H311" s="174"/>
      <c r="I311" s="174"/>
      <c r="J311" s="174"/>
      <c r="K311" s="174"/>
      <c r="L311" s="174"/>
      <c r="M311" s="175"/>
      <c r="O311">
        <v>0</v>
      </c>
    </row>
    <row r="312" spans="1:15" x14ac:dyDescent="0.25">
      <c r="A312" s="177"/>
      <c r="B312" s="177"/>
      <c r="C312" s="173">
        <v>250</v>
      </c>
      <c r="D312" s="173">
        <v>10</v>
      </c>
      <c r="E312" s="174"/>
      <c r="F312" s="175"/>
      <c r="G312" s="176"/>
      <c r="H312" s="174"/>
      <c r="I312" s="174"/>
      <c r="J312" s="174"/>
      <c r="K312" s="174"/>
      <c r="L312" s="174"/>
      <c r="M312" s="175"/>
      <c r="O312">
        <v>0</v>
      </c>
    </row>
    <row r="313" spans="1:15" x14ac:dyDescent="0.25">
      <c r="A313" s="177"/>
      <c r="B313" s="177"/>
      <c r="C313" s="173">
        <v>251</v>
      </c>
      <c r="D313" s="173">
        <v>11</v>
      </c>
      <c r="E313" s="174"/>
      <c r="F313" s="175"/>
      <c r="G313" s="176"/>
      <c r="H313" s="174"/>
      <c r="I313" s="174"/>
      <c r="J313" s="174"/>
      <c r="K313" s="174"/>
      <c r="L313" s="174"/>
      <c r="M313" s="175"/>
      <c r="O313">
        <v>0</v>
      </c>
    </row>
    <row r="314" spans="1:15" x14ac:dyDescent="0.25">
      <c r="A314" s="177"/>
      <c r="B314" s="177"/>
      <c r="C314" s="173">
        <v>252</v>
      </c>
      <c r="D314" s="173">
        <v>12</v>
      </c>
      <c r="E314" s="174"/>
      <c r="F314" s="175"/>
      <c r="G314" s="176"/>
      <c r="H314" s="174"/>
      <c r="I314" s="174"/>
      <c r="J314" s="174"/>
      <c r="K314" s="174"/>
      <c r="L314" s="174"/>
      <c r="M314" s="175"/>
      <c r="O314">
        <v>0</v>
      </c>
    </row>
    <row r="315" spans="1:15" x14ac:dyDescent="0.25">
      <c r="A315" s="177"/>
      <c r="B315" s="177"/>
      <c r="C315" s="173">
        <v>253</v>
      </c>
      <c r="D315" s="173">
        <v>13</v>
      </c>
      <c r="E315" s="174"/>
      <c r="F315" s="175"/>
      <c r="G315" s="176"/>
      <c r="H315" s="174"/>
      <c r="I315" s="174"/>
      <c r="J315" s="174"/>
      <c r="K315" s="174"/>
      <c r="L315" s="174"/>
      <c r="M315" s="175"/>
      <c r="O315">
        <v>0</v>
      </c>
    </row>
    <row r="316" spans="1:15" x14ac:dyDescent="0.25">
      <c r="A316" s="177"/>
      <c r="B316" s="177"/>
      <c r="C316" s="173">
        <v>254</v>
      </c>
      <c r="D316" s="173">
        <v>14</v>
      </c>
      <c r="E316" s="174"/>
      <c r="F316" s="175"/>
      <c r="G316" s="176"/>
      <c r="H316" s="174"/>
      <c r="I316" s="174"/>
      <c r="J316" s="174"/>
      <c r="K316" s="174"/>
      <c r="L316" s="174"/>
      <c r="M316" s="175"/>
      <c r="O316">
        <v>0</v>
      </c>
    </row>
    <row r="317" spans="1:15" x14ac:dyDescent="0.25">
      <c r="A317" s="179"/>
      <c r="B317" s="179"/>
      <c r="C317" s="173">
        <v>255</v>
      </c>
      <c r="D317" s="173">
        <v>15</v>
      </c>
      <c r="E317" s="174"/>
      <c r="F317" s="175"/>
      <c r="G317" s="176"/>
      <c r="H317" s="174"/>
      <c r="I317" s="174"/>
      <c r="J317" s="174"/>
      <c r="K317" s="174"/>
      <c r="L317" s="174"/>
      <c r="M317" s="175"/>
      <c r="O317">
        <v>0</v>
      </c>
    </row>
    <row r="319" spans="1:15" x14ac:dyDescent="0.25">
      <c r="A319" s="167" t="s">
        <v>864</v>
      </c>
      <c r="B319" s="167" t="s">
        <v>865</v>
      </c>
      <c r="C319" s="167" t="s">
        <v>210</v>
      </c>
      <c r="D319" s="167" t="s">
        <v>866</v>
      </c>
      <c r="E319" s="168"/>
      <c r="F319" s="169"/>
      <c r="G319" s="168"/>
      <c r="H319" s="170"/>
      <c r="I319" s="170"/>
      <c r="J319" s="170"/>
      <c r="K319" s="170"/>
      <c r="L319" s="170"/>
      <c r="M319" s="171"/>
    </row>
    <row r="320" spans="1:15" x14ac:dyDescent="0.25">
      <c r="A320" s="172">
        <v>16</v>
      </c>
      <c r="B320" s="172" t="s">
        <v>995</v>
      </c>
      <c r="C320" s="173">
        <v>256</v>
      </c>
      <c r="D320" s="173">
        <v>0</v>
      </c>
      <c r="E320" s="174"/>
      <c r="F320" s="175"/>
      <c r="G320" s="176"/>
      <c r="H320" s="174"/>
      <c r="I320" s="174"/>
      <c r="J320" s="174"/>
      <c r="K320" s="174"/>
      <c r="L320" s="174"/>
      <c r="M320" s="175"/>
      <c r="O320">
        <v>0</v>
      </c>
    </row>
    <row r="321" spans="1:15" x14ac:dyDescent="0.25">
      <c r="A321" s="177"/>
      <c r="B321" s="177"/>
      <c r="C321" s="173">
        <v>257</v>
      </c>
      <c r="D321" s="173">
        <v>1</v>
      </c>
      <c r="E321" s="174"/>
      <c r="F321" s="175"/>
      <c r="G321" s="176"/>
      <c r="H321" s="174"/>
      <c r="I321" s="174"/>
      <c r="J321" s="174"/>
      <c r="K321" s="174"/>
      <c r="L321" s="174"/>
      <c r="M321" s="175"/>
      <c r="O321">
        <v>0</v>
      </c>
    </row>
    <row r="322" spans="1:15" x14ac:dyDescent="0.25">
      <c r="A322" s="178"/>
      <c r="B322" s="177"/>
      <c r="C322" s="173">
        <v>258</v>
      </c>
      <c r="D322" s="173">
        <v>2</v>
      </c>
      <c r="E322" s="174"/>
      <c r="F322" s="175"/>
      <c r="G322" s="176"/>
      <c r="H322" s="174"/>
      <c r="I322" s="174"/>
      <c r="J322" s="174"/>
      <c r="K322" s="174"/>
      <c r="L322" s="174"/>
      <c r="M322" s="175"/>
      <c r="O322">
        <v>0</v>
      </c>
    </row>
    <row r="323" spans="1:15" x14ac:dyDescent="0.25">
      <c r="A323" s="177"/>
      <c r="B323" s="177"/>
      <c r="C323" s="173">
        <v>259</v>
      </c>
      <c r="D323" s="173">
        <v>3</v>
      </c>
      <c r="E323" s="174"/>
      <c r="F323" s="175"/>
      <c r="G323" s="176"/>
      <c r="H323" s="174"/>
      <c r="I323" s="174"/>
      <c r="J323" s="174"/>
      <c r="K323" s="174"/>
      <c r="L323" s="174"/>
      <c r="M323" s="175"/>
      <c r="O323">
        <v>0</v>
      </c>
    </row>
    <row r="324" spans="1:15" x14ac:dyDescent="0.25">
      <c r="A324" s="177"/>
      <c r="B324" s="177"/>
      <c r="C324" s="173">
        <v>260</v>
      </c>
      <c r="D324" s="173">
        <v>4</v>
      </c>
      <c r="E324" s="174"/>
      <c r="F324" s="175"/>
      <c r="G324" s="176"/>
      <c r="H324" s="174"/>
      <c r="I324" s="174"/>
      <c r="J324" s="174"/>
      <c r="K324" s="174"/>
      <c r="L324" s="174"/>
      <c r="M324" s="175"/>
      <c r="O324">
        <v>0</v>
      </c>
    </row>
    <row r="325" spans="1:15" x14ac:dyDescent="0.25">
      <c r="A325" s="177"/>
      <c r="B325" s="177"/>
      <c r="C325" s="173">
        <v>261</v>
      </c>
      <c r="D325" s="173">
        <v>5</v>
      </c>
      <c r="E325" s="174"/>
      <c r="F325" s="175"/>
      <c r="G325" s="176"/>
      <c r="H325" s="174"/>
      <c r="I325" s="174"/>
      <c r="J325" s="174"/>
      <c r="K325" s="174"/>
      <c r="L325" s="174"/>
      <c r="M325" s="175"/>
      <c r="O325">
        <v>0</v>
      </c>
    </row>
    <row r="326" spans="1:15" x14ac:dyDescent="0.25">
      <c r="A326" s="177"/>
      <c r="B326" s="177"/>
      <c r="C326" s="173">
        <v>262</v>
      </c>
      <c r="D326" s="173">
        <v>6</v>
      </c>
      <c r="E326" s="174"/>
      <c r="F326" s="175"/>
      <c r="G326" s="176"/>
      <c r="H326" s="174"/>
      <c r="I326" s="174"/>
      <c r="J326" s="174"/>
      <c r="K326" s="174"/>
      <c r="L326" s="174"/>
      <c r="M326" s="175"/>
      <c r="O326">
        <v>0</v>
      </c>
    </row>
    <row r="327" spans="1:15" x14ac:dyDescent="0.25">
      <c r="A327" s="177"/>
      <c r="B327" s="177"/>
      <c r="C327" s="173">
        <v>263</v>
      </c>
      <c r="D327" s="173">
        <v>7</v>
      </c>
      <c r="E327" s="174"/>
      <c r="F327" s="175"/>
      <c r="G327" s="176"/>
      <c r="H327" s="194"/>
      <c r="I327" s="174"/>
      <c r="J327" s="174"/>
      <c r="K327" s="174"/>
      <c r="L327" s="174"/>
      <c r="M327" s="175"/>
      <c r="O327">
        <v>0</v>
      </c>
    </row>
    <row r="328" spans="1:15" x14ac:dyDescent="0.25">
      <c r="A328" s="177"/>
      <c r="B328" s="177"/>
      <c r="C328" s="173">
        <v>264</v>
      </c>
      <c r="D328" s="173">
        <v>8</v>
      </c>
      <c r="E328" s="174"/>
      <c r="F328" s="175"/>
      <c r="G328" s="176"/>
      <c r="H328" s="194"/>
      <c r="I328" s="174"/>
      <c r="K328" s="174"/>
      <c r="L328" s="174"/>
      <c r="M328" s="175"/>
      <c r="O328">
        <v>0</v>
      </c>
    </row>
    <row r="329" spans="1:15" x14ac:dyDescent="0.25">
      <c r="A329" s="177"/>
      <c r="B329" s="177"/>
      <c r="C329" s="173">
        <v>265</v>
      </c>
      <c r="D329" s="173">
        <v>9</v>
      </c>
      <c r="E329" s="174"/>
      <c r="F329" s="175"/>
      <c r="G329" s="176"/>
      <c r="H329" s="194"/>
      <c r="I329" s="174"/>
      <c r="J329" s="174"/>
      <c r="K329" s="174"/>
      <c r="L329" s="174"/>
      <c r="M329" s="175"/>
      <c r="O329">
        <v>0</v>
      </c>
    </row>
    <row r="330" spans="1:15" x14ac:dyDescent="0.25">
      <c r="A330" s="177"/>
      <c r="B330" s="177"/>
      <c r="C330" s="173">
        <v>266</v>
      </c>
      <c r="D330" s="173">
        <v>10</v>
      </c>
      <c r="E330" s="174"/>
      <c r="F330" s="175"/>
      <c r="G330" s="176"/>
      <c r="H330" s="194"/>
      <c r="I330" s="174"/>
      <c r="J330" s="174"/>
      <c r="K330" s="174"/>
      <c r="L330" s="174"/>
      <c r="M330" s="175"/>
      <c r="O330">
        <v>0</v>
      </c>
    </row>
    <row r="331" spans="1:15" x14ac:dyDescent="0.25">
      <c r="A331" s="177"/>
      <c r="B331" s="177"/>
      <c r="C331" s="173">
        <v>267</v>
      </c>
      <c r="D331" s="173">
        <v>11</v>
      </c>
      <c r="E331" s="174"/>
      <c r="F331" s="175"/>
      <c r="G331" s="176"/>
      <c r="H331" s="174"/>
      <c r="I331" s="174"/>
      <c r="J331" s="174"/>
      <c r="K331" s="174"/>
      <c r="L331" s="174"/>
      <c r="M331" s="175"/>
      <c r="O331">
        <v>0</v>
      </c>
    </row>
    <row r="332" spans="1:15" x14ac:dyDescent="0.25">
      <c r="A332" s="177"/>
      <c r="B332" s="177"/>
      <c r="C332" s="173">
        <v>268</v>
      </c>
      <c r="D332" s="173">
        <v>12</v>
      </c>
      <c r="E332" s="174"/>
      <c r="F332" s="175"/>
      <c r="G332" s="176"/>
      <c r="H332" s="174"/>
      <c r="I332" s="174"/>
      <c r="J332" s="174"/>
      <c r="K332" s="174"/>
      <c r="L332" s="174"/>
      <c r="M332" s="175"/>
      <c r="O332">
        <v>0</v>
      </c>
    </row>
    <row r="333" spans="1:15" x14ac:dyDescent="0.25">
      <c r="A333" s="177"/>
      <c r="B333" s="177"/>
      <c r="C333" s="173">
        <v>269</v>
      </c>
      <c r="D333" s="173">
        <v>13</v>
      </c>
      <c r="E333" s="174"/>
      <c r="F333" s="175"/>
      <c r="G333" s="176"/>
      <c r="H333" s="194"/>
      <c r="I333" s="174"/>
      <c r="J333" s="174"/>
      <c r="K333" s="174"/>
      <c r="L333" s="174"/>
      <c r="M333" s="175"/>
      <c r="O333">
        <v>0</v>
      </c>
    </row>
    <row r="334" spans="1:15" x14ac:dyDescent="0.25">
      <c r="A334" s="177"/>
      <c r="B334" s="177"/>
      <c r="C334" s="173">
        <v>270</v>
      </c>
      <c r="D334" s="173">
        <v>14</v>
      </c>
      <c r="E334" s="174"/>
      <c r="F334" s="175"/>
      <c r="G334" s="176"/>
      <c r="H334" s="194"/>
      <c r="I334" s="174"/>
      <c r="J334" s="174"/>
      <c r="K334" s="174"/>
      <c r="L334" s="174"/>
      <c r="M334" s="175"/>
      <c r="O334">
        <v>0</v>
      </c>
    </row>
    <row r="335" spans="1:15" x14ac:dyDescent="0.25">
      <c r="A335" s="179"/>
      <c r="B335" s="179"/>
      <c r="C335" s="173">
        <v>271</v>
      </c>
      <c r="D335" s="173">
        <v>15</v>
      </c>
      <c r="E335" s="174"/>
      <c r="F335" s="175"/>
      <c r="G335" s="176"/>
      <c r="H335" s="194"/>
      <c r="I335" s="174"/>
      <c r="J335" s="174"/>
      <c r="K335" s="174"/>
      <c r="L335" s="174"/>
      <c r="M335" s="175"/>
      <c r="O335">
        <v>0</v>
      </c>
    </row>
    <row r="337" spans="1:15" x14ac:dyDescent="0.25">
      <c r="A337" s="167" t="s">
        <v>864</v>
      </c>
      <c r="B337" s="167" t="s">
        <v>865</v>
      </c>
      <c r="C337" s="167" t="s">
        <v>210</v>
      </c>
      <c r="D337" s="167" t="s">
        <v>866</v>
      </c>
      <c r="E337" s="168"/>
      <c r="F337" s="169"/>
      <c r="G337" s="168"/>
      <c r="H337" s="170"/>
      <c r="I337" s="170"/>
      <c r="J337" s="170"/>
      <c r="K337" s="170"/>
      <c r="L337" s="170"/>
      <c r="M337" s="171"/>
    </row>
    <row r="338" spans="1:15" x14ac:dyDescent="0.25">
      <c r="A338" s="172">
        <v>17</v>
      </c>
      <c r="B338" s="172" t="s">
        <v>995</v>
      </c>
      <c r="C338" s="173">
        <v>272</v>
      </c>
      <c r="D338" s="173">
        <v>0</v>
      </c>
      <c r="E338" s="174"/>
      <c r="F338" s="175"/>
      <c r="G338" s="176"/>
      <c r="H338" s="194"/>
      <c r="I338" s="174"/>
      <c r="J338" s="174"/>
      <c r="K338" s="174"/>
      <c r="L338" s="174"/>
      <c r="M338" s="175"/>
      <c r="O338">
        <v>0</v>
      </c>
    </row>
    <row r="339" spans="1:15" x14ac:dyDescent="0.25">
      <c r="A339" s="177"/>
      <c r="B339" s="177"/>
      <c r="C339" s="173">
        <v>273</v>
      </c>
      <c r="D339" s="173">
        <v>1</v>
      </c>
      <c r="E339" s="174"/>
      <c r="F339" s="175"/>
      <c r="G339" s="176"/>
      <c r="H339" s="194"/>
      <c r="I339" s="174"/>
      <c r="J339" s="174"/>
      <c r="K339" s="174"/>
      <c r="L339" s="174"/>
      <c r="M339" s="175"/>
      <c r="O339">
        <v>0</v>
      </c>
    </row>
    <row r="340" spans="1:15" x14ac:dyDescent="0.25">
      <c r="A340" s="178"/>
      <c r="B340" s="177"/>
      <c r="C340" s="173">
        <v>274</v>
      </c>
      <c r="D340" s="173">
        <v>2</v>
      </c>
      <c r="E340" s="174"/>
      <c r="F340" s="175"/>
      <c r="G340" s="176"/>
      <c r="H340" s="194"/>
      <c r="I340" s="174"/>
      <c r="J340" s="174"/>
      <c r="K340" s="174"/>
      <c r="L340" s="174"/>
      <c r="M340" s="175"/>
      <c r="O340">
        <v>0</v>
      </c>
    </row>
    <row r="341" spans="1:15" x14ac:dyDescent="0.25">
      <c r="A341" s="177"/>
      <c r="B341" s="177"/>
      <c r="C341" s="173">
        <v>275</v>
      </c>
      <c r="D341" s="173">
        <v>3</v>
      </c>
      <c r="E341" s="174"/>
      <c r="F341" s="175"/>
      <c r="G341" s="176"/>
      <c r="H341" s="194"/>
      <c r="I341" s="174"/>
      <c r="J341" s="174"/>
      <c r="K341" s="174"/>
      <c r="L341" s="174"/>
      <c r="M341" s="175"/>
      <c r="O341">
        <v>0</v>
      </c>
    </row>
    <row r="342" spans="1:15" x14ac:dyDescent="0.25">
      <c r="A342" s="177"/>
      <c r="B342" s="177"/>
      <c r="C342" s="173">
        <v>276</v>
      </c>
      <c r="D342" s="173">
        <v>4</v>
      </c>
      <c r="E342" s="174"/>
      <c r="F342" s="175"/>
      <c r="G342" s="176"/>
      <c r="H342" s="194"/>
      <c r="I342" s="174"/>
      <c r="J342" s="174"/>
      <c r="K342" s="174"/>
      <c r="L342" s="174"/>
      <c r="M342" s="175"/>
      <c r="O342">
        <v>0</v>
      </c>
    </row>
    <row r="343" spans="1:15" x14ac:dyDescent="0.25">
      <c r="A343" s="177"/>
      <c r="B343" s="177"/>
      <c r="C343" s="173">
        <v>277</v>
      </c>
      <c r="D343" s="173">
        <v>5</v>
      </c>
      <c r="E343" s="174"/>
      <c r="F343" s="175"/>
      <c r="G343" s="176"/>
      <c r="H343" s="194"/>
      <c r="I343" s="174"/>
      <c r="J343" s="174"/>
      <c r="K343" s="174"/>
      <c r="L343" s="174"/>
      <c r="M343" s="175"/>
      <c r="O343">
        <v>0</v>
      </c>
    </row>
    <row r="344" spans="1:15" x14ac:dyDescent="0.25">
      <c r="A344" s="177"/>
      <c r="B344" s="177"/>
      <c r="C344" s="173">
        <v>278</v>
      </c>
      <c r="D344" s="173">
        <v>6</v>
      </c>
      <c r="E344" s="174"/>
      <c r="F344" s="175"/>
      <c r="G344" s="176"/>
      <c r="H344" s="194"/>
      <c r="I344" s="174"/>
      <c r="J344" s="174"/>
      <c r="K344" s="174"/>
      <c r="L344" s="174"/>
      <c r="M344" s="175"/>
      <c r="O344">
        <v>0</v>
      </c>
    </row>
    <row r="345" spans="1:15" x14ac:dyDescent="0.25">
      <c r="A345" s="177"/>
      <c r="B345" s="177"/>
      <c r="C345" s="173">
        <v>279</v>
      </c>
      <c r="D345" s="173">
        <v>7</v>
      </c>
      <c r="E345" s="174"/>
      <c r="F345" s="175"/>
      <c r="G345" s="176"/>
      <c r="H345" s="194"/>
      <c r="I345" s="174"/>
      <c r="J345" s="174"/>
      <c r="K345" s="174"/>
      <c r="L345" s="174"/>
      <c r="M345" s="175"/>
      <c r="O345">
        <v>0</v>
      </c>
    </row>
    <row r="346" spans="1:15" x14ac:dyDescent="0.25">
      <c r="A346" s="177"/>
      <c r="B346" s="177"/>
      <c r="C346" s="173">
        <v>280</v>
      </c>
      <c r="D346" s="173">
        <v>8</v>
      </c>
      <c r="E346" s="174"/>
      <c r="F346" s="175"/>
      <c r="G346" s="176"/>
      <c r="H346" s="194"/>
      <c r="I346" s="174"/>
      <c r="J346" s="174"/>
      <c r="K346" s="174"/>
      <c r="L346" s="174"/>
      <c r="M346" s="175"/>
      <c r="O346">
        <v>0</v>
      </c>
    </row>
    <row r="347" spans="1:15" x14ac:dyDescent="0.25">
      <c r="A347" s="177"/>
      <c r="B347" s="177"/>
      <c r="C347" s="173">
        <v>281</v>
      </c>
      <c r="D347" s="173">
        <v>9</v>
      </c>
      <c r="E347" s="174"/>
      <c r="F347" s="175"/>
      <c r="G347" s="176"/>
      <c r="H347" s="194"/>
      <c r="I347" s="174"/>
      <c r="J347" s="174"/>
      <c r="K347" s="174"/>
      <c r="L347" s="174"/>
      <c r="M347" s="175"/>
      <c r="O347">
        <v>0</v>
      </c>
    </row>
    <row r="348" spans="1:15" x14ac:dyDescent="0.25">
      <c r="A348" s="177"/>
      <c r="B348" s="177"/>
      <c r="C348" s="173">
        <v>282</v>
      </c>
      <c r="D348" s="173">
        <v>10</v>
      </c>
      <c r="E348" s="174"/>
      <c r="F348" s="175"/>
      <c r="G348" s="176"/>
      <c r="H348" s="194"/>
      <c r="I348" s="174"/>
      <c r="J348" s="174"/>
      <c r="K348" s="174"/>
      <c r="L348" s="174"/>
      <c r="M348" s="175"/>
      <c r="O348">
        <v>0</v>
      </c>
    </row>
    <row r="349" spans="1:15" x14ac:dyDescent="0.25">
      <c r="A349" s="177"/>
      <c r="B349" s="177"/>
      <c r="C349" s="173">
        <v>283</v>
      </c>
      <c r="D349" s="173">
        <v>11</v>
      </c>
      <c r="E349" s="174"/>
      <c r="F349" s="175"/>
      <c r="G349" s="176"/>
      <c r="H349" s="194"/>
      <c r="I349" s="174"/>
      <c r="J349" s="174"/>
      <c r="K349" s="174"/>
      <c r="L349" s="174"/>
      <c r="M349" s="175"/>
      <c r="O349">
        <v>0</v>
      </c>
    </row>
    <row r="350" spans="1:15" x14ac:dyDescent="0.25">
      <c r="A350" s="177"/>
      <c r="B350" s="177"/>
      <c r="C350" s="173">
        <v>284</v>
      </c>
      <c r="D350" s="173">
        <v>12</v>
      </c>
      <c r="E350" s="174"/>
      <c r="F350" s="175"/>
      <c r="G350" s="176"/>
      <c r="H350" s="194"/>
      <c r="I350" s="174"/>
      <c r="J350" s="174"/>
      <c r="K350" s="174"/>
      <c r="L350" s="174"/>
      <c r="M350" s="175"/>
      <c r="O350">
        <v>0</v>
      </c>
    </row>
    <row r="351" spans="1:15" x14ac:dyDescent="0.25">
      <c r="A351" s="177"/>
      <c r="B351" s="177"/>
      <c r="C351" s="173">
        <v>285</v>
      </c>
      <c r="D351" s="173">
        <v>13</v>
      </c>
      <c r="E351" s="174"/>
      <c r="F351" s="175"/>
      <c r="G351" s="176"/>
      <c r="H351" s="174"/>
      <c r="I351" s="174"/>
      <c r="J351" s="174"/>
      <c r="K351" s="174"/>
      <c r="L351" s="174"/>
      <c r="M351" s="175"/>
      <c r="O351">
        <v>0</v>
      </c>
    </row>
    <row r="352" spans="1:15" x14ac:dyDescent="0.25">
      <c r="A352" s="177"/>
      <c r="B352" s="177"/>
      <c r="C352" s="173">
        <v>286</v>
      </c>
      <c r="D352" s="173">
        <v>14</v>
      </c>
      <c r="E352" s="174"/>
      <c r="F352" s="175"/>
      <c r="G352" s="176"/>
      <c r="H352" s="174"/>
      <c r="I352" s="174"/>
      <c r="J352" s="174"/>
      <c r="K352" s="174"/>
      <c r="L352" s="174"/>
      <c r="M352" s="175"/>
      <c r="O352">
        <v>0</v>
      </c>
    </row>
    <row r="353" spans="1:15" x14ac:dyDescent="0.25">
      <c r="A353" s="179"/>
      <c r="B353" s="179"/>
      <c r="C353" s="173">
        <v>287</v>
      </c>
      <c r="D353" s="173">
        <v>15</v>
      </c>
      <c r="E353" s="174"/>
      <c r="F353" s="175"/>
      <c r="G353" s="176"/>
      <c r="H353" s="174"/>
      <c r="I353" s="174"/>
      <c r="J353" s="174"/>
      <c r="K353" s="174"/>
      <c r="L353" s="174"/>
      <c r="M353" s="175"/>
      <c r="O353">
        <v>0</v>
      </c>
    </row>
    <row r="355" spans="1:15" x14ac:dyDescent="0.25">
      <c r="A355" s="167" t="s">
        <v>864</v>
      </c>
      <c r="B355" s="167" t="s">
        <v>865</v>
      </c>
      <c r="C355" s="167" t="s">
        <v>210</v>
      </c>
      <c r="D355" s="167" t="s">
        <v>866</v>
      </c>
      <c r="E355" s="168"/>
      <c r="F355" s="169"/>
      <c r="G355" s="168"/>
      <c r="H355" s="170"/>
      <c r="I355" s="170"/>
      <c r="J355" s="170"/>
      <c r="K355" s="170"/>
      <c r="L355" s="170"/>
      <c r="M355" s="171"/>
    </row>
    <row r="356" spans="1:15" x14ac:dyDescent="0.25">
      <c r="A356" s="172">
        <v>18</v>
      </c>
      <c r="B356" s="172" t="s">
        <v>995</v>
      </c>
      <c r="C356" s="173">
        <v>288</v>
      </c>
      <c r="D356" s="173">
        <v>0</v>
      </c>
      <c r="E356" s="174"/>
      <c r="F356" s="175"/>
      <c r="G356" s="176"/>
      <c r="H356" s="174"/>
      <c r="I356" s="174"/>
      <c r="J356" s="174"/>
      <c r="K356" s="174"/>
      <c r="L356" s="174"/>
      <c r="M356" s="175"/>
      <c r="O356">
        <v>0</v>
      </c>
    </row>
    <row r="357" spans="1:15" x14ac:dyDescent="0.25">
      <c r="A357" s="177"/>
      <c r="B357" s="177"/>
      <c r="C357" s="173">
        <v>289</v>
      </c>
      <c r="D357" s="173">
        <v>1</v>
      </c>
      <c r="E357" s="174"/>
      <c r="F357" s="175"/>
      <c r="G357" s="176"/>
      <c r="H357" s="174"/>
      <c r="I357" s="174"/>
      <c r="J357" s="174"/>
      <c r="K357" s="174"/>
      <c r="L357" s="174"/>
      <c r="M357" s="175"/>
      <c r="O357">
        <v>0</v>
      </c>
    </row>
    <row r="358" spans="1:15" x14ac:dyDescent="0.25">
      <c r="A358" s="178"/>
      <c r="B358" s="177"/>
      <c r="C358" s="173">
        <v>290</v>
      </c>
      <c r="D358" s="173">
        <v>2</v>
      </c>
      <c r="E358" s="174"/>
      <c r="F358" s="175"/>
      <c r="G358" s="176"/>
      <c r="H358" s="174"/>
      <c r="I358" s="174"/>
      <c r="J358" s="174"/>
      <c r="K358" s="174"/>
      <c r="L358" s="174"/>
      <c r="M358" s="175"/>
      <c r="O358">
        <v>0</v>
      </c>
    </row>
    <row r="359" spans="1:15" x14ac:dyDescent="0.25">
      <c r="A359" s="177"/>
      <c r="B359" s="177"/>
      <c r="C359" s="173">
        <v>291</v>
      </c>
      <c r="D359" s="173">
        <v>3</v>
      </c>
      <c r="E359" s="174"/>
      <c r="F359" s="175"/>
      <c r="G359" s="176"/>
      <c r="H359" s="174"/>
      <c r="I359" s="174"/>
      <c r="J359" s="174"/>
      <c r="K359" s="174"/>
      <c r="L359" s="174"/>
      <c r="M359" s="175"/>
      <c r="O359">
        <v>0</v>
      </c>
    </row>
    <row r="360" spans="1:15" x14ac:dyDescent="0.25">
      <c r="A360" s="177"/>
      <c r="B360" s="177"/>
      <c r="C360" s="173">
        <v>292</v>
      </c>
      <c r="D360" s="173">
        <v>4</v>
      </c>
      <c r="E360" s="174"/>
      <c r="F360" s="175"/>
      <c r="G360" s="176"/>
      <c r="H360" s="174"/>
      <c r="I360" s="174"/>
      <c r="J360" s="174"/>
      <c r="K360" s="174"/>
      <c r="L360" s="174"/>
      <c r="M360" s="175"/>
      <c r="O360">
        <v>0</v>
      </c>
    </row>
    <row r="361" spans="1:15" x14ac:dyDescent="0.25">
      <c r="A361" s="177"/>
      <c r="B361" s="177"/>
      <c r="C361" s="173">
        <v>293</v>
      </c>
      <c r="D361" s="173">
        <v>5</v>
      </c>
      <c r="E361" s="174"/>
      <c r="F361" s="175"/>
      <c r="G361" s="176"/>
      <c r="H361" s="174"/>
      <c r="I361" s="174"/>
      <c r="J361" s="174"/>
      <c r="K361" s="174"/>
      <c r="L361" s="174"/>
      <c r="M361" s="175"/>
      <c r="O361">
        <v>0</v>
      </c>
    </row>
    <row r="362" spans="1:15" x14ac:dyDescent="0.25">
      <c r="A362" s="177"/>
      <c r="B362" s="177"/>
      <c r="C362" s="173">
        <v>294</v>
      </c>
      <c r="D362" s="173">
        <v>6</v>
      </c>
      <c r="E362" s="174"/>
      <c r="F362" s="175"/>
      <c r="G362" s="176"/>
      <c r="H362" s="174"/>
      <c r="I362" s="174"/>
      <c r="J362" s="174"/>
      <c r="K362" s="174"/>
      <c r="L362" s="174"/>
      <c r="M362" s="175"/>
      <c r="O362">
        <v>0</v>
      </c>
    </row>
    <row r="363" spans="1:15" x14ac:dyDescent="0.25">
      <c r="A363" s="177"/>
      <c r="B363" s="177"/>
      <c r="C363" s="173">
        <v>295</v>
      </c>
      <c r="D363" s="173">
        <v>7</v>
      </c>
      <c r="E363" s="174"/>
      <c r="F363" s="175"/>
      <c r="G363" s="176"/>
      <c r="H363" s="174"/>
      <c r="I363" s="174"/>
      <c r="J363" s="174"/>
      <c r="K363" s="174"/>
      <c r="L363" s="174"/>
      <c r="M363" s="175"/>
      <c r="O363">
        <v>0</v>
      </c>
    </row>
    <row r="364" spans="1:15" x14ac:dyDescent="0.25">
      <c r="A364" s="177"/>
      <c r="B364" s="177"/>
      <c r="C364" s="173">
        <v>296</v>
      </c>
      <c r="D364" s="173">
        <v>8</v>
      </c>
      <c r="E364" s="174"/>
      <c r="F364" s="175"/>
      <c r="G364" s="176"/>
      <c r="H364" s="174"/>
      <c r="I364" s="174"/>
      <c r="J364" s="174"/>
      <c r="K364" s="174"/>
      <c r="L364" s="174"/>
      <c r="M364" s="175"/>
      <c r="O364">
        <v>0</v>
      </c>
    </row>
    <row r="365" spans="1:15" x14ac:dyDescent="0.25">
      <c r="A365" s="177"/>
      <c r="B365" s="177"/>
      <c r="C365" s="173">
        <v>297</v>
      </c>
      <c r="D365" s="173">
        <v>9</v>
      </c>
      <c r="E365" s="174"/>
      <c r="F365" s="175"/>
      <c r="G365" s="176"/>
      <c r="H365" s="174"/>
      <c r="I365" s="174"/>
      <c r="J365" s="174"/>
      <c r="K365" s="174"/>
      <c r="L365" s="174"/>
      <c r="M365" s="175"/>
      <c r="O365">
        <v>0</v>
      </c>
    </row>
    <row r="366" spans="1:15" x14ac:dyDescent="0.25">
      <c r="A366" s="177"/>
      <c r="B366" s="177"/>
      <c r="C366" s="173">
        <v>298</v>
      </c>
      <c r="D366" s="173">
        <v>10</v>
      </c>
      <c r="E366" s="174"/>
      <c r="F366" s="175"/>
      <c r="G366" s="176"/>
      <c r="H366" s="174"/>
      <c r="I366" s="174"/>
      <c r="J366" s="174"/>
      <c r="K366" s="174"/>
      <c r="L366" s="174"/>
      <c r="M366" s="175"/>
      <c r="O366">
        <v>0</v>
      </c>
    </row>
    <row r="367" spans="1:15" x14ac:dyDescent="0.25">
      <c r="A367" s="177"/>
      <c r="B367" s="177"/>
      <c r="C367" s="173">
        <v>299</v>
      </c>
      <c r="D367" s="173">
        <v>11</v>
      </c>
      <c r="E367" s="174"/>
      <c r="F367" s="175"/>
      <c r="G367" s="176"/>
      <c r="H367" s="174"/>
      <c r="I367" s="174"/>
      <c r="J367" s="174"/>
      <c r="K367" s="174"/>
      <c r="L367" s="174"/>
      <c r="M367" s="175"/>
      <c r="O367">
        <v>0</v>
      </c>
    </row>
    <row r="368" spans="1:15" x14ac:dyDescent="0.25">
      <c r="A368" s="177"/>
      <c r="B368" s="177"/>
      <c r="C368" s="173">
        <v>300</v>
      </c>
      <c r="D368" s="173">
        <v>12</v>
      </c>
      <c r="E368" s="174"/>
      <c r="F368" s="175"/>
      <c r="G368" s="176"/>
      <c r="H368" s="174"/>
      <c r="I368" s="174"/>
      <c r="J368" s="174"/>
      <c r="K368" s="174"/>
      <c r="L368" s="174"/>
      <c r="M368" s="175"/>
      <c r="O368">
        <v>0</v>
      </c>
    </row>
    <row r="369" spans="1:15" x14ac:dyDescent="0.25">
      <c r="A369" s="177"/>
      <c r="B369" s="177"/>
      <c r="C369" s="173">
        <v>301</v>
      </c>
      <c r="D369" s="173">
        <v>13</v>
      </c>
      <c r="E369" s="174"/>
      <c r="F369" s="175"/>
      <c r="G369" s="176"/>
      <c r="H369" s="174"/>
      <c r="I369" s="174"/>
      <c r="J369" s="174"/>
      <c r="K369" s="174"/>
      <c r="L369" s="174"/>
      <c r="M369" s="175"/>
      <c r="O369">
        <v>0</v>
      </c>
    </row>
    <row r="370" spans="1:15" x14ac:dyDescent="0.25">
      <c r="A370" s="177"/>
      <c r="B370" s="177"/>
      <c r="C370" s="173">
        <v>302</v>
      </c>
      <c r="D370" s="173">
        <v>14</v>
      </c>
      <c r="E370" s="174"/>
      <c r="F370" s="175"/>
      <c r="G370" s="176"/>
      <c r="H370" s="174"/>
      <c r="I370" s="174"/>
      <c r="J370" s="174"/>
      <c r="K370" s="174"/>
      <c r="L370" s="174"/>
      <c r="M370" s="175"/>
      <c r="O370">
        <v>0</v>
      </c>
    </row>
    <row r="371" spans="1:15" x14ac:dyDescent="0.25">
      <c r="A371" s="179"/>
      <c r="B371" s="179"/>
      <c r="C371" s="173">
        <v>303</v>
      </c>
      <c r="D371" s="173">
        <v>15</v>
      </c>
      <c r="E371" s="174"/>
      <c r="F371" s="175"/>
      <c r="G371" s="176"/>
      <c r="H371" s="174"/>
      <c r="I371" s="174"/>
      <c r="J371" s="174"/>
      <c r="K371" s="174"/>
      <c r="L371" s="174"/>
      <c r="M371" s="175"/>
      <c r="O371">
        <v>0</v>
      </c>
    </row>
    <row r="373" spans="1:15" x14ac:dyDescent="0.25">
      <c r="A373" s="167" t="s">
        <v>864</v>
      </c>
      <c r="B373" s="167" t="s">
        <v>865</v>
      </c>
      <c r="C373" s="167" t="s">
        <v>210</v>
      </c>
      <c r="D373" s="167" t="s">
        <v>866</v>
      </c>
      <c r="E373" s="168"/>
      <c r="F373" s="169"/>
      <c r="G373" s="168"/>
      <c r="H373" s="170"/>
      <c r="I373" s="170"/>
      <c r="J373" s="170"/>
      <c r="K373" s="170"/>
      <c r="L373" s="170"/>
      <c r="M373" s="171"/>
    </row>
    <row r="374" spans="1:15" x14ac:dyDescent="0.25">
      <c r="A374" s="172">
        <v>19</v>
      </c>
      <c r="B374" s="172" t="s">
        <v>995</v>
      </c>
      <c r="C374" s="173">
        <v>304</v>
      </c>
      <c r="D374" s="173">
        <v>0</v>
      </c>
      <c r="E374" s="174"/>
      <c r="F374" s="175"/>
      <c r="G374" s="176"/>
      <c r="H374" s="174"/>
      <c r="I374" s="174"/>
      <c r="J374" s="174"/>
      <c r="K374" s="174"/>
      <c r="L374" s="174"/>
      <c r="M374" s="175"/>
      <c r="O374">
        <v>0</v>
      </c>
    </row>
    <row r="375" spans="1:15" x14ac:dyDescent="0.25">
      <c r="A375" s="177"/>
      <c r="B375" s="177"/>
      <c r="C375" s="173">
        <v>305</v>
      </c>
      <c r="D375" s="173">
        <v>1</v>
      </c>
      <c r="E375" s="174"/>
      <c r="F375" s="175"/>
      <c r="G375" s="176"/>
      <c r="H375" s="174"/>
      <c r="I375" s="174"/>
      <c r="J375" s="174"/>
      <c r="K375" s="174"/>
      <c r="L375" s="174"/>
      <c r="M375" s="175"/>
      <c r="O375">
        <v>0</v>
      </c>
    </row>
    <row r="376" spans="1:15" x14ac:dyDescent="0.25">
      <c r="A376" s="178"/>
      <c r="B376" s="177"/>
      <c r="C376" s="173">
        <v>306</v>
      </c>
      <c r="D376" s="173">
        <v>2</v>
      </c>
      <c r="E376" s="174"/>
      <c r="F376" s="175"/>
      <c r="G376" s="176"/>
      <c r="H376" s="174"/>
      <c r="I376" s="174"/>
      <c r="J376" s="174"/>
      <c r="K376" s="174"/>
      <c r="L376" s="174"/>
      <c r="M376" s="175"/>
      <c r="O376">
        <v>0</v>
      </c>
    </row>
    <row r="377" spans="1:15" x14ac:dyDescent="0.25">
      <c r="A377" s="177"/>
      <c r="B377" s="177"/>
      <c r="C377" s="173">
        <v>307</v>
      </c>
      <c r="D377" s="173">
        <v>3</v>
      </c>
      <c r="E377" s="174"/>
      <c r="F377" s="175"/>
      <c r="G377" s="176"/>
      <c r="H377" s="174"/>
      <c r="I377" s="174"/>
      <c r="J377" s="174"/>
      <c r="K377" s="174"/>
      <c r="L377" s="174"/>
      <c r="M377" s="175"/>
      <c r="O377">
        <v>0</v>
      </c>
    </row>
    <row r="378" spans="1:15" x14ac:dyDescent="0.25">
      <c r="A378" s="177"/>
      <c r="B378" s="177"/>
      <c r="C378" s="173">
        <v>308</v>
      </c>
      <c r="D378" s="173">
        <v>4</v>
      </c>
      <c r="E378" s="174"/>
      <c r="F378" s="175"/>
      <c r="G378" s="176"/>
      <c r="H378" s="174"/>
      <c r="I378" s="174"/>
      <c r="J378" s="174"/>
      <c r="K378" s="174"/>
      <c r="L378" s="174"/>
      <c r="M378" s="175"/>
      <c r="O378">
        <v>0</v>
      </c>
    </row>
    <row r="379" spans="1:15" x14ac:dyDescent="0.25">
      <c r="A379" s="177"/>
      <c r="B379" s="177"/>
      <c r="C379" s="173">
        <v>309</v>
      </c>
      <c r="D379" s="173">
        <v>5</v>
      </c>
      <c r="E379" s="174"/>
      <c r="F379" s="175"/>
      <c r="G379" s="176"/>
      <c r="H379" s="174"/>
      <c r="I379" s="174"/>
      <c r="J379" s="174"/>
      <c r="K379" s="174"/>
      <c r="L379" s="174"/>
      <c r="M379" s="175"/>
      <c r="O379">
        <v>0</v>
      </c>
    </row>
    <row r="380" spans="1:15" x14ac:dyDescent="0.25">
      <c r="A380" s="177"/>
      <c r="B380" s="177"/>
      <c r="C380" s="173">
        <v>310</v>
      </c>
      <c r="D380" s="173">
        <v>6</v>
      </c>
      <c r="E380" s="174"/>
      <c r="F380" s="175"/>
      <c r="G380" s="176"/>
      <c r="H380" s="174"/>
      <c r="I380" s="174"/>
      <c r="J380" s="174"/>
      <c r="K380" s="174"/>
      <c r="L380" s="174"/>
      <c r="M380" s="175"/>
      <c r="O380">
        <v>0</v>
      </c>
    </row>
    <row r="381" spans="1:15" x14ac:dyDescent="0.25">
      <c r="A381" s="177"/>
      <c r="B381" s="177"/>
      <c r="C381" s="173">
        <v>311</v>
      </c>
      <c r="D381" s="173">
        <v>7</v>
      </c>
      <c r="E381" s="174"/>
      <c r="F381" s="175"/>
      <c r="G381" s="176"/>
      <c r="H381" s="194"/>
      <c r="I381" s="174"/>
      <c r="J381" s="174"/>
      <c r="K381" s="174"/>
      <c r="L381" s="174"/>
      <c r="M381" s="175"/>
      <c r="O381">
        <v>0</v>
      </c>
    </row>
    <row r="382" spans="1:15" x14ac:dyDescent="0.25">
      <c r="A382" s="177"/>
      <c r="B382" s="177"/>
      <c r="C382" s="173">
        <v>312</v>
      </c>
      <c r="D382" s="173">
        <v>8</v>
      </c>
      <c r="E382" s="174"/>
      <c r="F382" s="175"/>
      <c r="G382" s="176"/>
      <c r="H382" s="194"/>
      <c r="I382" s="174"/>
      <c r="J382" s="174"/>
      <c r="K382" s="174"/>
      <c r="L382" s="174"/>
      <c r="M382" s="175"/>
      <c r="O382">
        <v>0</v>
      </c>
    </row>
    <row r="383" spans="1:15" x14ac:dyDescent="0.25">
      <c r="A383" s="177"/>
      <c r="B383" s="177"/>
      <c r="C383" s="173">
        <v>313</v>
      </c>
      <c r="D383" s="173">
        <v>9</v>
      </c>
      <c r="E383" s="174"/>
      <c r="F383" s="175"/>
      <c r="G383" s="176"/>
      <c r="H383" s="194"/>
      <c r="I383" s="174"/>
      <c r="J383" s="174"/>
      <c r="K383" s="174"/>
      <c r="L383" s="174"/>
      <c r="M383" s="175"/>
      <c r="O383">
        <v>0</v>
      </c>
    </row>
    <row r="384" spans="1:15" x14ac:dyDescent="0.25">
      <c r="A384" s="177"/>
      <c r="B384" s="177"/>
      <c r="C384" s="173">
        <v>314</v>
      </c>
      <c r="D384" s="173">
        <v>10</v>
      </c>
      <c r="E384" s="174"/>
      <c r="F384" s="175"/>
      <c r="G384" s="176"/>
      <c r="H384" s="194"/>
      <c r="I384" s="174"/>
      <c r="J384" s="174"/>
      <c r="K384" s="174"/>
      <c r="L384" s="174"/>
      <c r="M384" s="175"/>
      <c r="O384">
        <v>0</v>
      </c>
    </row>
    <row r="385" spans="1:15" x14ac:dyDescent="0.25">
      <c r="A385" s="177"/>
      <c r="B385" s="177"/>
      <c r="C385" s="173">
        <v>315</v>
      </c>
      <c r="D385" s="173">
        <v>11</v>
      </c>
      <c r="E385" s="174"/>
      <c r="F385" s="175"/>
      <c r="G385" s="176"/>
      <c r="H385" s="194"/>
      <c r="I385" s="174"/>
      <c r="J385" s="174"/>
      <c r="K385" s="174"/>
      <c r="L385" s="174"/>
      <c r="M385" s="175"/>
      <c r="O385">
        <v>0</v>
      </c>
    </row>
    <row r="386" spans="1:15" x14ac:dyDescent="0.25">
      <c r="A386" s="177"/>
      <c r="B386" s="177"/>
      <c r="C386" s="173">
        <v>316</v>
      </c>
      <c r="D386" s="173">
        <v>12</v>
      </c>
      <c r="E386" s="174"/>
      <c r="F386" s="175"/>
      <c r="G386" s="176"/>
      <c r="H386" s="194"/>
      <c r="I386" s="174"/>
      <c r="J386" s="174"/>
      <c r="K386" s="174"/>
      <c r="L386" s="174"/>
      <c r="M386" s="175"/>
      <c r="O386">
        <v>0</v>
      </c>
    </row>
    <row r="387" spans="1:15" x14ac:dyDescent="0.25">
      <c r="A387" s="177"/>
      <c r="B387" s="177"/>
      <c r="C387" s="173">
        <v>317</v>
      </c>
      <c r="D387" s="173">
        <v>13</v>
      </c>
      <c r="E387" s="174"/>
      <c r="F387" s="175"/>
      <c r="G387" s="176"/>
      <c r="H387" s="194"/>
      <c r="I387" s="174"/>
      <c r="J387" s="174"/>
      <c r="K387" s="174"/>
      <c r="L387" s="174"/>
      <c r="M387" s="175"/>
      <c r="O387">
        <v>0</v>
      </c>
    </row>
    <row r="388" spans="1:15" x14ac:dyDescent="0.25">
      <c r="A388" s="177"/>
      <c r="B388" s="177"/>
      <c r="C388" s="173">
        <v>318</v>
      </c>
      <c r="D388" s="173">
        <v>14</v>
      </c>
      <c r="E388" s="174"/>
      <c r="F388" s="175"/>
      <c r="G388" s="176"/>
      <c r="H388" s="194"/>
      <c r="I388" s="174"/>
      <c r="J388" s="174"/>
      <c r="K388" s="174"/>
      <c r="L388" s="174"/>
      <c r="M388" s="175"/>
      <c r="O388">
        <v>0</v>
      </c>
    </row>
    <row r="389" spans="1:15" x14ac:dyDescent="0.25">
      <c r="A389" s="179"/>
      <c r="B389" s="179"/>
      <c r="C389" s="173">
        <v>319</v>
      </c>
      <c r="D389" s="173">
        <v>15</v>
      </c>
      <c r="E389" s="174"/>
      <c r="F389" s="175"/>
      <c r="G389" s="176"/>
      <c r="H389" s="194"/>
      <c r="I389" s="174"/>
      <c r="J389" s="174"/>
      <c r="K389" s="174"/>
      <c r="L389" s="174"/>
      <c r="M389" s="175"/>
      <c r="O389">
        <v>0</v>
      </c>
    </row>
    <row r="391" spans="1:15" x14ac:dyDescent="0.25">
      <c r="A391" s="167" t="s">
        <v>864</v>
      </c>
      <c r="B391" s="167" t="s">
        <v>865</v>
      </c>
      <c r="C391" s="167" t="s">
        <v>210</v>
      </c>
      <c r="D391" s="167" t="s">
        <v>866</v>
      </c>
      <c r="E391" s="168" t="s">
        <v>867</v>
      </c>
      <c r="F391" s="169"/>
      <c r="G391" s="168" t="s">
        <v>868</v>
      </c>
      <c r="H391" s="170"/>
      <c r="I391" s="170"/>
      <c r="J391" s="170"/>
      <c r="K391" s="170"/>
      <c r="L391" s="170"/>
      <c r="M391" s="171"/>
    </row>
    <row r="392" spans="1:15" x14ac:dyDescent="0.25">
      <c r="A392" s="172">
        <v>20</v>
      </c>
      <c r="B392" s="172" t="s">
        <v>995</v>
      </c>
      <c r="C392" s="173">
        <v>320</v>
      </c>
      <c r="D392" s="173">
        <v>0</v>
      </c>
      <c r="E392" s="174"/>
      <c r="F392" s="175"/>
      <c r="G392" s="176" t="s">
        <v>870</v>
      </c>
      <c r="H392" s="174"/>
      <c r="I392" s="174"/>
      <c r="J392" s="174"/>
      <c r="K392" s="174"/>
      <c r="L392" s="174"/>
      <c r="M392" s="175"/>
      <c r="O392">
        <v>0</v>
      </c>
    </row>
    <row r="393" spans="1:15" x14ac:dyDescent="0.25">
      <c r="A393" s="177"/>
      <c r="B393" s="177"/>
      <c r="C393" s="173">
        <v>321</v>
      </c>
      <c r="D393" s="173">
        <v>1</v>
      </c>
      <c r="E393" s="174"/>
      <c r="F393" s="175"/>
      <c r="G393" s="176"/>
      <c r="H393" s="194"/>
      <c r="I393" s="174"/>
      <c r="J393" s="174"/>
      <c r="K393" s="174"/>
      <c r="L393" s="174"/>
      <c r="M393" s="175"/>
      <c r="O393">
        <v>0</v>
      </c>
    </row>
    <row r="394" spans="1:15" x14ac:dyDescent="0.25">
      <c r="A394" s="178"/>
      <c r="B394" s="177"/>
      <c r="C394" s="173">
        <v>322</v>
      </c>
      <c r="D394" s="173">
        <v>2</v>
      </c>
      <c r="E394" s="174"/>
      <c r="F394" s="175"/>
      <c r="G394" s="176"/>
      <c r="H394" s="174"/>
      <c r="I394" s="174"/>
      <c r="J394" s="174"/>
      <c r="K394" s="174"/>
      <c r="L394" s="174"/>
      <c r="M394" s="175"/>
      <c r="O394">
        <v>0</v>
      </c>
    </row>
    <row r="395" spans="1:15" x14ac:dyDescent="0.25">
      <c r="A395" s="177"/>
      <c r="B395" s="177"/>
      <c r="C395" s="173">
        <v>323</v>
      </c>
      <c r="D395" s="173">
        <v>3</v>
      </c>
      <c r="E395" s="174"/>
      <c r="F395" s="175"/>
      <c r="G395" s="176"/>
      <c r="H395" s="194"/>
      <c r="I395" s="174"/>
      <c r="J395" s="174"/>
      <c r="K395" s="174"/>
      <c r="L395" s="174"/>
      <c r="M395" s="175"/>
      <c r="O395">
        <v>0</v>
      </c>
    </row>
    <row r="396" spans="1:15" x14ac:dyDescent="0.25">
      <c r="A396" s="177"/>
      <c r="B396" s="177"/>
      <c r="C396" s="173">
        <v>324</v>
      </c>
      <c r="D396" s="173">
        <v>4</v>
      </c>
      <c r="E396" s="174"/>
      <c r="F396" s="175"/>
      <c r="G396" s="176"/>
      <c r="H396" s="194"/>
      <c r="I396" s="174"/>
      <c r="J396" s="174"/>
      <c r="K396" s="174"/>
      <c r="L396" s="174"/>
      <c r="M396" s="175"/>
      <c r="O396">
        <v>0</v>
      </c>
    </row>
    <row r="397" spans="1:15" x14ac:dyDescent="0.25">
      <c r="A397" s="177"/>
      <c r="B397" s="177"/>
      <c r="C397" s="173">
        <v>325</v>
      </c>
      <c r="D397" s="173">
        <v>5</v>
      </c>
      <c r="E397" s="174"/>
      <c r="F397" s="175"/>
      <c r="G397" s="176"/>
      <c r="H397" s="194"/>
      <c r="I397" s="174"/>
      <c r="J397" s="174"/>
      <c r="K397" s="174"/>
      <c r="L397" s="174"/>
      <c r="M397" s="175"/>
      <c r="O397">
        <v>0</v>
      </c>
    </row>
    <row r="398" spans="1:15" x14ac:dyDescent="0.25">
      <c r="A398" s="177"/>
      <c r="B398" s="177"/>
      <c r="C398" s="173">
        <v>326</v>
      </c>
      <c r="D398" s="173">
        <v>6</v>
      </c>
      <c r="E398" s="174"/>
      <c r="F398" s="175"/>
      <c r="G398" s="176"/>
      <c r="H398" s="194"/>
      <c r="I398" s="174"/>
      <c r="J398" s="174"/>
      <c r="K398" s="174"/>
      <c r="L398" s="174"/>
      <c r="M398" s="175"/>
      <c r="O398">
        <v>0</v>
      </c>
    </row>
    <row r="399" spans="1:15" x14ac:dyDescent="0.25">
      <c r="A399" s="177"/>
      <c r="B399" s="177"/>
      <c r="C399" s="173">
        <v>327</v>
      </c>
      <c r="D399" s="173">
        <v>7</v>
      </c>
      <c r="E399" s="174"/>
      <c r="F399" s="175"/>
      <c r="G399" s="176"/>
      <c r="H399" s="194"/>
      <c r="I399" s="174"/>
      <c r="J399" s="174"/>
      <c r="K399" s="174"/>
      <c r="L399" s="174"/>
      <c r="M399" s="175"/>
      <c r="O399">
        <v>0</v>
      </c>
    </row>
    <row r="400" spans="1:15" x14ac:dyDescent="0.25">
      <c r="A400" s="177"/>
      <c r="B400" s="177"/>
      <c r="C400" s="173">
        <v>328</v>
      </c>
      <c r="D400" s="173">
        <v>8</v>
      </c>
      <c r="E400" s="174"/>
      <c r="F400" s="175"/>
      <c r="G400" s="176"/>
      <c r="H400" s="194"/>
      <c r="I400" s="174"/>
      <c r="J400" s="174"/>
      <c r="K400" s="174"/>
      <c r="L400" s="174"/>
      <c r="M400" s="175"/>
      <c r="O400">
        <v>0</v>
      </c>
    </row>
    <row r="401" spans="1:15" x14ac:dyDescent="0.25">
      <c r="A401" s="177"/>
      <c r="B401" s="177"/>
      <c r="C401" s="173">
        <v>329</v>
      </c>
      <c r="D401" s="173">
        <v>9</v>
      </c>
      <c r="E401" s="174"/>
      <c r="F401" s="175"/>
      <c r="G401" s="176"/>
      <c r="H401" s="194"/>
      <c r="I401" s="174"/>
      <c r="J401" s="174"/>
      <c r="K401" s="174"/>
      <c r="L401" s="174"/>
      <c r="M401" s="175"/>
      <c r="O401">
        <v>0</v>
      </c>
    </row>
    <row r="402" spans="1:15" x14ac:dyDescent="0.25">
      <c r="A402" s="177"/>
      <c r="B402" s="177"/>
      <c r="C402" s="173">
        <v>330</v>
      </c>
      <c r="D402" s="173">
        <v>10</v>
      </c>
      <c r="E402" s="174"/>
      <c r="F402" s="175"/>
      <c r="G402" s="176"/>
      <c r="H402" s="174"/>
      <c r="I402" s="174"/>
      <c r="J402" s="174"/>
      <c r="K402" s="174"/>
      <c r="L402" s="174"/>
      <c r="M402" s="175"/>
      <c r="O402">
        <v>0</v>
      </c>
    </row>
    <row r="403" spans="1:15" x14ac:dyDescent="0.25">
      <c r="A403" s="177"/>
      <c r="B403" s="177"/>
      <c r="C403" s="173">
        <v>331</v>
      </c>
      <c r="D403" s="173">
        <v>11</v>
      </c>
      <c r="E403" s="174"/>
      <c r="F403" s="175"/>
      <c r="G403" s="176"/>
      <c r="H403" s="174"/>
      <c r="I403" s="174"/>
      <c r="J403" s="174"/>
      <c r="K403" s="174"/>
      <c r="L403" s="174"/>
      <c r="M403" s="175"/>
      <c r="O403">
        <v>0</v>
      </c>
    </row>
    <row r="404" spans="1:15" x14ac:dyDescent="0.25">
      <c r="A404" s="177"/>
      <c r="B404" s="177"/>
      <c r="C404" s="173">
        <v>332</v>
      </c>
      <c r="D404" s="173">
        <v>12</v>
      </c>
      <c r="E404" s="174"/>
      <c r="F404" s="175"/>
      <c r="G404" s="176"/>
      <c r="H404" s="174"/>
      <c r="I404" s="174"/>
      <c r="J404" s="174"/>
      <c r="K404" s="174"/>
      <c r="L404" s="174"/>
      <c r="M404" s="175"/>
      <c r="O404">
        <v>0</v>
      </c>
    </row>
    <row r="405" spans="1:15" x14ac:dyDescent="0.25">
      <c r="A405" s="177"/>
      <c r="B405" s="177"/>
      <c r="C405" s="173">
        <v>333</v>
      </c>
      <c r="D405" s="173">
        <v>13</v>
      </c>
      <c r="E405" s="174"/>
      <c r="F405" s="175"/>
      <c r="G405" s="176"/>
      <c r="H405" s="174"/>
      <c r="I405" s="174"/>
      <c r="J405" s="174"/>
      <c r="K405" s="174"/>
      <c r="L405" s="174"/>
      <c r="M405" s="175"/>
      <c r="O405">
        <v>0</v>
      </c>
    </row>
    <row r="406" spans="1:15" x14ac:dyDescent="0.25">
      <c r="A406" s="177"/>
      <c r="B406" s="177"/>
      <c r="C406" s="173">
        <v>334</v>
      </c>
      <c r="D406" s="173">
        <v>14</v>
      </c>
      <c r="E406" s="174"/>
      <c r="F406" s="175"/>
      <c r="G406" s="176"/>
      <c r="H406" s="174"/>
      <c r="I406" s="174"/>
      <c r="J406" s="174"/>
      <c r="K406" s="174"/>
      <c r="L406" s="174"/>
      <c r="M406" s="175"/>
      <c r="O406">
        <v>0</v>
      </c>
    </row>
    <row r="407" spans="1:15" x14ac:dyDescent="0.25">
      <c r="A407" s="179"/>
      <c r="B407" s="179"/>
      <c r="C407" s="173">
        <v>335</v>
      </c>
      <c r="D407" s="173">
        <v>15</v>
      </c>
      <c r="E407" s="174"/>
      <c r="F407" s="175"/>
      <c r="G407" s="176"/>
      <c r="H407" s="174"/>
      <c r="I407" s="174"/>
      <c r="J407" s="174"/>
      <c r="K407" s="174"/>
      <c r="L407" s="174"/>
      <c r="M407" s="175"/>
      <c r="O407">
        <v>0</v>
      </c>
    </row>
    <row r="409" spans="1:15" x14ac:dyDescent="0.25">
      <c r="A409" s="167" t="s">
        <v>864</v>
      </c>
      <c r="B409" s="167" t="s">
        <v>865</v>
      </c>
      <c r="C409" s="167" t="s">
        <v>210</v>
      </c>
      <c r="D409" s="167" t="s">
        <v>866</v>
      </c>
      <c r="E409" s="168" t="s">
        <v>867</v>
      </c>
      <c r="F409" s="169"/>
      <c r="G409" s="168" t="s">
        <v>868</v>
      </c>
      <c r="H409" s="170"/>
      <c r="I409" s="170"/>
      <c r="J409" s="170"/>
      <c r="K409" s="170"/>
      <c r="L409" s="170"/>
      <c r="M409" s="171"/>
    </row>
    <row r="410" spans="1:15" x14ac:dyDescent="0.25">
      <c r="A410" s="172">
        <v>21</v>
      </c>
      <c r="B410" s="172" t="s">
        <v>995</v>
      </c>
      <c r="C410" s="173">
        <v>336</v>
      </c>
      <c r="D410" s="173">
        <v>0</v>
      </c>
      <c r="E410" s="174"/>
      <c r="F410" s="175"/>
      <c r="G410" s="176"/>
      <c r="H410" s="174"/>
      <c r="I410" s="174"/>
      <c r="J410" s="174"/>
      <c r="K410" s="174"/>
      <c r="L410" s="174"/>
      <c r="M410" s="175"/>
      <c r="O410">
        <v>0</v>
      </c>
    </row>
    <row r="411" spans="1:15" x14ac:dyDescent="0.25">
      <c r="A411" s="177"/>
      <c r="B411" s="177"/>
      <c r="C411" s="173">
        <v>337</v>
      </c>
      <c r="D411" s="173">
        <v>1</v>
      </c>
      <c r="E411" s="174"/>
      <c r="F411" s="175"/>
      <c r="G411" s="176"/>
      <c r="H411" s="174"/>
      <c r="I411" s="174"/>
      <c r="J411" s="174"/>
      <c r="K411" s="174"/>
      <c r="L411" s="174"/>
      <c r="M411" s="175"/>
      <c r="O411">
        <v>0</v>
      </c>
    </row>
    <row r="412" spans="1:15" x14ac:dyDescent="0.25">
      <c r="A412" s="178"/>
      <c r="B412" s="177"/>
      <c r="C412" s="173">
        <v>338</v>
      </c>
      <c r="D412" s="173">
        <v>2</v>
      </c>
      <c r="E412" s="174"/>
      <c r="F412" s="175"/>
      <c r="G412" s="176"/>
      <c r="H412" s="174"/>
      <c r="I412" s="174"/>
      <c r="J412" s="174"/>
      <c r="K412" s="174"/>
      <c r="L412" s="174"/>
      <c r="M412" s="175"/>
      <c r="O412">
        <v>0</v>
      </c>
    </row>
    <row r="413" spans="1:15" x14ac:dyDescent="0.25">
      <c r="A413" s="177"/>
      <c r="B413" s="177"/>
      <c r="C413" s="173">
        <v>339</v>
      </c>
      <c r="D413" s="173">
        <v>3</v>
      </c>
      <c r="E413" s="174"/>
      <c r="F413" s="175"/>
      <c r="G413" s="176"/>
      <c r="H413" s="174"/>
      <c r="I413" s="174"/>
      <c r="J413" s="174"/>
      <c r="K413" s="174"/>
      <c r="L413" s="174"/>
      <c r="M413" s="175"/>
      <c r="O413">
        <v>0</v>
      </c>
    </row>
    <row r="414" spans="1:15" x14ac:dyDescent="0.25">
      <c r="A414" s="177"/>
      <c r="B414" s="177"/>
      <c r="C414" s="173">
        <v>340</v>
      </c>
      <c r="D414" s="173">
        <v>4</v>
      </c>
      <c r="E414" s="174"/>
      <c r="F414" s="175"/>
      <c r="G414" s="176"/>
      <c r="H414" s="174"/>
      <c r="I414" s="174"/>
      <c r="J414" s="174"/>
      <c r="K414" s="174"/>
      <c r="L414" s="174"/>
      <c r="M414" s="175"/>
      <c r="O414">
        <v>0</v>
      </c>
    </row>
    <row r="415" spans="1:15" x14ac:dyDescent="0.25">
      <c r="A415" s="177"/>
      <c r="B415" s="177"/>
      <c r="C415" s="173">
        <v>341</v>
      </c>
      <c r="D415" s="173">
        <v>5</v>
      </c>
      <c r="E415" s="174"/>
      <c r="F415" s="175"/>
      <c r="G415" s="176"/>
      <c r="H415" s="174"/>
      <c r="I415" s="174"/>
      <c r="J415" s="174"/>
      <c r="K415" s="174"/>
      <c r="L415" s="174"/>
      <c r="M415" s="175"/>
      <c r="O415">
        <v>0</v>
      </c>
    </row>
    <row r="416" spans="1:15" x14ac:dyDescent="0.25">
      <c r="A416" s="177"/>
      <c r="B416" s="177"/>
      <c r="C416" s="173">
        <v>342</v>
      </c>
      <c r="D416" s="173">
        <v>6</v>
      </c>
      <c r="E416" s="174"/>
      <c r="F416" s="175"/>
      <c r="G416" s="176"/>
      <c r="H416" s="174"/>
      <c r="I416" s="174"/>
      <c r="J416" s="174"/>
      <c r="K416" s="174"/>
      <c r="L416" s="174"/>
      <c r="M416" s="175"/>
      <c r="O416">
        <v>0</v>
      </c>
    </row>
    <row r="417" spans="1:15" x14ac:dyDescent="0.25">
      <c r="A417" s="177"/>
      <c r="B417" s="177"/>
      <c r="C417" s="173">
        <v>343</v>
      </c>
      <c r="D417" s="173">
        <v>7</v>
      </c>
      <c r="E417" s="174"/>
      <c r="F417" s="175"/>
      <c r="G417" s="176"/>
      <c r="H417" s="174"/>
      <c r="I417" s="174"/>
      <c r="J417" s="174"/>
      <c r="K417" s="174"/>
      <c r="L417" s="174"/>
      <c r="M417" s="175"/>
      <c r="O417">
        <v>0</v>
      </c>
    </row>
    <row r="418" spans="1:15" x14ac:dyDescent="0.25">
      <c r="A418" s="177"/>
      <c r="B418" s="177"/>
      <c r="C418" s="173">
        <v>344</v>
      </c>
      <c r="D418" s="173">
        <v>8</v>
      </c>
      <c r="E418" s="174"/>
      <c r="F418" s="175"/>
      <c r="G418" s="176"/>
      <c r="H418" s="174"/>
      <c r="I418" s="174"/>
      <c r="J418" s="174"/>
      <c r="K418" s="174"/>
      <c r="L418" s="174"/>
      <c r="M418" s="175"/>
      <c r="O418">
        <v>0</v>
      </c>
    </row>
    <row r="419" spans="1:15" x14ac:dyDescent="0.25">
      <c r="A419" s="177"/>
      <c r="B419" s="177"/>
      <c r="C419" s="173">
        <v>345</v>
      </c>
      <c r="D419" s="173">
        <v>9</v>
      </c>
      <c r="E419" s="174"/>
      <c r="F419" s="175"/>
      <c r="G419" s="176"/>
      <c r="H419" s="174"/>
      <c r="I419" s="174"/>
      <c r="J419" s="174"/>
      <c r="K419" s="174"/>
      <c r="L419" s="174"/>
      <c r="M419" s="175"/>
      <c r="O419">
        <v>0</v>
      </c>
    </row>
    <row r="420" spans="1:15" x14ac:dyDescent="0.25">
      <c r="A420" s="177"/>
      <c r="B420" s="177"/>
      <c r="C420" s="173">
        <v>346</v>
      </c>
      <c r="D420" s="173">
        <v>10</v>
      </c>
      <c r="E420" s="174"/>
      <c r="F420" s="175"/>
      <c r="G420" s="176"/>
      <c r="H420" s="174"/>
      <c r="I420" s="174"/>
      <c r="J420" s="174"/>
      <c r="K420" s="174"/>
      <c r="L420" s="174"/>
      <c r="M420" s="175"/>
      <c r="O420">
        <v>0</v>
      </c>
    </row>
    <row r="421" spans="1:15" x14ac:dyDescent="0.25">
      <c r="A421" s="177"/>
      <c r="B421" s="177"/>
      <c r="C421" s="173">
        <v>347</v>
      </c>
      <c r="D421" s="173">
        <v>11</v>
      </c>
      <c r="E421" s="174"/>
      <c r="F421" s="175"/>
      <c r="G421" s="176"/>
      <c r="H421" s="174"/>
      <c r="I421" s="174"/>
      <c r="J421" s="174"/>
      <c r="K421" s="174"/>
      <c r="L421" s="174"/>
      <c r="M421" s="175"/>
      <c r="O421">
        <v>0</v>
      </c>
    </row>
    <row r="422" spans="1:15" x14ac:dyDescent="0.25">
      <c r="A422" s="177"/>
      <c r="B422" s="177"/>
      <c r="C422" s="173">
        <v>348</v>
      </c>
      <c r="D422" s="173">
        <v>12</v>
      </c>
      <c r="E422" s="174"/>
      <c r="F422" s="175"/>
      <c r="G422" s="176"/>
      <c r="H422" s="174"/>
      <c r="I422" s="174"/>
      <c r="J422" s="174"/>
      <c r="K422" s="174"/>
      <c r="L422" s="174"/>
      <c r="M422" s="175"/>
      <c r="O422">
        <v>0</v>
      </c>
    </row>
    <row r="423" spans="1:15" x14ac:dyDescent="0.25">
      <c r="A423" s="177"/>
      <c r="B423" s="177"/>
      <c r="C423" s="173">
        <v>349</v>
      </c>
      <c r="D423" s="173">
        <v>13</v>
      </c>
      <c r="E423" s="174"/>
      <c r="F423" s="175"/>
      <c r="G423" s="176"/>
      <c r="H423" s="174"/>
      <c r="I423" s="174"/>
      <c r="J423" s="174"/>
      <c r="K423" s="174"/>
      <c r="L423" s="174"/>
      <c r="M423" s="175"/>
      <c r="O423">
        <v>0</v>
      </c>
    </row>
    <row r="424" spans="1:15" x14ac:dyDescent="0.25">
      <c r="A424" s="177"/>
      <c r="B424" s="177"/>
      <c r="C424" s="173">
        <v>350</v>
      </c>
      <c r="D424" s="173">
        <v>14</v>
      </c>
      <c r="E424" s="174"/>
      <c r="F424" s="175"/>
      <c r="G424" s="176"/>
      <c r="H424" s="174"/>
      <c r="I424" s="174"/>
      <c r="J424" s="174"/>
      <c r="K424" s="174"/>
      <c r="L424" s="174"/>
      <c r="M424" s="175"/>
      <c r="O424">
        <v>0</v>
      </c>
    </row>
    <row r="425" spans="1:15" x14ac:dyDescent="0.25">
      <c r="A425" s="179"/>
      <c r="B425" s="179"/>
      <c r="C425" s="173">
        <v>351</v>
      </c>
      <c r="D425" s="173">
        <v>15</v>
      </c>
      <c r="E425" s="174"/>
      <c r="F425" s="175"/>
      <c r="G425" s="176"/>
      <c r="H425" s="174"/>
      <c r="I425" s="174"/>
      <c r="J425" s="174"/>
      <c r="K425" s="174"/>
      <c r="L425" s="174"/>
      <c r="M425" s="175"/>
      <c r="O425">
        <v>0</v>
      </c>
    </row>
    <row r="427" spans="1:15" x14ac:dyDescent="0.25">
      <c r="A427" s="167" t="s">
        <v>864</v>
      </c>
      <c r="B427" s="167" t="s">
        <v>865</v>
      </c>
      <c r="C427" s="167" t="s">
        <v>210</v>
      </c>
      <c r="D427" s="167" t="s">
        <v>866</v>
      </c>
      <c r="E427" s="168" t="s">
        <v>867</v>
      </c>
      <c r="F427" s="169"/>
      <c r="G427" s="168" t="s">
        <v>868</v>
      </c>
      <c r="H427" s="170"/>
      <c r="I427" s="170"/>
      <c r="J427" s="170"/>
      <c r="K427" s="170"/>
      <c r="L427" s="170"/>
      <c r="M427" s="171"/>
    </row>
    <row r="428" spans="1:15" x14ac:dyDescent="0.25">
      <c r="A428" s="172">
        <v>22</v>
      </c>
      <c r="B428" s="172" t="s">
        <v>995</v>
      </c>
      <c r="C428" s="173">
        <v>352</v>
      </c>
      <c r="D428" s="173">
        <v>0</v>
      </c>
      <c r="E428" s="174"/>
      <c r="F428" s="175"/>
      <c r="G428" s="176"/>
      <c r="H428" s="174"/>
      <c r="I428" s="174"/>
      <c r="J428" s="174"/>
      <c r="K428" s="174"/>
      <c r="L428" s="174"/>
      <c r="M428" s="175"/>
      <c r="O428">
        <v>0</v>
      </c>
    </row>
    <row r="429" spans="1:15" x14ac:dyDescent="0.25">
      <c r="A429" s="177"/>
      <c r="B429" s="177"/>
      <c r="C429" s="173">
        <v>353</v>
      </c>
      <c r="D429" s="173">
        <v>1</v>
      </c>
      <c r="E429" s="174"/>
      <c r="F429" s="175"/>
      <c r="G429" s="176"/>
      <c r="H429" s="174"/>
      <c r="I429" s="174"/>
      <c r="J429" s="174"/>
      <c r="K429" s="174"/>
      <c r="L429" s="174"/>
      <c r="M429" s="175"/>
      <c r="O429">
        <v>0</v>
      </c>
    </row>
    <row r="430" spans="1:15" x14ac:dyDescent="0.25">
      <c r="A430" s="178"/>
      <c r="B430" s="177"/>
      <c r="C430" s="173">
        <v>354</v>
      </c>
      <c r="D430" s="173">
        <v>2</v>
      </c>
      <c r="E430" s="174"/>
      <c r="F430" s="175"/>
      <c r="G430" s="176"/>
      <c r="H430" s="174"/>
      <c r="I430" s="174"/>
      <c r="J430" s="174"/>
      <c r="K430" s="174"/>
      <c r="L430" s="174"/>
      <c r="M430" s="175"/>
      <c r="O430">
        <v>0</v>
      </c>
    </row>
    <row r="431" spans="1:15" x14ac:dyDescent="0.25">
      <c r="A431" s="177"/>
      <c r="B431" s="177"/>
      <c r="C431" s="173">
        <v>355</v>
      </c>
      <c r="D431" s="173">
        <v>3</v>
      </c>
      <c r="E431" s="174"/>
      <c r="F431" s="175"/>
      <c r="G431" s="176"/>
      <c r="H431" s="174"/>
      <c r="I431" s="174"/>
      <c r="J431" s="174"/>
      <c r="K431" s="174"/>
      <c r="L431" s="174"/>
      <c r="M431" s="175"/>
      <c r="O431">
        <v>0</v>
      </c>
    </row>
    <row r="432" spans="1:15" x14ac:dyDescent="0.25">
      <c r="A432" s="177"/>
      <c r="B432" s="177"/>
      <c r="C432" s="173">
        <v>356</v>
      </c>
      <c r="D432" s="173">
        <v>4</v>
      </c>
      <c r="E432" s="174"/>
      <c r="F432" s="175"/>
      <c r="G432" s="176"/>
      <c r="H432" s="174"/>
      <c r="I432" s="174"/>
      <c r="J432" s="174"/>
      <c r="K432" s="174"/>
      <c r="L432" s="174"/>
      <c r="M432" s="175"/>
      <c r="O432">
        <v>0</v>
      </c>
    </row>
    <row r="433" spans="1:15" x14ac:dyDescent="0.25">
      <c r="A433" s="177"/>
      <c r="B433" s="177"/>
      <c r="C433" s="173">
        <v>357</v>
      </c>
      <c r="D433" s="173">
        <v>5</v>
      </c>
      <c r="E433" s="174"/>
      <c r="F433" s="175"/>
      <c r="G433" s="176"/>
      <c r="H433" s="174"/>
      <c r="I433" s="174"/>
      <c r="J433" s="174"/>
      <c r="K433" s="174"/>
      <c r="L433" s="174"/>
      <c r="M433" s="175"/>
      <c r="O433">
        <v>0</v>
      </c>
    </row>
    <row r="434" spans="1:15" x14ac:dyDescent="0.25">
      <c r="A434" s="177"/>
      <c r="B434" s="177"/>
      <c r="C434" s="173">
        <v>358</v>
      </c>
      <c r="D434" s="173">
        <v>6</v>
      </c>
      <c r="E434" s="174"/>
      <c r="F434" s="175"/>
      <c r="G434" s="176"/>
      <c r="H434" s="174"/>
      <c r="I434" s="174"/>
      <c r="J434" s="174"/>
      <c r="K434" s="174"/>
      <c r="L434" s="174"/>
      <c r="M434" s="175"/>
      <c r="O434">
        <v>0</v>
      </c>
    </row>
    <row r="435" spans="1:15" x14ac:dyDescent="0.25">
      <c r="A435" s="177"/>
      <c r="B435" s="177"/>
      <c r="C435" s="173">
        <v>359</v>
      </c>
      <c r="D435" s="173">
        <v>7</v>
      </c>
      <c r="E435" s="174"/>
      <c r="F435" s="175"/>
      <c r="G435" s="176"/>
      <c r="H435" s="174"/>
      <c r="I435" s="174"/>
      <c r="J435" s="174"/>
      <c r="K435" s="174"/>
      <c r="L435" s="174"/>
      <c r="M435" s="175"/>
      <c r="O435">
        <v>0</v>
      </c>
    </row>
    <row r="436" spans="1:15" x14ac:dyDescent="0.25">
      <c r="A436" s="177"/>
      <c r="B436" s="177"/>
      <c r="C436" s="173">
        <v>360</v>
      </c>
      <c r="D436" s="173">
        <v>8</v>
      </c>
      <c r="E436" s="174"/>
      <c r="F436" s="175"/>
      <c r="G436" s="176"/>
      <c r="H436" s="174"/>
      <c r="I436" s="174"/>
      <c r="J436" s="174"/>
      <c r="K436" s="174"/>
      <c r="L436" s="174"/>
      <c r="M436" s="175"/>
      <c r="O436">
        <v>0</v>
      </c>
    </row>
    <row r="437" spans="1:15" x14ac:dyDescent="0.25">
      <c r="A437" s="177"/>
      <c r="B437" s="177"/>
      <c r="C437" s="173">
        <v>361</v>
      </c>
      <c r="D437" s="173">
        <v>9</v>
      </c>
      <c r="E437" s="174"/>
      <c r="F437" s="175"/>
      <c r="G437" s="176"/>
      <c r="H437" s="174"/>
      <c r="I437" s="174"/>
      <c r="J437" s="174"/>
      <c r="K437" s="174"/>
      <c r="L437" s="174"/>
      <c r="M437" s="175"/>
      <c r="O437">
        <v>0</v>
      </c>
    </row>
    <row r="438" spans="1:15" x14ac:dyDescent="0.25">
      <c r="A438" s="177"/>
      <c r="B438" s="177"/>
      <c r="C438" s="173">
        <v>362</v>
      </c>
      <c r="D438" s="173">
        <v>10</v>
      </c>
      <c r="E438" s="174"/>
      <c r="F438" s="175"/>
      <c r="G438" s="176"/>
      <c r="H438" s="174"/>
      <c r="I438" s="174"/>
      <c r="J438" s="174"/>
      <c r="K438" s="174"/>
      <c r="L438" s="174"/>
      <c r="M438" s="175"/>
      <c r="O438">
        <v>0</v>
      </c>
    </row>
    <row r="439" spans="1:15" x14ac:dyDescent="0.25">
      <c r="A439" s="177"/>
      <c r="B439" s="177"/>
      <c r="C439" s="173">
        <v>363</v>
      </c>
      <c r="D439" s="173">
        <v>11</v>
      </c>
      <c r="E439" s="174"/>
      <c r="F439" s="175"/>
      <c r="G439" s="176"/>
      <c r="H439" s="174"/>
      <c r="I439" s="174"/>
      <c r="J439" s="174"/>
      <c r="K439" s="174"/>
      <c r="L439" s="174"/>
      <c r="M439" s="175"/>
      <c r="O439">
        <v>0</v>
      </c>
    </row>
    <row r="440" spans="1:15" x14ac:dyDescent="0.25">
      <c r="A440" s="177"/>
      <c r="B440" s="177"/>
      <c r="C440" s="173">
        <v>364</v>
      </c>
      <c r="D440" s="173">
        <v>12</v>
      </c>
      <c r="E440" s="174"/>
      <c r="F440" s="175"/>
      <c r="G440" s="176"/>
      <c r="H440" s="174"/>
      <c r="I440" s="174"/>
      <c r="J440" s="174"/>
      <c r="K440" s="174"/>
      <c r="L440" s="174"/>
      <c r="M440" s="175"/>
      <c r="O440">
        <v>0</v>
      </c>
    </row>
    <row r="441" spans="1:15" x14ac:dyDescent="0.25">
      <c r="A441" s="177"/>
      <c r="B441" s="177"/>
      <c r="C441" s="173">
        <v>365</v>
      </c>
      <c r="D441" s="173">
        <v>13</v>
      </c>
      <c r="E441" s="174"/>
      <c r="F441" s="175"/>
      <c r="G441" s="176"/>
      <c r="H441" s="174"/>
      <c r="I441" s="174"/>
      <c r="J441" s="174"/>
      <c r="K441" s="174"/>
      <c r="L441" s="174"/>
      <c r="M441" s="175"/>
      <c r="O441">
        <v>0</v>
      </c>
    </row>
    <row r="442" spans="1:15" x14ac:dyDescent="0.25">
      <c r="A442" s="177"/>
      <c r="B442" s="177"/>
      <c r="C442" s="173">
        <v>366</v>
      </c>
      <c r="D442" s="173">
        <v>14</v>
      </c>
      <c r="E442" s="174"/>
      <c r="F442" s="175"/>
      <c r="G442" s="176"/>
      <c r="H442" s="174"/>
      <c r="I442" s="174"/>
      <c r="J442" s="174"/>
      <c r="K442" s="174"/>
      <c r="L442" s="174"/>
      <c r="M442" s="175"/>
      <c r="O442">
        <v>0</v>
      </c>
    </row>
    <row r="443" spans="1:15" x14ac:dyDescent="0.25">
      <c r="A443" s="179"/>
      <c r="B443" s="179"/>
      <c r="C443" s="173">
        <v>367</v>
      </c>
      <c r="D443" s="173">
        <v>15</v>
      </c>
      <c r="E443" s="174"/>
      <c r="F443" s="175"/>
      <c r="G443" s="176"/>
      <c r="H443" s="174"/>
      <c r="I443" s="174"/>
      <c r="J443" s="174"/>
      <c r="K443" s="174"/>
      <c r="L443" s="174"/>
      <c r="M443" s="175"/>
      <c r="O443">
        <v>0</v>
      </c>
    </row>
    <row r="445" spans="1:15" x14ac:dyDescent="0.25">
      <c r="A445" s="167" t="s">
        <v>864</v>
      </c>
      <c r="B445" s="167" t="s">
        <v>865</v>
      </c>
      <c r="C445" s="167" t="s">
        <v>210</v>
      </c>
      <c r="D445" s="167" t="s">
        <v>866</v>
      </c>
      <c r="E445" s="168" t="s">
        <v>867</v>
      </c>
      <c r="F445" s="169"/>
      <c r="G445" s="168" t="s">
        <v>868</v>
      </c>
      <c r="H445" s="170"/>
      <c r="I445" s="170"/>
      <c r="J445" s="170"/>
      <c r="K445" s="170"/>
      <c r="L445" s="170"/>
      <c r="M445" s="171"/>
    </row>
    <row r="446" spans="1:15" x14ac:dyDescent="0.25">
      <c r="A446" s="172">
        <v>23</v>
      </c>
      <c r="B446" s="172" t="s">
        <v>995</v>
      </c>
      <c r="C446" s="173">
        <v>368</v>
      </c>
      <c r="D446" s="173">
        <v>0</v>
      </c>
      <c r="E446" s="174"/>
      <c r="F446" s="175"/>
      <c r="G446" s="176"/>
      <c r="H446" s="174"/>
      <c r="I446" s="174"/>
      <c r="J446" s="174"/>
      <c r="K446" s="174"/>
      <c r="L446" s="174"/>
      <c r="M446" s="175"/>
      <c r="O446">
        <v>0</v>
      </c>
    </row>
    <row r="447" spans="1:15" x14ac:dyDescent="0.25">
      <c r="A447" s="177"/>
      <c r="B447" s="177"/>
      <c r="C447" s="173">
        <v>369</v>
      </c>
      <c r="D447" s="173">
        <v>1</v>
      </c>
      <c r="E447" s="174"/>
      <c r="F447" s="175"/>
      <c r="G447" s="176"/>
      <c r="H447" s="174"/>
      <c r="I447" s="174"/>
      <c r="J447" s="174"/>
      <c r="K447" s="174"/>
      <c r="L447" s="174"/>
      <c r="M447" s="175"/>
      <c r="O447">
        <v>0</v>
      </c>
    </row>
    <row r="448" spans="1:15" x14ac:dyDescent="0.25">
      <c r="A448" s="178"/>
      <c r="B448" s="177"/>
      <c r="C448" s="173">
        <v>370</v>
      </c>
      <c r="D448" s="173">
        <v>2</v>
      </c>
      <c r="E448" s="174"/>
      <c r="F448" s="175"/>
      <c r="G448" s="176"/>
      <c r="H448" s="174"/>
      <c r="I448" s="174"/>
      <c r="J448" s="174"/>
      <c r="K448" s="174"/>
      <c r="L448" s="174"/>
      <c r="M448" s="175"/>
      <c r="O448">
        <v>0</v>
      </c>
    </row>
    <row r="449" spans="1:15" x14ac:dyDescent="0.25">
      <c r="A449" s="177"/>
      <c r="B449" s="177"/>
      <c r="C449" s="173">
        <v>371</v>
      </c>
      <c r="D449" s="173">
        <v>3</v>
      </c>
      <c r="E449" s="174"/>
      <c r="F449" s="175"/>
      <c r="G449" s="176"/>
      <c r="H449" s="174"/>
      <c r="I449" s="174"/>
      <c r="J449" s="174"/>
      <c r="K449" s="174"/>
      <c r="L449" s="174"/>
      <c r="M449" s="175"/>
      <c r="O449">
        <v>0</v>
      </c>
    </row>
    <row r="450" spans="1:15" x14ac:dyDescent="0.25">
      <c r="A450" s="177"/>
      <c r="B450" s="177"/>
      <c r="C450" s="173">
        <v>372</v>
      </c>
      <c r="D450" s="173">
        <v>4</v>
      </c>
      <c r="E450" s="174"/>
      <c r="F450" s="175"/>
      <c r="G450" s="176"/>
      <c r="H450" s="174"/>
      <c r="I450" s="174"/>
      <c r="J450" s="174"/>
      <c r="K450" s="174"/>
      <c r="L450" s="174"/>
      <c r="M450" s="175"/>
      <c r="O450">
        <v>0</v>
      </c>
    </row>
    <row r="451" spans="1:15" x14ac:dyDescent="0.25">
      <c r="A451" s="177"/>
      <c r="B451" s="177"/>
      <c r="C451" s="173">
        <v>373</v>
      </c>
      <c r="D451" s="173">
        <v>5</v>
      </c>
      <c r="E451" s="174"/>
      <c r="F451" s="175"/>
      <c r="G451" s="176"/>
      <c r="H451" s="174"/>
      <c r="I451" s="174"/>
      <c r="J451" s="174"/>
      <c r="K451" s="174"/>
      <c r="L451" s="174"/>
      <c r="M451" s="175"/>
      <c r="O451">
        <v>0</v>
      </c>
    </row>
    <row r="452" spans="1:15" x14ac:dyDescent="0.25">
      <c r="A452" s="177"/>
      <c r="B452" s="177"/>
      <c r="C452" s="173">
        <v>374</v>
      </c>
      <c r="D452" s="173">
        <v>6</v>
      </c>
      <c r="E452" s="174"/>
      <c r="F452" s="175"/>
      <c r="G452" s="176"/>
      <c r="H452" s="174"/>
      <c r="I452" s="174"/>
      <c r="J452" s="174"/>
      <c r="K452" s="174"/>
      <c r="L452" s="174"/>
      <c r="M452" s="175"/>
      <c r="O452">
        <v>0</v>
      </c>
    </row>
    <row r="453" spans="1:15" x14ac:dyDescent="0.25">
      <c r="A453" s="177"/>
      <c r="B453" s="177"/>
      <c r="C453" s="173">
        <v>375</v>
      </c>
      <c r="D453" s="173">
        <v>7</v>
      </c>
      <c r="E453" s="174"/>
      <c r="F453" s="175"/>
      <c r="G453" s="176"/>
      <c r="H453" s="174"/>
      <c r="I453" s="174"/>
      <c r="J453" s="174"/>
      <c r="K453" s="174"/>
      <c r="L453" s="174"/>
      <c r="M453" s="175"/>
      <c r="O453">
        <v>0</v>
      </c>
    </row>
    <row r="454" spans="1:15" x14ac:dyDescent="0.25">
      <c r="A454" s="177"/>
      <c r="B454" s="177"/>
      <c r="C454" s="173">
        <v>376</v>
      </c>
      <c r="D454" s="173">
        <v>8</v>
      </c>
      <c r="E454" s="174"/>
      <c r="F454" s="175"/>
      <c r="G454" s="176"/>
      <c r="H454" s="174"/>
      <c r="I454" s="174"/>
      <c r="J454" s="174"/>
      <c r="K454" s="174"/>
      <c r="L454" s="174"/>
      <c r="M454" s="175"/>
      <c r="O454">
        <v>0</v>
      </c>
    </row>
    <row r="455" spans="1:15" x14ac:dyDescent="0.25">
      <c r="A455" s="177"/>
      <c r="B455" s="177"/>
      <c r="C455" s="173">
        <v>377</v>
      </c>
      <c r="D455" s="173">
        <v>9</v>
      </c>
      <c r="E455" s="174"/>
      <c r="F455" s="175"/>
      <c r="G455" s="176"/>
      <c r="H455" s="174"/>
      <c r="I455" s="174"/>
      <c r="J455" s="174"/>
      <c r="K455" s="174"/>
      <c r="L455" s="174"/>
      <c r="M455" s="175"/>
      <c r="O455">
        <v>0</v>
      </c>
    </row>
    <row r="456" spans="1:15" x14ac:dyDescent="0.25">
      <c r="A456" s="177"/>
      <c r="B456" s="177"/>
      <c r="C456" s="173">
        <v>378</v>
      </c>
      <c r="D456" s="173">
        <v>10</v>
      </c>
      <c r="E456" s="174"/>
      <c r="F456" s="175"/>
      <c r="G456" s="176"/>
      <c r="H456" s="174"/>
      <c r="I456" s="174"/>
      <c r="J456" s="174"/>
      <c r="K456" s="174"/>
      <c r="L456" s="174"/>
      <c r="M456" s="175"/>
      <c r="O456">
        <v>0</v>
      </c>
    </row>
    <row r="457" spans="1:15" x14ac:dyDescent="0.25">
      <c r="A457" s="177"/>
      <c r="B457" s="177"/>
      <c r="C457" s="173">
        <v>379</v>
      </c>
      <c r="D457" s="173">
        <v>11</v>
      </c>
      <c r="E457" s="174"/>
      <c r="F457" s="175"/>
      <c r="G457" s="176"/>
      <c r="H457" s="174"/>
      <c r="I457" s="174"/>
      <c r="J457" s="174"/>
      <c r="K457" s="174"/>
      <c r="L457" s="174"/>
      <c r="M457" s="175"/>
      <c r="O457">
        <v>0</v>
      </c>
    </row>
    <row r="458" spans="1:15" x14ac:dyDescent="0.25">
      <c r="A458" s="177"/>
      <c r="B458" s="177"/>
      <c r="C458" s="173">
        <v>380</v>
      </c>
      <c r="D458" s="173">
        <v>12</v>
      </c>
      <c r="E458" s="174"/>
      <c r="F458" s="175"/>
      <c r="G458" s="176"/>
      <c r="H458" s="174"/>
      <c r="I458" s="174"/>
      <c r="J458" s="174"/>
      <c r="K458" s="174"/>
      <c r="L458" s="174"/>
      <c r="M458" s="175"/>
      <c r="O458">
        <v>0</v>
      </c>
    </row>
    <row r="459" spans="1:15" x14ac:dyDescent="0.25">
      <c r="A459" s="177"/>
      <c r="B459" s="177"/>
      <c r="C459" s="173">
        <v>381</v>
      </c>
      <c r="D459" s="173">
        <v>13</v>
      </c>
      <c r="E459" s="174"/>
      <c r="F459" s="175"/>
      <c r="G459" s="176"/>
      <c r="H459" s="174"/>
      <c r="I459" s="174"/>
      <c r="J459" s="174"/>
      <c r="K459" s="174"/>
      <c r="L459" s="174"/>
      <c r="M459" s="175"/>
      <c r="O459">
        <v>0</v>
      </c>
    </row>
    <row r="460" spans="1:15" x14ac:dyDescent="0.25">
      <c r="A460" s="177"/>
      <c r="B460" s="177"/>
      <c r="C460" s="173">
        <v>382</v>
      </c>
      <c r="D460" s="173">
        <v>14</v>
      </c>
      <c r="E460" s="174"/>
      <c r="F460" s="175"/>
      <c r="G460" s="176"/>
      <c r="H460" s="174"/>
      <c r="I460" s="174"/>
      <c r="J460" s="174"/>
      <c r="K460" s="174"/>
      <c r="L460" s="174"/>
      <c r="M460" s="175"/>
      <c r="O460">
        <v>0</v>
      </c>
    </row>
    <row r="461" spans="1:15" x14ac:dyDescent="0.25">
      <c r="A461" s="179"/>
      <c r="B461" s="179"/>
      <c r="C461" s="173">
        <v>383</v>
      </c>
      <c r="D461" s="173">
        <v>15</v>
      </c>
      <c r="E461" s="174"/>
      <c r="F461" s="175"/>
      <c r="G461" s="176"/>
      <c r="H461" s="174"/>
      <c r="I461" s="174"/>
      <c r="J461" s="174"/>
      <c r="K461" s="174"/>
      <c r="L461" s="174"/>
      <c r="M461" s="175"/>
      <c r="O461">
        <v>0</v>
      </c>
    </row>
    <row r="463" spans="1:15" x14ac:dyDescent="0.25">
      <c r="A463" s="167" t="s">
        <v>864</v>
      </c>
      <c r="B463" s="167" t="s">
        <v>865</v>
      </c>
      <c r="C463" s="167" t="s">
        <v>210</v>
      </c>
      <c r="D463" s="167" t="s">
        <v>866</v>
      </c>
      <c r="E463" s="168" t="s">
        <v>867</v>
      </c>
      <c r="F463" s="169"/>
      <c r="G463" s="168" t="s">
        <v>868</v>
      </c>
      <c r="H463" s="170"/>
      <c r="I463" s="170"/>
      <c r="J463" s="170"/>
      <c r="K463" s="170"/>
      <c r="L463" s="170"/>
      <c r="M463" s="171"/>
    </row>
    <row r="464" spans="1:15" x14ac:dyDescent="0.25">
      <c r="A464" s="172">
        <v>24</v>
      </c>
      <c r="B464" s="172" t="s">
        <v>995</v>
      </c>
      <c r="C464" s="173">
        <v>384</v>
      </c>
      <c r="D464" s="173">
        <v>0</v>
      </c>
      <c r="E464" s="195"/>
      <c r="F464" s="175"/>
      <c r="G464" s="176"/>
      <c r="H464" s="174"/>
      <c r="I464" s="174"/>
      <c r="J464" s="174"/>
      <c r="K464" s="174"/>
      <c r="L464" s="174"/>
      <c r="M464" s="175"/>
      <c r="O464">
        <v>0</v>
      </c>
    </row>
    <row r="465" spans="1:15" x14ac:dyDescent="0.25">
      <c r="A465" s="177"/>
      <c r="B465" s="177"/>
      <c r="C465" s="173">
        <v>385</v>
      </c>
      <c r="D465" s="173">
        <v>1</v>
      </c>
      <c r="E465" s="195"/>
      <c r="F465" s="175"/>
      <c r="G465" s="176"/>
      <c r="H465" s="174"/>
      <c r="I465" s="174"/>
      <c r="J465" s="174"/>
      <c r="K465" s="174"/>
      <c r="L465" s="174"/>
      <c r="M465" s="175"/>
      <c r="O465">
        <v>0</v>
      </c>
    </row>
    <row r="466" spans="1:15" x14ac:dyDescent="0.25">
      <c r="A466" s="178"/>
      <c r="B466" s="177"/>
      <c r="C466" s="173">
        <v>386</v>
      </c>
      <c r="D466" s="173">
        <v>2</v>
      </c>
      <c r="E466" s="195"/>
      <c r="F466" s="175"/>
      <c r="G466" s="176"/>
      <c r="H466" s="174"/>
      <c r="I466" s="174"/>
      <c r="J466" s="174"/>
      <c r="K466" s="174"/>
      <c r="L466" s="174"/>
      <c r="M466" s="175"/>
      <c r="O466">
        <v>0</v>
      </c>
    </row>
    <row r="467" spans="1:15" x14ac:dyDescent="0.25">
      <c r="A467" s="177"/>
      <c r="B467" s="177"/>
      <c r="C467" s="173">
        <v>387</v>
      </c>
      <c r="D467" s="173">
        <v>3</v>
      </c>
      <c r="E467" s="195"/>
      <c r="F467" s="175"/>
      <c r="G467" s="176"/>
      <c r="H467" s="174"/>
      <c r="I467" s="174"/>
      <c r="J467" s="174"/>
      <c r="K467" s="174"/>
      <c r="L467" s="174"/>
      <c r="M467" s="175"/>
      <c r="O467">
        <v>0</v>
      </c>
    </row>
    <row r="468" spans="1:15" x14ac:dyDescent="0.25">
      <c r="A468" s="177"/>
      <c r="B468" s="177"/>
      <c r="C468" s="173">
        <v>388</v>
      </c>
      <c r="D468" s="173">
        <v>4</v>
      </c>
      <c r="E468" s="195"/>
      <c r="F468" s="175"/>
      <c r="G468" s="176"/>
      <c r="H468" s="174"/>
      <c r="I468" s="174"/>
      <c r="J468" s="174"/>
      <c r="K468" s="174"/>
      <c r="L468" s="174"/>
      <c r="M468" s="175"/>
      <c r="O468">
        <v>0</v>
      </c>
    </row>
    <row r="469" spans="1:15" x14ac:dyDescent="0.25">
      <c r="A469" s="177"/>
      <c r="B469" s="177"/>
      <c r="C469" s="173">
        <v>389</v>
      </c>
      <c r="D469" s="173">
        <v>5</v>
      </c>
      <c r="E469" s="174"/>
      <c r="F469" s="175"/>
      <c r="G469" s="176"/>
      <c r="H469" s="174"/>
      <c r="I469" s="174"/>
      <c r="J469" s="174"/>
      <c r="K469" s="174"/>
      <c r="L469" s="174"/>
      <c r="M469" s="175"/>
      <c r="O469">
        <v>0</v>
      </c>
    </row>
    <row r="470" spans="1:15" x14ac:dyDescent="0.25">
      <c r="A470" s="177"/>
      <c r="B470" s="177"/>
      <c r="C470" s="173">
        <v>390</v>
      </c>
      <c r="D470" s="173">
        <v>6</v>
      </c>
      <c r="E470" s="174"/>
      <c r="F470" s="175"/>
      <c r="G470" s="176"/>
      <c r="H470" s="174"/>
      <c r="I470" s="174"/>
      <c r="J470" s="174"/>
      <c r="K470" s="174"/>
      <c r="L470" s="174"/>
      <c r="M470" s="175"/>
      <c r="O470">
        <v>0</v>
      </c>
    </row>
    <row r="471" spans="1:15" x14ac:dyDescent="0.25">
      <c r="A471" s="177"/>
      <c r="B471" s="177"/>
      <c r="C471" s="173">
        <v>391</v>
      </c>
      <c r="D471" s="173">
        <v>7</v>
      </c>
      <c r="E471" s="174"/>
      <c r="F471" s="175"/>
      <c r="G471" s="176"/>
      <c r="H471" s="174"/>
      <c r="I471" s="174"/>
      <c r="J471" s="174"/>
      <c r="K471" s="174"/>
      <c r="L471" s="174"/>
      <c r="M471" s="175"/>
      <c r="O471">
        <v>0</v>
      </c>
    </row>
    <row r="472" spans="1:15" x14ac:dyDescent="0.25">
      <c r="A472" s="177"/>
      <c r="B472" s="177"/>
      <c r="C472" s="173">
        <v>392</v>
      </c>
      <c r="D472" s="173">
        <v>8</v>
      </c>
      <c r="E472" s="174"/>
      <c r="F472" s="175"/>
      <c r="G472" s="176"/>
      <c r="H472" s="174"/>
      <c r="I472" s="174"/>
      <c r="J472" s="174"/>
      <c r="K472" s="174"/>
      <c r="L472" s="174"/>
      <c r="M472" s="175"/>
      <c r="O472">
        <v>0</v>
      </c>
    </row>
    <row r="473" spans="1:15" x14ac:dyDescent="0.25">
      <c r="A473" s="177"/>
      <c r="B473" s="177"/>
      <c r="C473" s="173">
        <v>393</v>
      </c>
      <c r="D473" s="173">
        <v>9</v>
      </c>
      <c r="E473" s="174"/>
      <c r="F473" s="175"/>
      <c r="G473" s="176"/>
      <c r="H473" s="174"/>
      <c r="I473" s="174"/>
      <c r="J473" s="174"/>
      <c r="K473" s="174"/>
      <c r="L473" s="174"/>
      <c r="M473" s="175"/>
      <c r="O473">
        <v>0</v>
      </c>
    </row>
    <row r="474" spans="1:15" x14ac:dyDescent="0.25">
      <c r="A474" s="177"/>
      <c r="B474" s="177"/>
      <c r="C474" s="173">
        <v>394</v>
      </c>
      <c r="D474" s="173">
        <v>10</v>
      </c>
      <c r="E474" s="174"/>
      <c r="F474" s="175"/>
      <c r="G474" s="176"/>
      <c r="H474" s="174"/>
      <c r="I474" s="174"/>
      <c r="J474" s="174"/>
      <c r="K474" s="174"/>
      <c r="L474" s="174"/>
      <c r="M474" s="175"/>
      <c r="O474">
        <v>0</v>
      </c>
    </row>
    <row r="475" spans="1:15" x14ac:dyDescent="0.25">
      <c r="A475" s="177"/>
      <c r="B475" s="177"/>
      <c r="C475" s="173">
        <v>395</v>
      </c>
      <c r="D475" s="173">
        <v>11</v>
      </c>
      <c r="E475" s="174"/>
      <c r="F475" s="175"/>
      <c r="G475" s="176"/>
      <c r="H475" s="174"/>
      <c r="I475" s="174"/>
      <c r="J475" s="174"/>
      <c r="K475" s="174"/>
      <c r="L475" s="174"/>
      <c r="M475" s="175"/>
      <c r="O475">
        <v>0</v>
      </c>
    </row>
    <row r="476" spans="1:15" x14ac:dyDescent="0.25">
      <c r="A476" s="177"/>
      <c r="B476" s="177"/>
      <c r="C476" s="173">
        <v>396</v>
      </c>
      <c r="D476" s="173">
        <v>12</v>
      </c>
      <c r="E476" s="174"/>
      <c r="F476" s="175"/>
      <c r="G476" s="176"/>
      <c r="H476" s="174"/>
      <c r="I476" s="174"/>
      <c r="J476" s="174"/>
      <c r="K476" s="174"/>
      <c r="L476" s="174"/>
      <c r="M476" s="175"/>
      <c r="O476">
        <v>0</v>
      </c>
    </row>
    <row r="477" spans="1:15" x14ac:dyDescent="0.25">
      <c r="A477" s="177"/>
      <c r="B477" s="177"/>
      <c r="C477" s="173">
        <v>397</v>
      </c>
      <c r="D477" s="173">
        <v>13</v>
      </c>
      <c r="E477" s="174"/>
      <c r="F477" s="175"/>
      <c r="G477" s="176"/>
      <c r="H477" s="174"/>
      <c r="I477" s="174"/>
      <c r="J477" s="174"/>
      <c r="K477" s="174"/>
      <c r="L477" s="174"/>
      <c r="M477" s="175"/>
      <c r="O477">
        <v>0</v>
      </c>
    </row>
    <row r="478" spans="1:15" x14ac:dyDescent="0.25">
      <c r="A478" s="177"/>
      <c r="B478" s="177"/>
      <c r="C478" s="173">
        <v>398</v>
      </c>
      <c r="D478" s="173">
        <v>14</v>
      </c>
      <c r="E478" s="174"/>
      <c r="F478" s="175"/>
      <c r="G478" s="176"/>
      <c r="H478" s="174"/>
      <c r="I478" s="174"/>
      <c r="J478" s="174"/>
      <c r="K478" s="174"/>
      <c r="L478" s="174"/>
      <c r="M478" s="175"/>
      <c r="O478">
        <v>0</v>
      </c>
    </row>
    <row r="479" spans="1:15" x14ac:dyDescent="0.25">
      <c r="A479" s="179"/>
      <c r="B479" s="179"/>
      <c r="C479" s="173">
        <v>399</v>
      </c>
      <c r="D479" s="173">
        <v>15</v>
      </c>
      <c r="E479" s="174"/>
      <c r="F479" s="175"/>
      <c r="G479" s="176"/>
      <c r="H479" s="174"/>
      <c r="I479" s="174"/>
      <c r="J479" s="174"/>
      <c r="K479" s="174"/>
      <c r="L479" s="174"/>
      <c r="M479" s="175"/>
      <c r="O479">
        <v>0</v>
      </c>
    </row>
    <row r="481" spans="1:15" x14ac:dyDescent="0.25">
      <c r="A481" s="167" t="s">
        <v>864</v>
      </c>
      <c r="B481" s="167" t="s">
        <v>865</v>
      </c>
      <c r="C481" s="167" t="s">
        <v>210</v>
      </c>
      <c r="D481" s="167" t="s">
        <v>866</v>
      </c>
      <c r="E481" s="168" t="s">
        <v>867</v>
      </c>
      <c r="F481" s="169"/>
      <c r="G481" s="168" t="s">
        <v>868</v>
      </c>
      <c r="H481" s="170"/>
      <c r="I481" s="170"/>
      <c r="J481" s="170"/>
      <c r="K481" s="170"/>
      <c r="L481" s="170"/>
      <c r="M481" s="171"/>
    </row>
    <row r="482" spans="1:15" x14ac:dyDescent="0.25">
      <c r="A482" s="172">
        <v>25</v>
      </c>
      <c r="B482" s="172" t="s">
        <v>995</v>
      </c>
      <c r="C482" s="173">
        <v>400</v>
      </c>
      <c r="D482" s="173">
        <v>0</v>
      </c>
      <c r="E482" s="174"/>
      <c r="F482" s="175"/>
      <c r="G482" s="176"/>
      <c r="H482" s="174"/>
      <c r="I482" s="174"/>
      <c r="J482" s="174"/>
      <c r="K482" s="174"/>
      <c r="L482" s="174"/>
      <c r="M482" s="175"/>
      <c r="O482">
        <v>0</v>
      </c>
    </row>
    <row r="483" spans="1:15" x14ac:dyDescent="0.25">
      <c r="A483" s="177"/>
      <c r="B483" s="177"/>
      <c r="C483" s="173">
        <v>401</v>
      </c>
      <c r="D483" s="173">
        <v>1</v>
      </c>
      <c r="E483" s="174"/>
      <c r="F483" s="175"/>
      <c r="G483" s="176"/>
      <c r="H483" s="174"/>
      <c r="I483" s="174"/>
      <c r="J483" s="174"/>
      <c r="K483" s="174"/>
      <c r="L483" s="174"/>
      <c r="M483" s="175"/>
      <c r="O483">
        <v>0</v>
      </c>
    </row>
    <row r="484" spans="1:15" x14ac:dyDescent="0.25">
      <c r="A484" s="178"/>
      <c r="B484" s="177"/>
      <c r="C484" s="173">
        <v>402</v>
      </c>
      <c r="D484" s="173">
        <v>2</v>
      </c>
      <c r="E484" s="174"/>
      <c r="F484" s="175"/>
      <c r="G484" s="176"/>
      <c r="H484" s="174"/>
      <c r="I484" s="174"/>
      <c r="J484" s="174"/>
      <c r="K484" s="174"/>
      <c r="L484" s="174"/>
      <c r="M484" s="175"/>
      <c r="O484">
        <v>0</v>
      </c>
    </row>
    <row r="485" spans="1:15" x14ac:dyDescent="0.25">
      <c r="A485" s="177"/>
      <c r="B485" s="177"/>
      <c r="C485" s="173">
        <v>403</v>
      </c>
      <c r="D485" s="173">
        <v>3</v>
      </c>
      <c r="E485" s="174"/>
      <c r="F485" s="175"/>
      <c r="G485" s="176"/>
      <c r="H485" s="174"/>
      <c r="I485" s="174"/>
      <c r="J485" s="174"/>
      <c r="K485" s="174"/>
      <c r="L485" s="174"/>
      <c r="M485" s="175"/>
      <c r="O485">
        <v>0</v>
      </c>
    </row>
    <row r="486" spans="1:15" x14ac:dyDescent="0.25">
      <c r="A486" s="177"/>
      <c r="B486" s="177"/>
      <c r="C486" s="173">
        <v>404</v>
      </c>
      <c r="D486" s="173">
        <v>4</v>
      </c>
      <c r="E486" s="174"/>
      <c r="F486" s="175"/>
      <c r="G486" s="176"/>
      <c r="H486" s="174"/>
      <c r="I486" s="174"/>
      <c r="J486" s="174"/>
      <c r="K486" s="174"/>
      <c r="L486" s="174"/>
      <c r="M486" s="175"/>
      <c r="O486">
        <v>0</v>
      </c>
    </row>
    <row r="487" spans="1:15" x14ac:dyDescent="0.25">
      <c r="A487" s="177"/>
      <c r="B487" s="177"/>
      <c r="C487" s="173">
        <v>405</v>
      </c>
      <c r="D487" s="173">
        <v>5</v>
      </c>
      <c r="E487" s="174"/>
      <c r="F487" s="175"/>
      <c r="G487" s="176"/>
      <c r="H487" s="174"/>
      <c r="I487" s="174"/>
      <c r="J487" s="174"/>
      <c r="K487" s="174"/>
      <c r="L487" s="174"/>
      <c r="M487" s="175"/>
      <c r="O487">
        <v>0</v>
      </c>
    </row>
    <row r="488" spans="1:15" x14ac:dyDescent="0.25">
      <c r="A488" s="177"/>
      <c r="B488" s="177"/>
      <c r="C488" s="173">
        <v>406</v>
      </c>
      <c r="D488" s="173">
        <v>6</v>
      </c>
      <c r="E488" s="174"/>
      <c r="F488" s="175"/>
      <c r="G488" s="176"/>
      <c r="H488" s="174"/>
      <c r="I488" s="174"/>
      <c r="J488" s="174"/>
      <c r="K488" s="174"/>
      <c r="L488" s="174"/>
      <c r="M488" s="175"/>
      <c r="O488">
        <v>0</v>
      </c>
    </row>
    <row r="489" spans="1:15" x14ac:dyDescent="0.25">
      <c r="A489" s="177"/>
      <c r="B489" s="177"/>
      <c r="C489" s="173">
        <v>407</v>
      </c>
      <c r="D489" s="173">
        <v>7</v>
      </c>
      <c r="E489" s="174"/>
      <c r="F489" s="175"/>
      <c r="G489" s="176"/>
      <c r="H489" s="174"/>
      <c r="I489" s="174"/>
      <c r="J489" s="174"/>
      <c r="K489" s="174"/>
      <c r="L489" s="174"/>
      <c r="M489" s="175"/>
      <c r="O489">
        <v>0</v>
      </c>
    </row>
    <row r="490" spans="1:15" x14ac:dyDescent="0.25">
      <c r="A490" s="177"/>
      <c r="B490" s="177"/>
      <c r="C490" s="173">
        <v>408</v>
      </c>
      <c r="D490" s="173">
        <v>8</v>
      </c>
      <c r="E490" s="174"/>
      <c r="F490" s="175"/>
      <c r="G490" s="176"/>
      <c r="H490" s="174"/>
      <c r="I490" s="174"/>
      <c r="J490" s="174"/>
      <c r="K490" s="174"/>
      <c r="L490" s="174"/>
      <c r="M490" s="175"/>
      <c r="O490">
        <v>0</v>
      </c>
    </row>
    <row r="491" spans="1:15" x14ac:dyDescent="0.25">
      <c r="A491" s="177"/>
      <c r="B491" s="177"/>
      <c r="C491" s="173">
        <v>409</v>
      </c>
      <c r="D491" s="173">
        <v>9</v>
      </c>
      <c r="E491" s="174"/>
      <c r="F491" s="175"/>
      <c r="G491" s="176"/>
      <c r="H491" s="174"/>
      <c r="I491" s="174"/>
      <c r="J491" s="174"/>
      <c r="K491" s="174"/>
      <c r="L491" s="174"/>
      <c r="M491" s="175"/>
      <c r="O491">
        <v>0</v>
      </c>
    </row>
    <row r="492" spans="1:15" x14ac:dyDescent="0.25">
      <c r="A492" s="177"/>
      <c r="B492" s="177"/>
      <c r="C492" s="173">
        <v>410</v>
      </c>
      <c r="D492" s="173">
        <v>10</v>
      </c>
      <c r="E492" s="174"/>
      <c r="F492" s="175"/>
      <c r="G492" s="176"/>
      <c r="H492" s="174"/>
      <c r="I492" s="174"/>
      <c r="J492" s="174"/>
      <c r="K492" s="174"/>
      <c r="L492" s="174"/>
      <c r="M492" s="175"/>
      <c r="O492">
        <v>0</v>
      </c>
    </row>
    <row r="493" spans="1:15" x14ac:dyDescent="0.25">
      <c r="A493" s="177"/>
      <c r="B493" s="177"/>
      <c r="C493" s="173">
        <v>411</v>
      </c>
      <c r="D493" s="173">
        <v>11</v>
      </c>
      <c r="E493" s="174"/>
      <c r="F493" s="175"/>
      <c r="G493" s="176"/>
      <c r="H493" s="174"/>
      <c r="I493" s="174"/>
      <c r="J493" s="174"/>
      <c r="K493" s="174"/>
      <c r="L493" s="174"/>
      <c r="M493" s="175"/>
      <c r="O493">
        <v>0</v>
      </c>
    </row>
    <row r="494" spans="1:15" x14ac:dyDescent="0.25">
      <c r="A494" s="177"/>
      <c r="B494" s="177"/>
      <c r="C494" s="173">
        <v>412</v>
      </c>
      <c r="D494" s="173">
        <v>12</v>
      </c>
      <c r="E494" s="174"/>
      <c r="F494" s="175"/>
      <c r="G494" s="176"/>
      <c r="H494" s="174"/>
      <c r="I494" s="174"/>
      <c r="J494" s="174"/>
      <c r="K494" s="174"/>
      <c r="L494" s="174"/>
      <c r="M494" s="175"/>
      <c r="O494">
        <v>0</v>
      </c>
    </row>
    <row r="495" spans="1:15" x14ac:dyDescent="0.25">
      <c r="A495" s="177"/>
      <c r="B495" s="177"/>
      <c r="C495" s="173">
        <v>413</v>
      </c>
      <c r="D495" s="173">
        <v>13</v>
      </c>
      <c r="E495" s="174"/>
      <c r="F495" s="175"/>
      <c r="G495" s="176"/>
      <c r="H495" s="174"/>
      <c r="I495" s="174"/>
      <c r="J495" s="174"/>
      <c r="K495" s="174"/>
      <c r="L495" s="174"/>
      <c r="M495" s="175"/>
      <c r="O495">
        <v>0</v>
      </c>
    </row>
    <row r="496" spans="1:15" x14ac:dyDescent="0.25">
      <c r="A496" s="177"/>
      <c r="B496" s="177"/>
      <c r="C496" s="173">
        <v>414</v>
      </c>
      <c r="D496" s="173">
        <v>14</v>
      </c>
      <c r="E496" s="174"/>
      <c r="F496" s="175"/>
      <c r="G496" s="176"/>
      <c r="H496" s="174"/>
      <c r="I496" s="174"/>
      <c r="J496" s="174"/>
      <c r="K496" s="174"/>
      <c r="L496" s="174"/>
      <c r="M496" s="175"/>
      <c r="O496">
        <v>0</v>
      </c>
    </row>
    <row r="497" spans="1:15" x14ac:dyDescent="0.25">
      <c r="A497" s="179"/>
      <c r="B497" s="179"/>
      <c r="C497" s="173">
        <v>415</v>
      </c>
      <c r="D497" s="173">
        <v>15</v>
      </c>
      <c r="E497" s="174"/>
      <c r="F497" s="175"/>
      <c r="G497" s="176"/>
      <c r="H497" s="174"/>
      <c r="I497" s="174"/>
      <c r="J497" s="174"/>
      <c r="K497" s="174"/>
      <c r="L497" s="174"/>
      <c r="M497" s="175"/>
      <c r="O497">
        <v>0</v>
      </c>
    </row>
    <row r="499" spans="1:15" x14ac:dyDescent="0.25">
      <c r="A499" s="167" t="s">
        <v>864</v>
      </c>
      <c r="B499" s="167" t="s">
        <v>865</v>
      </c>
      <c r="C499" s="167" t="s">
        <v>210</v>
      </c>
      <c r="D499" s="167" t="s">
        <v>866</v>
      </c>
      <c r="E499" s="168" t="s">
        <v>867</v>
      </c>
      <c r="F499" s="169"/>
      <c r="G499" s="168" t="s">
        <v>868</v>
      </c>
      <c r="H499" s="170"/>
      <c r="I499" s="170"/>
      <c r="J499" s="170"/>
      <c r="K499" s="170"/>
      <c r="L499" s="170"/>
      <c r="M499" s="171"/>
    </row>
    <row r="500" spans="1:15" x14ac:dyDescent="0.25">
      <c r="A500" s="172">
        <v>26</v>
      </c>
      <c r="B500" s="172" t="s">
        <v>995</v>
      </c>
      <c r="C500" s="173">
        <v>416</v>
      </c>
      <c r="D500" s="173">
        <v>0</v>
      </c>
      <c r="E500" s="174"/>
      <c r="F500" s="175"/>
      <c r="G500" s="176"/>
      <c r="H500" s="174"/>
      <c r="I500" s="174"/>
      <c r="J500" s="174"/>
      <c r="K500" s="174"/>
      <c r="L500" s="174"/>
      <c r="M500" s="175"/>
      <c r="O500">
        <v>0</v>
      </c>
    </row>
    <row r="501" spans="1:15" x14ac:dyDescent="0.25">
      <c r="A501" s="177"/>
      <c r="B501" s="177"/>
      <c r="C501" s="173">
        <v>417</v>
      </c>
      <c r="D501" s="173">
        <v>1</v>
      </c>
      <c r="E501" s="174"/>
      <c r="F501" s="175"/>
      <c r="G501" s="176"/>
      <c r="H501" s="174"/>
      <c r="I501" s="174"/>
      <c r="J501" s="174"/>
      <c r="K501" s="174"/>
      <c r="L501" s="174"/>
      <c r="M501" s="175"/>
      <c r="O501">
        <v>0</v>
      </c>
    </row>
    <row r="502" spans="1:15" x14ac:dyDescent="0.25">
      <c r="A502" s="178"/>
      <c r="B502" s="177"/>
      <c r="C502" s="173">
        <v>418</v>
      </c>
      <c r="D502" s="173">
        <v>2</v>
      </c>
      <c r="E502" s="174"/>
      <c r="F502" s="175"/>
      <c r="G502" s="176"/>
      <c r="H502" s="174"/>
      <c r="I502" s="174"/>
      <c r="J502" s="174"/>
      <c r="K502" s="174"/>
      <c r="L502" s="174"/>
      <c r="M502" s="175"/>
      <c r="O502">
        <v>0</v>
      </c>
    </row>
    <row r="503" spans="1:15" x14ac:dyDescent="0.25">
      <c r="A503" s="177"/>
      <c r="B503" s="177"/>
      <c r="C503" s="173">
        <v>419</v>
      </c>
      <c r="D503" s="173">
        <v>3</v>
      </c>
      <c r="E503" s="174"/>
      <c r="F503" s="175"/>
      <c r="G503" s="176"/>
      <c r="H503" s="174"/>
      <c r="I503" s="174"/>
      <c r="J503" s="174"/>
      <c r="K503" s="174"/>
      <c r="L503" s="174"/>
      <c r="M503" s="175"/>
      <c r="O503">
        <v>0</v>
      </c>
    </row>
    <row r="504" spans="1:15" x14ac:dyDescent="0.25">
      <c r="A504" s="177"/>
      <c r="B504" s="177"/>
      <c r="C504" s="173">
        <v>420</v>
      </c>
      <c r="D504" s="173">
        <v>4</v>
      </c>
      <c r="E504" s="174"/>
      <c r="F504" s="175"/>
      <c r="G504" s="176"/>
      <c r="H504" s="174"/>
      <c r="I504" s="174"/>
      <c r="J504" s="174"/>
      <c r="K504" s="174"/>
      <c r="L504" s="174"/>
      <c r="M504" s="175"/>
      <c r="O504">
        <v>0</v>
      </c>
    </row>
    <row r="505" spans="1:15" x14ac:dyDescent="0.25">
      <c r="A505" s="177"/>
      <c r="B505" s="177"/>
      <c r="C505" s="173">
        <v>421</v>
      </c>
      <c r="D505" s="173">
        <v>5</v>
      </c>
      <c r="E505" s="174"/>
      <c r="F505" s="175"/>
      <c r="G505" s="176"/>
      <c r="H505" s="174"/>
      <c r="I505" s="174"/>
      <c r="J505" s="174"/>
      <c r="K505" s="174"/>
      <c r="L505" s="174"/>
      <c r="M505" s="175"/>
      <c r="O505">
        <v>0</v>
      </c>
    </row>
    <row r="506" spans="1:15" x14ac:dyDescent="0.25">
      <c r="A506" s="177"/>
      <c r="B506" s="177"/>
      <c r="C506" s="173">
        <v>422</v>
      </c>
      <c r="D506" s="173">
        <v>6</v>
      </c>
      <c r="E506" s="174"/>
      <c r="F506" s="175"/>
      <c r="G506" s="176"/>
      <c r="H506" s="174"/>
      <c r="I506" s="174"/>
      <c r="J506" s="174"/>
      <c r="K506" s="174"/>
      <c r="L506" s="174"/>
      <c r="M506" s="175"/>
      <c r="O506">
        <v>0</v>
      </c>
    </row>
    <row r="507" spans="1:15" x14ac:dyDescent="0.25">
      <c r="A507" s="177"/>
      <c r="B507" s="177"/>
      <c r="C507" s="173">
        <v>423</v>
      </c>
      <c r="D507" s="173">
        <v>7</v>
      </c>
      <c r="E507" s="174"/>
      <c r="F507" s="175"/>
      <c r="G507" s="176"/>
      <c r="H507" s="174"/>
      <c r="I507" s="174"/>
      <c r="J507" s="174"/>
      <c r="K507" s="174"/>
      <c r="L507" s="174"/>
      <c r="M507" s="175"/>
      <c r="O507">
        <v>0</v>
      </c>
    </row>
    <row r="508" spans="1:15" x14ac:dyDescent="0.25">
      <c r="A508" s="177"/>
      <c r="B508" s="177"/>
      <c r="C508" s="173">
        <v>424</v>
      </c>
      <c r="D508" s="173">
        <v>8</v>
      </c>
      <c r="E508" s="174"/>
      <c r="F508" s="175"/>
      <c r="G508" s="176"/>
      <c r="H508" s="174"/>
      <c r="I508" s="174"/>
      <c r="J508" s="174"/>
      <c r="K508" s="174"/>
      <c r="L508" s="174"/>
      <c r="M508" s="175"/>
      <c r="O508">
        <v>0</v>
      </c>
    </row>
    <row r="509" spans="1:15" x14ac:dyDescent="0.25">
      <c r="A509" s="177"/>
      <c r="B509" s="177"/>
      <c r="C509" s="173">
        <v>425</v>
      </c>
      <c r="D509" s="173">
        <v>9</v>
      </c>
      <c r="E509" s="174"/>
      <c r="F509" s="175"/>
      <c r="G509" s="176"/>
      <c r="H509" s="174"/>
      <c r="I509" s="174"/>
      <c r="J509" s="174"/>
      <c r="K509" s="174"/>
      <c r="L509" s="174"/>
      <c r="M509" s="175"/>
      <c r="O509">
        <v>0</v>
      </c>
    </row>
    <row r="510" spans="1:15" x14ac:dyDescent="0.25">
      <c r="A510" s="177"/>
      <c r="B510" s="177"/>
      <c r="C510" s="173">
        <v>426</v>
      </c>
      <c r="D510" s="173">
        <v>10</v>
      </c>
      <c r="E510" s="174"/>
      <c r="F510" s="175"/>
      <c r="G510" s="176"/>
      <c r="H510" s="174"/>
      <c r="I510" s="174"/>
      <c r="J510" s="174"/>
      <c r="K510" s="174"/>
      <c r="L510" s="174"/>
      <c r="M510" s="175"/>
      <c r="O510">
        <v>0</v>
      </c>
    </row>
    <row r="511" spans="1:15" x14ac:dyDescent="0.25">
      <c r="A511" s="177"/>
      <c r="B511" s="177"/>
      <c r="C511" s="173">
        <v>427</v>
      </c>
      <c r="D511" s="173">
        <v>11</v>
      </c>
      <c r="E511" s="174"/>
      <c r="F511" s="175"/>
      <c r="G511" s="176"/>
      <c r="H511" s="174"/>
      <c r="I511" s="174"/>
      <c r="J511" s="174"/>
      <c r="K511" s="174"/>
      <c r="L511" s="174"/>
      <c r="M511" s="175"/>
      <c r="O511">
        <v>0</v>
      </c>
    </row>
    <row r="512" spans="1:15" x14ac:dyDescent="0.25">
      <c r="A512" s="177"/>
      <c r="B512" s="177"/>
      <c r="C512" s="173">
        <v>428</v>
      </c>
      <c r="D512" s="173">
        <v>12</v>
      </c>
      <c r="E512" s="174"/>
      <c r="F512" s="175"/>
      <c r="G512" s="176"/>
      <c r="H512" s="174"/>
      <c r="I512" s="174"/>
      <c r="J512" s="174"/>
      <c r="K512" s="174"/>
      <c r="L512" s="174"/>
      <c r="M512" s="175"/>
      <c r="O512">
        <v>0</v>
      </c>
    </row>
    <row r="513" spans="1:15" x14ac:dyDescent="0.25">
      <c r="A513" s="177"/>
      <c r="B513" s="177"/>
      <c r="C513" s="173">
        <v>429</v>
      </c>
      <c r="D513" s="173">
        <v>13</v>
      </c>
      <c r="E513" s="174"/>
      <c r="F513" s="175"/>
      <c r="G513" s="176"/>
      <c r="H513" s="174"/>
      <c r="I513" s="174"/>
      <c r="J513" s="174"/>
      <c r="K513" s="174"/>
      <c r="L513" s="174"/>
      <c r="M513" s="175"/>
      <c r="O513">
        <v>0</v>
      </c>
    </row>
    <row r="514" spans="1:15" x14ac:dyDescent="0.25">
      <c r="A514" s="177"/>
      <c r="B514" s="177"/>
      <c r="C514" s="173">
        <v>430</v>
      </c>
      <c r="D514" s="173">
        <v>14</v>
      </c>
      <c r="E514" s="174"/>
      <c r="F514" s="175"/>
      <c r="G514" s="176"/>
      <c r="H514" s="174"/>
      <c r="I514" s="174"/>
      <c r="J514" s="174"/>
      <c r="K514" s="174"/>
      <c r="L514" s="174"/>
      <c r="M514" s="175"/>
      <c r="O514">
        <v>0</v>
      </c>
    </row>
    <row r="515" spans="1:15" x14ac:dyDescent="0.25">
      <c r="A515" s="179"/>
      <c r="B515" s="179"/>
      <c r="C515" s="173">
        <v>431</v>
      </c>
      <c r="D515" s="173">
        <v>15</v>
      </c>
      <c r="E515" s="174"/>
      <c r="F515" s="175"/>
      <c r="G515" s="176"/>
      <c r="H515" s="174"/>
      <c r="I515" s="174"/>
      <c r="J515" s="174"/>
      <c r="K515" s="174"/>
      <c r="L515" s="174"/>
      <c r="M515" s="175"/>
      <c r="O515">
        <v>0</v>
      </c>
    </row>
    <row r="517" spans="1:15" x14ac:dyDescent="0.25">
      <c r="A517" s="167" t="s">
        <v>864</v>
      </c>
      <c r="B517" s="167" t="s">
        <v>865</v>
      </c>
      <c r="C517" s="167" t="s">
        <v>210</v>
      </c>
      <c r="D517" s="167" t="s">
        <v>866</v>
      </c>
      <c r="E517" s="168" t="s">
        <v>867</v>
      </c>
      <c r="F517" s="169"/>
      <c r="G517" s="168" t="s">
        <v>868</v>
      </c>
      <c r="H517" s="170"/>
      <c r="I517" s="170"/>
      <c r="J517" s="170"/>
      <c r="K517" s="170"/>
      <c r="L517" s="170"/>
      <c r="M517" s="171"/>
    </row>
    <row r="518" spans="1:15" x14ac:dyDescent="0.25">
      <c r="A518" s="172">
        <v>27</v>
      </c>
      <c r="B518" s="172" t="s">
        <v>995</v>
      </c>
      <c r="C518" s="173">
        <v>432</v>
      </c>
      <c r="D518" s="173">
        <v>0</v>
      </c>
      <c r="E518" s="174"/>
      <c r="F518" s="175"/>
      <c r="G518" s="176"/>
      <c r="H518" s="174"/>
      <c r="I518" s="174"/>
      <c r="J518" s="174"/>
      <c r="K518" s="174"/>
      <c r="L518" s="174"/>
      <c r="M518" s="175"/>
      <c r="O518">
        <v>0</v>
      </c>
    </row>
    <row r="519" spans="1:15" x14ac:dyDescent="0.25">
      <c r="A519" s="177"/>
      <c r="B519" s="177"/>
      <c r="C519" s="173">
        <v>433</v>
      </c>
      <c r="D519" s="173">
        <v>1</v>
      </c>
      <c r="E519" s="174"/>
      <c r="F519" s="175"/>
      <c r="G519" s="176"/>
      <c r="H519" s="174"/>
      <c r="I519" s="174"/>
      <c r="J519" s="174"/>
      <c r="K519" s="174"/>
      <c r="L519" s="174"/>
      <c r="M519" s="175"/>
      <c r="O519">
        <v>0</v>
      </c>
    </row>
    <row r="520" spans="1:15" x14ac:dyDescent="0.25">
      <c r="A520" s="178"/>
      <c r="B520" s="177"/>
      <c r="C520" s="173">
        <v>434</v>
      </c>
      <c r="D520" s="173">
        <v>2</v>
      </c>
      <c r="E520" s="174"/>
      <c r="F520" s="175"/>
      <c r="G520" s="176"/>
      <c r="H520" s="174"/>
      <c r="I520" s="174"/>
      <c r="J520" s="174"/>
      <c r="K520" s="174"/>
      <c r="L520" s="174"/>
      <c r="M520" s="175"/>
      <c r="O520">
        <v>0</v>
      </c>
    </row>
    <row r="521" spans="1:15" x14ac:dyDescent="0.25">
      <c r="A521" s="177"/>
      <c r="B521" s="177"/>
      <c r="C521" s="173">
        <v>435</v>
      </c>
      <c r="D521" s="173">
        <v>3</v>
      </c>
      <c r="E521" s="174"/>
      <c r="F521" s="175"/>
      <c r="G521" s="176"/>
      <c r="H521" s="174"/>
      <c r="I521" s="174"/>
      <c r="J521" s="174"/>
      <c r="K521" s="174"/>
      <c r="L521" s="174"/>
      <c r="M521" s="175"/>
      <c r="O521">
        <v>0</v>
      </c>
    </row>
    <row r="522" spans="1:15" x14ac:dyDescent="0.25">
      <c r="A522" s="177"/>
      <c r="B522" s="177"/>
      <c r="C522" s="173">
        <v>436</v>
      </c>
      <c r="D522" s="173">
        <v>4</v>
      </c>
      <c r="E522" s="174"/>
      <c r="F522" s="175"/>
      <c r="G522" s="176"/>
      <c r="H522" s="174"/>
      <c r="I522" s="174"/>
      <c r="J522" s="174"/>
      <c r="K522" s="174"/>
      <c r="L522" s="174"/>
      <c r="M522" s="175"/>
      <c r="O522">
        <v>0</v>
      </c>
    </row>
    <row r="523" spans="1:15" x14ac:dyDescent="0.25">
      <c r="A523" s="177"/>
      <c r="B523" s="177"/>
      <c r="C523" s="173">
        <v>437</v>
      </c>
      <c r="D523" s="173">
        <v>5</v>
      </c>
      <c r="E523" s="174"/>
      <c r="F523" s="175"/>
      <c r="G523" s="176"/>
      <c r="H523" s="174"/>
      <c r="I523" s="174"/>
      <c r="J523" s="174"/>
      <c r="K523" s="174"/>
      <c r="L523" s="174"/>
      <c r="M523" s="175"/>
      <c r="O523">
        <v>0</v>
      </c>
    </row>
    <row r="524" spans="1:15" x14ac:dyDescent="0.25">
      <c r="A524" s="177"/>
      <c r="B524" s="177"/>
      <c r="C524" s="173">
        <v>438</v>
      </c>
      <c r="D524" s="173">
        <v>6</v>
      </c>
      <c r="E524" s="174"/>
      <c r="F524" s="175"/>
      <c r="G524" s="176"/>
      <c r="H524" s="174"/>
      <c r="I524" s="174"/>
      <c r="J524" s="174"/>
      <c r="K524" s="174"/>
      <c r="L524" s="174"/>
      <c r="M524" s="175"/>
      <c r="O524">
        <v>0</v>
      </c>
    </row>
    <row r="525" spans="1:15" x14ac:dyDescent="0.25">
      <c r="A525" s="177"/>
      <c r="B525" s="177"/>
      <c r="C525" s="173">
        <v>439</v>
      </c>
      <c r="D525" s="173">
        <v>7</v>
      </c>
      <c r="E525" s="174"/>
      <c r="F525" s="175"/>
      <c r="G525" s="176"/>
      <c r="H525" s="174"/>
      <c r="I525" s="174"/>
      <c r="J525" s="174"/>
      <c r="K525" s="174"/>
      <c r="L525" s="174"/>
      <c r="M525" s="175"/>
      <c r="O525">
        <v>0</v>
      </c>
    </row>
    <row r="526" spans="1:15" x14ac:dyDescent="0.25">
      <c r="A526" s="177"/>
      <c r="B526" s="177"/>
      <c r="C526" s="173">
        <v>440</v>
      </c>
      <c r="D526" s="173">
        <v>8</v>
      </c>
      <c r="E526" s="174"/>
      <c r="F526" s="175"/>
      <c r="G526" s="176"/>
      <c r="H526" s="174"/>
      <c r="I526" s="174"/>
      <c r="J526" s="174"/>
      <c r="K526" s="174"/>
      <c r="L526" s="174"/>
      <c r="M526" s="175"/>
      <c r="O526">
        <v>0</v>
      </c>
    </row>
    <row r="527" spans="1:15" x14ac:dyDescent="0.25">
      <c r="A527" s="177"/>
      <c r="B527" s="177"/>
      <c r="C527" s="173">
        <v>441</v>
      </c>
      <c r="D527" s="173">
        <v>9</v>
      </c>
      <c r="E527" s="174"/>
      <c r="F527" s="175"/>
      <c r="G527" s="176"/>
      <c r="H527" s="174"/>
      <c r="I527" s="174"/>
      <c r="J527" s="174"/>
      <c r="K527" s="174"/>
      <c r="L527" s="174"/>
      <c r="M527" s="175"/>
      <c r="O527">
        <v>0</v>
      </c>
    </row>
    <row r="528" spans="1:15" x14ac:dyDescent="0.25">
      <c r="A528" s="177"/>
      <c r="B528" s="177"/>
      <c r="C528" s="173">
        <v>442</v>
      </c>
      <c r="D528" s="173">
        <v>10</v>
      </c>
      <c r="E528" s="174"/>
      <c r="F528" s="175"/>
      <c r="G528" s="176"/>
      <c r="H528" s="174"/>
      <c r="I528" s="174"/>
      <c r="J528" s="174"/>
      <c r="K528" s="174"/>
      <c r="L528" s="174"/>
      <c r="M528" s="175"/>
      <c r="O528">
        <v>0</v>
      </c>
    </row>
    <row r="529" spans="1:15" x14ac:dyDescent="0.25">
      <c r="A529" s="177"/>
      <c r="B529" s="177"/>
      <c r="C529" s="173">
        <v>443</v>
      </c>
      <c r="D529" s="173">
        <v>11</v>
      </c>
      <c r="E529" s="174"/>
      <c r="F529" s="175"/>
      <c r="G529" s="176"/>
      <c r="H529" s="174"/>
      <c r="I529" s="174"/>
      <c r="J529" s="174"/>
      <c r="K529" s="174"/>
      <c r="L529" s="174"/>
      <c r="M529" s="175"/>
      <c r="O529">
        <v>0</v>
      </c>
    </row>
    <row r="530" spans="1:15" x14ac:dyDescent="0.25">
      <c r="A530" s="177"/>
      <c r="B530" s="177"/>
      <c r="C530" s="173">
        <v>444</v>
      </c>
      <c r="D530" s="173">
        <v>12</v>
      </c>
      <c r="E530" s="174"/>
      <c r="F530" s="175"/>
      <c r="G530" s="176"/>
      <c r="H530" s="174"/>
      <c r="I530" s="174"/>
      <c r="J530" s="174"/>
      <c r="K530" s="174"/>
      <c r="L530" s="174"/>
      <c r="M530" s="175"/>
      <c r="O530">
        <v>0</v>
      </c>
    </row>
    <row r="531" spans="1:15" x14ac:dyDescent="0.25">
      <c r="A531" s="177"/>
      <c r="B531" s="177"/>
      <c r="C531" s="173">
        <v>445</v>
      </c>
      <c r="D531" s="173">
        <v>13</v>
      </c>
      <c r="E531" s="174"/>
      <c r="F531" s="175"/>
      <c r="G531" s="176"/>
      <c r="H531" s="174"/>
      <c r="I531" s="174"/>
      <c r="J531" s="174"/>
      <c r="K531" s="174"/>
      <c r="L531" s="174"/>
      <c r="M531" s="175"/>
      <c r="O531">
        <v>0</v>
      </c>
    </row>
    <row r="532" spans="1:15" x14ac:dyDescent="0.25">
      <c r="A532" s="177"/>
      <c r="B532" s="177"/>
      <c r="C532" s="173">
        <v>446</v>
      </c>
      <c r="D532" s="173">
        <v>14</v>
      </c>
      <c r="E532" s="174"/>
      <c r="F532" s="175"/>
      <c r="G532" s="176"/>
      <c r="H532" s="174"/>
      <c r="I532" s="174"/>
      <c r="J532" s="174"/>
      <c r="K532" s="174"/>
      <c r="L532" s="174"/>
      <c r="M532" s="175"/>
      <c r="O532">
        <v>0</v>
      </c>
    </row>
    <row r="533" spans="1:15" x14ac:dyDescent="0.25">
      <c r="A533" s="179"/>
      <c r="B533" s="179"/>
      <c r="C533" s="173">
        <v>447</v>
      </c>
      <c r="D533" s="173">
        <v>15</v>
      </c>
      <c r="E533" s="174"/>
      <c r="F533" s="175"/>
      <c r="G533" s="176"/>
      <c r="H533" s="174"/>
      <c r="I533" s="174"/>
      <c r="J533" s="174"/>
      <c r="K533" s="174"/>
      <c r="L533" s="174"/>
      <c r="M533" s="175"/>
      <c r="O533">
        <v>0</v>
      </c>
    </row>
    <row r="535" spans="1:15" x14ac:dyDescent="0.25">
      <c r="A535" s="167" t="s">
        <v>864</v>
      </c>
      <c r="B535" s="167" t="s">
        <v>865</v>
      </c>
      <c r="C535" s="167" t="s">
        <v>210</v>
      </c>
      <c r="D535" s="167" t="s">
        <v>866</v>
      </c>
      <c r="E535" s="168" t="s">
        <v>867</v>
      </c>
      <c r="F535" s="169"/>
      <c r="G535" s="168" t="s">
        <v>868</v>
      </c>
      <c r="H535" s="170"/>
      <c r="I535" s="170"/>
      <c r="J535" s="170"/>
      <c r="K535" s="170"/>
      <c r="L535" s="170"/>
      <c r="M535" s="171"/>
    </row>
    <row r="536" spans="1:15" x14ac:dyDescent="0.25">
      <c r="A536" s="172">
        <v>28</v>
      </c>
      <c r="B536" s="172" t="s">
        <v>995</v>
      </c>
      <c r="C536" s="173">
        <v>448</v>
      </c>
      <c r="D536" s="173">
        <v>0</v>
      </c>
      <c r="E536" s="174"/>
      <c r="F536" s="175"/>
      <c r="G536" s="176"/>
      <c r="H536" s="174"/>
      <c r="I536" s="174"/>
      <c r="J536" s="174"/>
      <c r="K536" s="174"/>
      <c r="L536" s="174"/>
      <c r="M536" s="175"/>
      <c r="O536">
        <v>0</v>
      </c>
    </row>
    <row r="537" spans="1:15" x14ac:dyDescent="0.25">
      <c r="A537" s="177"/>
      <c r="B537" s="177"/>
      <c r="C537" s="173">
        <v>449</v>
      </c>
      <c r="D537" s="173">
        <v>1</v>
      </c>
      <c r="E537" s="174"/>
      <c r="F537" s="175"/>
      <c r="G537" s="176"/>
      <c r="H537" s="174"/>
      <c r="I537" s="174"/>
      <c r="J537" s="174"/>
      <c r="K537" s="174"/>
      <c r="L537" s="174"/>
      <c r="M537" s="175"/>
      <c r="O537">
        <v>0</v>
      </c>
    </row>
    <row r="538" spans="1:15" x14ac:dyDescent="0.25">
      <c r="A538" s="178"/>
      <c r="B538" s="177"/>
      <c r="C538" s="173">
        <v>450</v>
      </c>
      <c r="D538" s="173">
        <v>2</v>
      </c>
      <c r="E538" s="174"/>
      <c r="F538" s="175"/>
      <c r="G538" s="176"/>
      <c r="H538" s="174"/>
      <c r="I538" s="174"/>
      <c r="J538" s="174"/>
      <c r="K538" s="174"/>
      <c r="L538" s="174"/>
      <c r="M538" s="175"/>
      <c r="O538">
        <v>0</v>
      </c>
    </row>
    <row r="539" spans="1:15" x14ac:dyDescent="0.25">
      <c r="A539" s="177"/>
      <c r="B539" s="177"/>
      <c r="C539" s="173">
        <v>451</v>
      </c>
      <c r="D539" s="173">
        <v>3</v>
      </c>
      <c r="E539" s="174"/>
      <c r="F539" s="175"/>
      <c r="G539" s="176"/>
      <c r="H539" s="174"/>
      <c r="I539" s="174"/>
      <c r="J539" s="174"/>
      <c r="K539" s="174"/>
      <c r="L539" s="174"/>
      <c r="M539" s="175"/>
      <c r="O539">
        <v>0</v>
      </c>
    </row>
    <row r="540" spans="1:15" x14ac:dyDescent="0.25">
      <c r="A540" s="177"/>
      <c r="B540" s="177"/>
      <c r="C540" s="173">
        <v>452</v>
      </c>
      <c r="D540" s="173">
        <v>4</v>
      </c>
      <c r="E540" s="174"/>
      <c r="F540" s="175"/>
      <c r="G540" s="176"/>
      <c r="H540" s="174"/>
      <c r="I540" s="174"/>
      <c r="J540" s="174"/>
      <c r="K540" s="174"/>
      <c r="L540" s="174"/>
      <c r="M540" s="175"/>
      <c r="O540">
        <v>0</v>
      </c>
    </row>
    <row r="541" spans="1:15" x14ac:dyDescent="0.25">
      <c r="A541" s="177"/>
      <c r="B541" s="177"/>
      <c r="C541" s="173">
        <v>453</v>
      </c>
      <c r="D541" s="173">
        <v>5</v>
      </c>
      <c r="E541" s="174"/>
      <c r="F541" s="175"/>
      <c r="G541" s="176"/>
      <c r="H541" s="174"/>
      <c r="I541" s="174"/>
      <c r="J541" s="174"/>
      <c r="K541" s="174"/>
      <c r="L541" s="174"/>
      <c r="M541" s="175"/>
      <c r="O541">
        <v>0</v>
      </c>
    </row>
    <row r="542" spans="1:15" x14ac:dyDescent="0.25">
      <c r="A542" s="177"/>
      <c r="B542" s="177"/>
      <c r="C542" s="173">
        <v>454</v>
      </c>
      <c r="D542" s="173">
        <v>6</v>
      </c>
      <c r="E542" s="174"/>
      <c r="F542" s="175"/>
      <c r="G542" s="176"/>
      <c r="H542" s="174"/>
      <c r="I542" s="174"/>
      <c r="J542" s="174"/>
      <c r="K542" s="174"/>
      <c r="L542" s="174"/>
      <c r="M542" s="175"/>
      <c r="O542">
        <v>0</v>
      </c>
    </row>
    <row r="543" spans="1:15" x14ac:dyDescent="0.25">
      <c r="A543" s="177"/>
      <c r="B543" s="177"/>
      <c r="C543" s="173">
        <v>455</v>
      </c>
      <c r="D543" s="173">
        <v>7</v>
      </c>
      <c r="E543" s="174"/>
      <c r="F543" s="175"/>
      <c r="G543" s="176"/>
      <c r="H543" s="174"/>
      <c r="I543" s="174"/>
      <c r="J543" s="174"/>
      <c r="K543" s="174"/>
      <c r="L543" s="174"/>
      <c r="M543" s="175"/>
      <c r="O543">
        <v>0</v>
      </c>
    </row>
    <row r="544" spans="1:15" x14ac:dyDescent="0.25">
      <c r="A544" s="177"/>
      <c r="B544" s="177"/>
      <c r="C544" s="173">
        <v>456</v>
      </c>
      <c r="D544" s="173">
        <v>8</v>
      </c>
      <c r="E544" s="174"/>
      <c r="F544" s="175"/>
      <c r="G544" s="176"/>
      <c r="H544" s="174"/>
      <c r="I544" s="174"/>
      <c r="J544" s="174"/>
      <c r="K544" s="174"/>
      <c r="L544" s="174"/>
      <c r="M544" s="175"/>
      <c r="O544">
        <v>0</v>
      </c>
    </row>
    <row r="545" spans="1:15" x14ac:dyDescent="0.25">
      <c r="A545" s="177"/>
      <c r="B545" s="177"/>
      <c r="C545" s="173">
        <v>457</v>
      </c>
      <c r="D545" s="173">
        <v>9</v>
      </c>
      <c r="E545" s="174"/>
      <c r="F545" s="175"/>
      <c r="G545" s="176"/>
      <c r="H545" s="174"/>
      <c r="I545" s="174"/>
      <c r="J545" s="174"/>
      <c r="K545" s="174"/>
      <c r="L545" s="174"/>
      <c r="M545" s="175"/>
      <c r="O545">
        <v>0</v>
      </c>
    </row>
    <row r="546" spans="1:15" x14ac:dyDescent="0.25">
      <c r="A546" s="177"/>
      <c r="B546" s="177"/>
      <c r="C546" s="173">
        <v>458</v>
      </c>
      <c r="D546" s="173">
        <v>10</v>
      </c>
      <c r="E546" s="174"/>
      <c r="F546" s="175"/>
      <c r="G546" s="176"/>
      <c r="H546" s="174"/>
      <c r="I546" s="174"/>
      <c r="J546" s="174"/>
      <c r="K546" s="174"/>
      <c r="L546" s="174"/>
      <c r="M546" s="175"/>
      <c r="O546">
        <v>0</v>
      </c>
    </row>
    <row r="547" spans="1:15" x14ac:dyDescent="0.25">
      <c r="A547" s="177"/>
      <c r="B547" s="177"/>
      <c r="C547" s="173">
        <v>459</v>
      </c>
      <c r="D547" s="173">
        <v>11</v>
      </c>
      <c r="E547" s="174"/>
      <c r="F547" s="175"/>
      <c r="G547" s="176"/>
      <c r="H547" s="174"/>
      <c r="I547" s="174"/>
      <c r="J547" s="174"/>
      <c r="K547" s="174"/>
      <c r="L547" s="174"/>
      <c r="M547" s="175"/>
      <c r="O547">
        <v>0</v>
      </c>
    </row>
    <row r="548" spans="1:15" x14ac:dyDescent="0.25">
      <c r="A548" s="177"/>
      <c r="B548" s="177"/>
      <c r="C548" s="173">
        <v>460</v>
      </c>
      <c r="D548" s="173">
        <v>12</v>
      </c>
      <c r="E548" s="174"/>
      <c r="F548" s="175"/>
      <c r="G548" s="176"/>
      <c r="H548" s="174"/>
      <c r="I548" s="174"/>
      <c r="J548" s="174"/>
      <c r="K548" s="174"/>
      <c r="L548" s="174"/>
      <c r="M548" s="175"/>
      <c r="O548">
        <v>0</v>
      </c>
    </row>
    <row r="549" spans="1:15" x14ac:dyDescent="0.25">
      <c r="A549" s="177"/>
      <c r="B549" s="177"/>
      <c r="C549" s="173">
        <v>461</v>
      </c>
      <c r="D549" s="173">
        <v>13</v>
      </c>
      <c r="E549" s="174"/>
      <c r="F549" s="175"/>
      <c r="G549" s="176"/>
      <c r="H549" s="174"/>
      <c r="I549" s="174"/>
      <c r="J549" s="174"/>
      <c r="K549" s="174"/>
      <c r="L549" s="174"/>
      <c r="M549" s="175"/>
      <c r="O549">
        <v>0</v>
      </c>
    </row>
    <row r="550" spans="1:15" x14ac:dyDescent="0.25">
      <c r="A550" s="177"/>
      <c r="B550" s="177"/>
      <c r="C550" s="173">
        <v>462</v>
      </c>
      <c r="D550" s="173">
        <v>14</v>
      </c>
      <c r="E550" s="174"/>
      <c r="F550" s="175"/>
      <c r="G550" s="176"/>
      <c r="H550" s="174"/>
      <c r="I550" s="174"/>
      <c r="J550" s="174"/>
      <c r="K550" s="174"/>
      <c r="L550" s="174"/>
      <c r="M550" s="175"/>
      <c r="O550">
        <v>0</v>
      </c>
    </row>
    <row r="551" spans="1:15" x14ac:dyDescent="0.25">
      <c r="A551" s="179"/>
      <c r="B551" s="179"/>
      <c r="C551" s="173">
        <v>463</v>
      </c>
      <c r="D551" s="173">
        <v>15</v>
      </c>
      <c r="E551" s="174"/>
      <c r="F551" s="175"/>
      <c r="G551" s="176"/>
      <c r="H551" s="174"/>
      <c r="I551" s="174"/>
      <c r="J551" s="174"/>
      <c r="K551" s="174"/>
      <c r="L551" s="174"/>
      <c r="M551" s="175"/>
      <c r="O551">
        <v>0</v>
      </c>
    </row>
    <row r="553" spans="1:15" x14ac:dyDescent="0.25">
      <c r="A553" s="167" t="s">
        <v>864</v>
      </c>
      <c r="B553" s="167" t="s">
        <v>865</v>
      </c>
      <c r="C553" s="167" t="s">
        <v>210</v>
      </c>
      <c r="D553" s="167" t="s">
        <v>866</v>
      </c>
      <c r="E553" s="168" t="s">
        <v>867</v>
      </c>
      <c r="F553" s="169"/>
      <c r="G553" s="168" t="s">
        <v>868</v>
      </c>
      <c r="H553" s="170"/>
      <c r="I553" s="170"/>
      <c r="J553" s="170"/>
      <c r="K553" s="170"/>
      <c r="L553" s="170"/>
      <c r="M553" s="171"/>
    </row>
    <row r="554" spans="1:15" x14ac:dyDescent="0.25">
      <c r="A554" s="172">
        <v>29</v>
      </c>
      <c r="B554" s="172" t="s">
        <v>995</v>
      </c>
      <c r="C554" s="173">
        <v>464</v>
      </c>
      <c r="D554" s="173">
        <v>0</v>
      </c>
      <c r="E554" s="174"/>
      <c r="F554" s="175"/>
      <c r="G554" s="176"/>
      <c r="H554" s="174"/>
      <c r="I554" s="174"/>
      <c r="J554" s="174"/>
      <c r="K554" s="174"/>
      <c r="L554" s="174"/>
      <c r="M554" s="175"/>
      <c r="O554">
        <v>0</v>
      </c>
    </row>
    <row r="555" spans="1:15" x14ac:dyDescent="0.25">
      <c r="A555" s="177"/>
      <c r="B555" s="177"/>
      <c r="C555" s="173">
        <v>465</v>
      </c>
      <c r="D555" s="173">
        <v>1</v>
      </c>
      <c r="E555" s="174"/>
      <c r="F555" s="175"/>
      <c r="G555" s="176"/>
      <c r="H555" s="174"/>
      <c r="I555" s="174"/>
      <c r="J555" s="174"/>
      <c r="K555" s="174"/>
      <c r="L555" s="174"/>
      <c r="M555" s="175"/>
      <c r="O555">
        <v>0</v>
      </c>
    </row>
    <row r="556" spans="1:15" x14ac:dyDescent="0.25">
      <c r="A556" s="178"/>
      <c r="B556" s="177"/>
      <c r="C556" s="173">
        <v>466</v>
      </c>
      <c r="D556" s="173">
        <v>2</v>
      </c>
      <c r="E556" s="174"/>
      <c r="F556" s="175"/>
      <c r="G556" s="176"/>
      <c r="H556" s="174"/>
      <c r="I556" s="174"/>
      <c r="J556" s="174"/>
      <c r="K556" s="174"/>
      <c r="L556" s="174"/>
      <c r="M556" s="175"/>
      <c r="O556">
        <v>0</v>
      </c>
    </row>
    <row r="557" spans="1:15" x14ac:dyDescent="0.25">
      <c r="A557" s="177"/>
      <c r="B557" s="177"/>
      <c r="C557" s="173">
        <v>467</v>
      </c>
      <c r="D557" s="173">
        <v>3</v>
      </c>
      <c r="E557" s="174"/>
      <c r="F557" s="175"/>
      <c r="G557" s="176"/>
      <c r="H557" s="174"/>
      <c r="I557" s="174"/>
      <c r="J557" s="174"/>
      <c r="K557" s="174"/>
      <c r="L557" s="174"/>
      <c r="M557" s="175"/>
      <c r="O557">
        <v>0</v>
      </c>
    </row>
    <row r="558" spans="1:15" x14ac:dyDescent="0.25">
      <c r="A558" s="177"/>
      <c r="B558" s="177"/>
      <c r="C558" s="173">
        <v>468</v>
      </c>
      <c r="D558" s="173">
        <v>4</v>
      </c>
      <c r="E558" s="174"/>
      <c r="F558" s="175"/>
      <c r="G558" s="176"/>
      <c r="H558" s="174"/>
      <c r="I558" s="174"/>
      <c r="J558" s="174"/>
      <c r="K558" s="174"/>
      <c r="L558" s="174"/>
      <c r="M558" s="175"/>
      <c r="O558">
        <v>0</v>
      </c>
    </row>
    <row r="559" spans="1:15" x14ac:dyDescent="0.25">
      <c r="A559" s="177"/>
      <c r="B559" s="177"/>
      <c r="C559" s="173">
        <v>469</v>
      </c>
      <c r="D559" s="173">
        <v>5</v>
      </c>
      <c r="E559" s="174"/>
      <c r="F559" s="175"/>
      <c r="G559" s="176"/>
      <c r="H559" s="174"/>
      <c r="I559" s="174"/>
      <c r="J559" s="174"/>
      <c r="K559" s="174"/>
      <c r="L559" s="174"/>
      <c r="M559" s="175"/>
      <c r="O559">
        <v>0</v>
      </c>
    </row>
    <row r="560" spans="1:15" x14ac:dyDescent="0.25">
      <c r="A560" s="177"/>
      <c r="B560" s="177"/>
      <c r="C560" s="173">
        <v>470</v>
      </c>
      <c r="D560" s="173">
        <v>6</v>
      </c>
      <c r="E560" s="174"/>
      <c r="F560" s="175"/>
      <c r="G560" s="176"/>
      <c r="H560" s="174"/>
      <c r="I560" s="174"/>
      <c r="J560" s="174"/>
      <c r="K560" s="174"/>
      <c r="L560" s="174"/>
      <c r="M560" s="175"/>
      <c r="O560">
        <v>0</v>
      </c>
    </row>
    <row r="561" spans="1:15" x14ac:dyDescent="0.25">
      <c r="A561" s="177"/>
      <c r="B561" s="177"/>
      <c r="C561" s="173">
        <v>471</v>
      </c>
      <c r="D561" s="173">
        <v>7</v>
      </c>
      <c r="E561" s="174"/>
      <c r="F561" s="175"/>
      <c r="G561" s="176"/>
      <c r="H561" s="174"/>
      <c r="I561" s="174"/>
      <c r="J561" s="174"/>
      <c r="K561" s="174"/>
      <c r="L561" s="174"/>
      <c r="M561" s="175"/>
      <c r="O561">
        <v>0</v>
      </c>
    </row>
    <row r="562" spans="1:15" x14ac:dyDescent="0.25">
      <c r="A562" s="177"/>
      <c r="B562" s="177"/>
      <c r="C562" s="173">
        <v>472</v>
      </c>
      <c r="D562" s="173">
        <v>8</v>
      </c>
      <c r="E562" s="174"/>
      <c r="F562" s="175"/>
      <c r="G562" s="176"/>
      <c r="H562" s="174"/>
      <c r="I562" s="174"/>
      <c r="J562" s="174"/>
      <c r="K562" s="174"/>
      <c r="L562" s="174"/>
      <c r="M562" s="175"/>
      <c r="O562">
        <v>0</v>
      </c>
    </row>
    <row r="563" spans="1:15" x14ac:dyDescent="0.25">
      <c r="A563" s="177"/>
      <c r="B563" s="177"/>
      <c r="C563" s="173">
        <v>473</v>
      </c>
      <c r="D563" s="173">
        <v>9</v>
      </c>
      <c r="E563" s="174"/>
      <c r="F563" s="175"/>
      <c r="G563" s="176"/>
      <c r="H563" s="174"/>
      <c r="I563" s="174"/>
      <c r="J563" s="174"/>
      <c r="K563" s="174"/>
      <c r="L563" s="174"/>
      <c r="M563" s="175"/>
      <c r="O563">
        <v>0</v>
      </c>
    </row>
    <row r="564" spans="1:15" x14ac:dyDescent="0.25">
      <c r="A564" s="177"/>
      <c r="B564" s="177"/>
      <c r="C564" s="173">
        <v>474</v>
      </c>
      <c r="D564" s="173">
        <v>10</v>
      </c>
      <c r="E564" s="174"/>
      <c r="F564" s="175"/>
      <c r="G564" s="176"/>
      <c r="H564" s="174"/>
      <c r="I564" s="174"/>
      <c r="J564" s="174"/>
      <c r="K564" s="174"/>
      <c r="L564" s="174"/>
      <c r="M564" s="175"/>
      <c r="O564">
        <v>0</v>
      </c>
    </row>
    <row r="565" spans="1:15" x14ac:dyDescent="0.25">
      <c r="A565" s="177"/>
      <c r="B565" s="177"/>
      <c r="C565" s="173">
        <v>475</v>
      </c>
      <c r="D565" s="173">
        <v>11</v>
      </c>
      <c r="E565" s="174"/>
      <c r="F565" s="175"/>
      <c r="G565" s="176"/>
      <c r="H565" s="174"/>
      <c r="I565" s="174"/>
      <c r="J565" s="174"/>
      <c r="K565" s="174"/>
      <c r="L565" s="174"/>
      <c r="M565" s="175"/>
      <c r="O565">
        <v>0</v>
      </c>
    </row>
    <row r="566" spans="1:15" x14ac:dyDescent="0.25">
      <c r="A566" s="177"/>
      <c r="B566" s="177"/>
      <c r="C566" s="173">
        <v>476</v>
      </c>
      <c r="D566" s="173">
        <v>12</v>
      </c>
      <c r="E566" s="174"/>
      <c r="F566" s="175"/>
      <c r="G566" s="176"/>
      <c r="H566" s="174"/>
      <c r="I566" s="174"/>
      <c r="J566" s="174"/>
      <c r="K566" s="174"/>
      <c r="L566" s="174"/>
      <c r="M566" s="175"/>
      <c r="O566">
        <v>0</v>
      </c>
    </row>
    <row r="567" spans="1:15" x14ac:dyDescent="0.25">
      <c r="A567" s="177"/>
      <c r="B567" s="177"/>
      <c r="C567" s="173">
        <v>477</v>
      </c>
      <c r="D567" s="173">
        <v>13</v>
      </c>
      <c r="E567" s="174"/>
      <c r="F567" s="175"/>
      <c r="G567" s="176"/>
      <c r="H567" s="174"/>
      <c r="I567" s="174"/>
      <c r="J567" s="174"/>
      <c r="K567" s="174"/>
      <c r="L567" s="174"/>
      <c r="M567" s="175"/>
      <c r="O567">
        <v>0</v>
      </c>
    </row>
    <row r="568" spans="1:15" x14ac:dyDescent="0.25">
      <c r="A568" s="177"/>
      <c r="B568" s="177"/>
      <c r="C568" s="173">
        <v>478</v>
      </c>
      <c r="D568" s="173">
        <v>14</v>
      </c>
      <c r="E568" s="174"/>
      <c r="F568" s="175"/>
      <c r="G568" s="176"/>
      <c r="H568" s="174"/>
      <c r="I568" s="174"/>
      <c r="J568" s="174"/>
      <c r="K568" s="174"/>
      <c r="L568" s="174"/>
      <c r="M568" s="175"/>
      <c r="O568">
        <v>0</v>
      </c>
    </row>
    <row r="569" spans="1:15" x14ac:dyDescent="0.25">
      <c r="A569" s="179"/>
      <c r="B569" s="179"/>
      <c r="C569" s="173">
        <v>479</v>
      </c>
      <c r="D569" s="173">
        <v>15</v>
      </c>
      <c r="E569" s="174"/>
      <c r="F569" s="175"/>
      <c r="G569" s="176"/>
      <c r="H569" s="174"/>
      <c r="I569" s="174"/>
      <c r="J569" s="174"/>
      <c r="K569" s="174"/>
      <c r="L569" s="174"/>
      <c r="M569" s="175"/>
      <c r="O569">
        <v>0</v>
      </c>
    </row>
    <row r="571" spans="1:15" x14ac:dyDescent="0.25">
      <c r="A571" s="167" t="s">
        <v>864</v>
      </c>
      <c r="B571" s="167" t="s">
        <v>865</v>
      </c>
      <c r="C571" s="167" t="s">
        <v>210</v>
      </c>
      <c r="D571" s="167" t="s">
        <v>866</v>
      </c>
      <c r="E571" s="168" t="s">
        <v>867</v>
      </c>
      <c r="F571" s="169"/>
      <c r="G571" s="168" t="s">
        <v>868</v>
      </c>
      <c r="H571" s="170"/>
      <c r="I571" s="170"/>
      <c r="J571" s="170"/>
      <c r="K571" s="170"/>
      <c r="L571" s="170"/>
      <c r="M571" s="171"/>
    </row>
    <row r="572" spans="1:15" x14ac:dyDescent="0.25">
      <c r="A572" s="172">
        <v>30</v>
      </c>
      <c r="B572" s="172" t="s">
        <v>995</v>
      </c>
      <c r="C572" s="173">
        <v>480</v>
      </c>
      <c r="D572" s="173">
        <v>0</v>
      </c>
      <c r="E572" s="174"/>
      <c r="F572" s="175"/>
      <c r="G572" s="176"/>
      <c r="H572" s="174"/>
      <c r="I572" s="174"/>
      <c r="J572" s="174"/>
      <c r="K572" s="174"/>
      <c r="L572" s="174"/>
      <c r="M572" s="175"/>
      <c r="O572">
        <v>0</v>
      </c>
    </row>
    <row r="573" spans="1:15" x14ac:dyDescent="0.25">
      <c r="A573" s="177"/>
      <c r="B573" s="177"/>
      <c r="C573" s="173">
        <v>481</v>
      </c>
      <c r="D573" s="173">
        <v>1</v>
      </c>
      <c r="E573" s="174"/>
      <c r="F573" s="175"/>
      <c r="G573" s="176"/>
      <c r="H573" s="174"/>
      <c r="I573" s="174"/>
      <c r="J573" s="174"/>
      <c r="K573" s="174"/>
      <c r="L573" s="174"/>
      <c r="M573" s="175"/>
      <c r="O573">
        <v>0</v>
      </c>
    </row>
    <row r="574" spans="1:15" x14ac:dyDescent="0.25">
      <c r="A574" s="178"/>
      <c r="B574" s="177"/>
      <c r="C574" s="173">
        <v>482</v>
      </c>
      <c r="D574" s="173">
        <v>2</v>
      </c>
      <c r="E574" s="174"/>
      <c r="F574" s="175"/>
      <c r="G574" s="176"/>
      <c r="H574" s="174"/>
      <c r="I574" s="174"/>
      <c r="J574" s="174"/>
      <c r="K574" s="174"/>
      <c r="L574" s="174"/>
      <c r="M574" s="175"/>
      <c r="O574">
        <v>0</v>
      </c>
    </row>
    <row r="575" spans="1:15" x14ac:dyDescent="0.25">
      <c r="A575" s="177"/>
      <c r="B575" s="177"/>
      <c r="C575" s="173">
        <v>483</v>
      </c>
      <c r="D575" s="173">
        <v>3</v>
      </c>
      <c r="E575" s="174"/>
      <c r="F575" s="175"/>
      <c r="G575" s="176"/>
      <c r="H575" s="174"/>
      <c r="I575" s="174"/>
      <c r="J575" s="174"/>
      <c r="K575" s="174"/>
      <c r="L575" s="174"/>
      <c r="M575" s="175"/>
      <c r="O575">
        <v>0</v>
      </c>
    </row>
    <row r="576" spans="1:15" x14ac:dyDescent="0.25">
      <c r="A576" s="177"/>
      <c r="B576" s="177"/>
      <c r="C576" s="173">
        <v>484</v>
      </c>
      <c r="D576" s="173">
        <v>4</v>
      </c>
      <c r="E576" s="174"/>
      <c r="F576" s="175"/>
      <c r="G576" s="176"/>
      <c r="H576" s="174"/>
      <c r="I576" s="174"/>
      <c r="J576" s="174"/>
      <c r="K576" s="174"/>
      <c r="L576" s="174"/>
      <c r="M576" s="175"/>
      <c r="O576">
        <v>0</v>
      </c>
    </row>
    <row r="577" spans="1:15" x14ac:dyDescent="0.25">
      <c r="A577" s="177"/>
      <c r="B577" s="177"/>
      <c r="C577" s="173">
        <v>485</v>
      </c>
      <c r="D577" s="173">
        <v>5</v>
      </c>
      <c r="E577" s="174"/>
      <c r="F577" s="175"/>
      <c r="G577" s="176"/>
      <c r="H577" s="174"/>
      <c r="I577" s="174"/>
      <c r="J577" s="174"/>
      <c r="K577" s="174"/>
      <c r="L577" s="174"/>
      <c r="M577" s="175"/>
      <c r="O577">
        <v>0</v>
      </c>
    </row>
    <row r="578" spans="1:15" x14ac:dyDescent="0.25">
      <c r="A578" s="177"/>
      <c r="B578" s="177"/>
      <c r="C578" s="173">
        <v>486</v>
      </c>
      <c r="D578" s="173">
        <v>6</v>
      </c>
      <c r="E578" s="174"/>
      <c r="F578" s="175"/>
      <c r="G578" s="176"/>
      <c r="H578" s="174"/>
      <c r="I578" s="174"/>
      <c r="J578" s="174"/>
      <c r="K578" s="174"/>
      <c r="L578" s="174"/>
      <c r="M578" s="175"/>
      <c r="O578">
        <v>0</v>
      </c>
    </row>
    <row r="579" spans="1:15" x14ac:dyDescent="0.25">
      <c r="A579" s="177"/>
      <c r="B579" s="177"/>
      <c r="C579" s="173">
        <v>487</v>
      </c>
      <c r="D579" s="173">
        <v>7</v>
      </c>
      <c r="E579" s="174"/>
      <c r="F579" s="175"/>
      <c r="G579" s="176"/>
      <c r="H579" s="174"/>
      <c r="I579" s="174"/>
      <c r="J579" s="174"/>
      <c r="K579" s="174"/>
      <c r="L579" s="174"/>
      <c r="M579" s="175"/>
      <c r="O579">
        <v>0</v>
      </c>
    </row>
    <row r="580" spans="1:15" x14ac:dyDescent="0.25">
      <c r="A580" s="177"/>
      <c r="B580" s="177"/>
      <c r="C580" s="173">
        <v>488</v>
      </c>
      <c r="D580" s="173">
        <v>8</v>
      </c>
      <c r="E580" s="174"/>
      <c r="F580" s="175"/>
      <c r="G580" s="176"/>
      <c r="H580" s="174"/>
      <c r="I580" s="174"/>
      <c r="J580" s="174"/>
      <c r="K580" s="174"/>
      <c r="L580" s="174"/>
      <c r="M580" s="175"/>
      <c r="O580">
        <v>0</v>
      </c>
    </row>
    <row r="581" spans="1:15" x14ac:dyDescent="0.25">
      <c r="A581" s="177"/>
      <c r="B581" s="177"/>
      <c r="C581" s="173">
        <v>489</v>
      </c>
      <c r="D581" s="173">
        <v>9</v>
      </c>
      <c r="E581" s="174"/>
      <c r="F581" s="175"/>
      <c r="G581" s="176"/>
      <c r="H581" s="174"/>
      <c r="I581" s="174"/>
      <c r="J581" s="174"/>
      <c r="K581" s="174"/>
      <c r="L581" s="174"/>
      <c r="M581" s="175"/>
      <c r="O581">
        <v>0</v>
      </c>
    </row>
    <row r="582" spans="1:15" x14ac:dyDescent="0.25">
      <c r="A582" s="177"/>
      <c r="B582" s="177"/>
      <c r="C582" s="173">
        <v>490</v>
      </c>
      <c r="D582" s="173">
        <v>10</v>
      </c>
      <c r="E582" s="174"/>
      <c r="F582" s="175"/>
      <c r="G582" s="176"/>
      <c r="H582" s="174"/>
      <c r="I582" s="174"/>
      <c r="J582" s="174"/>
      <c r="K582" s="174"/>
      <c r="L582" s="174"/>
      <c r="M582" s="175"/>
      <c r="O582">
        <v>0</v>
      </c>
    </row>
    <row r="583" spans="1:15" x14ac:dyDescent="0.25">
      <c r="A583" s="177"/>
      <c r="B583" s="177"/>
      <c r="C583" s="173">
        <v>491</v>
      </c>
      <c r="D583" s="173">
        <v>11</v>
      </c>
      <c r="E583" s="174"/>
      <c r="F583" s="175"/>
      <c r="G583" s="176"/>
      <c r="H583" s="174"/>
      <c r="I583" s="174"/>
      <c r="J583" s="174"/>
      <c r="K583" s="174"/>
      <c r="L583" s="174"/>
      <c r="M583" s="175"/>
      <c r="O583">
        <v>0</v>
      </c>
    </row>
    <row r="584" spans="1:15" x14ac:dyDescent="0.25">
      <c r="A584" s="177"/>
      <c r="B584" s="177"/>
      <c r="C584" s="173">
        <v>492</v>
      </c>
      <c r="D584" s="173">
        <v>12</v>
      </c>
      <c r="E584" s="174"/>
      <c r="F584" s="175"/>
      <c r="G584" s="176"/>
      <c r="H584" s="174"/>
      <c r="I584" s="174"/>
      <c r="J584" s="174"/>
      <c r="K584" s="174"/>
      <c r="L584" s="174"/>
      <c r="M584" s="175"/>
      <c r="O584">
        <v>0</v>
      </c>
    </row>
    <row r="585" spans="1:15" x14ac:dyDescent="0.25">
      <c r="A585" s="177"/>
      <c r="B585" s="177"/>
      <c r="C585" s="173">
        <v>493</v>
      </c>
      <c r="D585" s="173">
        <v>13</v>
      </c>
      <c r="E585" s="174"/>
      <c r="F585" s="175"/>
      <c r="G585" s="176"/>
      <c r="H585" s="174"/>
      <c r="I585" s="174"/>
      <c r="J585" s="174"/>
      <c r="K585" s="174"/>
      <c r="L585" s="174"/>
      <c r="M585" s="175"/>
      <c r="O585">
        <v>0</v>
      </c>
    </row>
    <row r="586" spans="1:15" x14ac:dyDescent="0.25">
      <c r="A586" s="177"/>
      <c r="B586" s="177"/>
      <c r="C586" s="173">
        <v>494</v>
      </c>
      <c r="D586" s="173">
        <v>14</v>
      </c>
      <c r="E586" s="174"/>
      <c r="F586" s="175"/>
      <c r="G586" s="176"/>
      <c r="H586" s="174"/>
      <c r="I586" s="174"/>
      <c r="J586" s="174"/>
      <c r="K586" s="174"/>
      <c r="L586" s="174"/>
      <c r="M586" s="175"/>
      <c r="O586">
        <v>0</v>
      </c>
    </row>
    <row r="587" spans="1:15" x14ac:dyDescent="0.25">
      <c r="A587" s="179"/>
      <c r="B587" s="179"/>
      <c r="C587" s="173">
        <v>495</v>
      </c>
      <c r="D587" s="173">
        <v>15</v>
      </c>
      <c r="E587" s="174"/>
      <c r="F587" s="175"/>
      <c r="G587" s="176"/>
      <c r="H587" s="174"/>
      <c r="I587" s="174"/>
      <c r="J587" s="174"/>
      <c r="K587" s="174"/>
      <c r="L587" s="174"/>
      <c r="M587" s="175"/>
      <c r="O587">
        <v>0</v>
      </c>
    </row>
    <row r="589" spans="1:15" x14ac:dyDescent="0.25">
      <c r="A589" s="167" t="s">
        <v>864</v>
      </c>
      <c r="B589" s="167" t="s">
        <v>865</v>
      </c>
      <c r="C589" s="167" t="s">
        <v>210</v>
      </c>
      <c r="D589" s="167" t="s">
        <v>866</v>
      </c>
      <c r="E589" s="168" t="s">
        <v>867</v>
      </c>
      <c r="F589" s="169"/>
      <c r="G589" s="168" t="s">
        <v>868</v>
      </c>
      <c r="H589" s="170"/>
      <c r="I589" s="170"/>
      <c r="J589" s="170"/>
      <c r="K589" s="170"/>
      <c r="L589" s="170"/>
      <c r="M589" s="171"/>
    </row>
    <row r="590" spans="1:15" x14ac:dyDescent="0.25">
      <c r="A590" s="172">
        <v>31</v>
      </c>
      <c r="B590" s="172" t="s">
        <v>995</v>
      </c>
      <c r="C590" s="173">
        <v>496</v>
      </c>
      <c r="D590" s="173">
        <v>0</v>
      </c>
      <c r="E590" s="174"/>
      <c r="F590" s="175"/>
      <c r="H590" s="174"/>
      <c r="I590" s="174"/>
      <c r="J590" s="174"/>
      <c r="K590" s="174"/>
      <c r="L590" s="174"/>
      <c r="M590" s="175"/>
      <c r="O590">
        <v>0</v>
      </c>
    </row>
    <row r="591" spans="1:15" x14ac:dyDescent="0.25">
      <c r="A591" s="177"/>
      <c r="B591" s="177"/>
      <c r="C591" s="173">
        <v>497</v>
      </c>
      <c r="D591" s="173">
        <v>1</v>
      </c>
      <c r="E591" s="174"/>
      <c r="F591" s="175"/>
      <c r="G591" s="176"/>
      <c r="H591" s="174"/>
      <c r="I591" s="174"/>
      <c r="J591" s="174"/>
      <c r="K591" s="174"/>
      <c r="L591" s="174"/>
      <c r="M591" s="175"/>
      <c r="O591">
        <v>0</v>
      </c>
    </row>
    <row r="592" spans="1:15" x14ac:dyDescent="0.25">
      <c r="A592" s="178"/>
      <c r="B592" s="177"/>
      <c r="C592" s="173">
        <v>498</v>
      </c>
      <c r="D592" s="173">
        <v>2</v>
      </c>
      <c r="E592" s="174"/>
      <c r="F592" s="175"/>
      <c r="G592" s="176"/>
      <c r="H592" s="174"/>
      <c r="I592" s="174"/>
      <c r="J592" s="174"/>
      <c r="K592" s="174"/>
      <c r="L592" s="174"/>
      <c r="M592" s="175"/>
      <c r="O592">
        <v>0</v>
      </c>
    </row>
    <row r="593" spans="1:15" x14ac:dyDescent="0.25">
      <c r="A593" s="177"/>
      <c r="B593" s="177"/>
      <c r="C593" s="173">
        <v>499</v>
      </c>
      <c r="D593" s="173">
        <v>3</v>
      </c>
      <c r="E593" s="174"/>
      <c r="F593" s="175"/>
      <c r="G593" s="176"/>
      <c r="H593" s="174"/>
      <c r="I593" s="174"/>
      <c r="J593" s="174"/>
      <c r="K593" s="174"/>
      <c r="L593" s="174"/>
      <c r="M593" s="175"/>
      <c r="O593">
        <v>0</v>
      </c>
    </row>
    <row r="594" spans="1:15" x14ac:dyDescent="0.25">
      <c r="A594" s="177"/>
      <c r="B594" s="177"/>
      <c r="C594" s="173">
        <v>500</v>
      </c>
      <c r="D594" s="173">
        <v>4</v>
      </c>
      <c r="E594" s="174"/>
      <c r="F594" s="175"/>
      <c r="G594" s="176"/>
      <c r="H594" s="174"/>
      <c r="I594" s="174"/>
      <c r="J594" s="174"/>
      <c r="K594" s="174"/>
      <c r="L594" s="174"/>
      <c r="M594" s="175"/>
      <c r="O594">
        <v>0</v>
      </c>
    </row>
    <row r="595" spans="1:15" x14ac:dyDescent="0.25">
      <c r="A595" s="177"/>
      <c r="B595" s="177"/>
      <c r="C595" s="173">
        <v>501</v>
      </c>
      <c r="D595" s="173">
        <v>5</v>
      </c>
      <c r="E595" s="174"/>
      <c r="F595" s="175"/>
      <c r="G595" s="176"/>
      <c r="H595" s="174"/>
      <c r="I595" s="174"/>
      <c r="J595" s="174"/>
      <c r="K595" s="174"/>
      <c r="L595" s="174"/>
      <c r="M595" s="175"/>
      <c r="O595">
        <v>0</v>
      </c>
    </row>
    <row r="596" spans="1:15" x14ac:dyDescent="0.25">
      <c r="A596" s="177"/>
      <c r="B596" s="177"/>
      <c r="C596" s="173">
        <v>502</v>
      </c>
      <c r="D596" s="173">
        <v>6</v>
      </c>
      <c r="E596" s="174"/>
      <c r="F596" s="175"/>
      <c r="G596" s="176"/>
      <c r="H596" s="174"/>
      <c r="I596" s="174"/>
      <c r="J596" s="174"/>
      <c r="K596" s="174"/>
      <c r="L596" s="174"/>
      <c r="M596" s="175"/>
      <c r="O596">
        <v>0</v>
      </c>
    </row>
    <row r="597" spans="1:15" x14ac:dyDescent="0.25">
      <c r="A597" s="177"/>
      <c r="B597" s="177"/>
      <c r="C597" s="173">
        <v>503</v>
      </c>
      <c r="D597" s="173">
        <v>7</v>
      </c>
      <c r="E597" s="174"/>
      <c r="F597" s="175"/>
      <c r="G597" s="176"/>
      <c r="H597" s="174"/>
      <c r="I597" s="174"/>
      <c r="J597" s="174"/>
      <c r="K597" s="174"/>
      <c r="L597" s="174"/>
      <c r="M597" s="175"/>
      <c r="O597">
        <v>0</v>
      </c>
    </row>
    <row r="598" spans="1:15" x14ac:dyDescent="0.25">
      <c r="A598" s="177"/>
      <c r="B598" s="177"/>
      <c r="C598" s="173">
        <v>504</v>
      </c>
      <c r="D598" s="173">
        <v>8</v>
      </c>
      <c r="E598" s="174"/>
      <c r="F598" s="175"/>
      <c r="G598" s="176"/>
      <c r="H598" s="174"/>
      <c r="I598" s="174"/>
      <c r="J598" s="174"/>
      <c r="K598" s="174"/>
      <c r="L598" s="174"/>
      <c r="M598" s="175"/>
      <c r="O598">
        <v>0</v>
      </c>
    </row>
    <row r="599" spans="1:15" x14ac:dyDescent="0.25">
      <c r="A599" s="177"/>
      <c r="B599" s="177"/>
      <c r="C599" s="173">
        <v>505</v>
      </c>
      <c r="D599" s="173">
        <v>9</v>
      </c>
      <c r="E599" s="174"/>
      <c r="F599" s="175"/>
      <c r="G599" s="176"/>
      <c r="H599" s="174"/>
      <c r="I599" s="174"/>
      <c r="J599" s="174"/>
      <c r="K599" s="174"/>
      <c r="L599" s="174"/>
      <c r="M599" s="175"/>
      <c r="O599">
        <v>0</v>
      </c>
    </row>
    <row r="600" spans="1:15" x14ac:dyDescent="0.25">
      <c r="A600" s="177"/>
      <c r="B600" s="177"/>
      <c r="C600" s="173">
        <v>506</v>
      </c>
      <c r="D600" s="173">
        <v>10</v>
      </c>
      <c r="E600" s="174"/>
      <c r="F600" s="175"/>
      <c r="G600" s="176"/>
      <c r="H600" s="174"/>
      <c r="I600" s="174"/>
      <c r="J600" s="174"/>
      <c r="K600" s="174"/>
      <c r="L600" s="174"/>
      <c r="M600" s="175"/>
      <c r="O600">
        <v>0</v>
      </c>
    </row>
    <row r="601" spans="1:15" x14ac:dyDescent="0.25">
      <c r="A601" s="177"/>
      <c r="B601" s="177"/>
      <c r="C601" s="173">
        <v>507</v>
      </c>
      <c r="D601" s="173">
        <v>11</v>
      </c>
      <c r="E601" s="174"/>
      <c r="F601" s="175"/>
      <c r="G601" s="176"/>
      <c r="H601" s="174"/>
      <c r="I601" s="174"/>
      <c r="J601" s="174"/>
      <c r="K601" s="174"/>
      <c r="L601" s="174"/>
      <c r="M601" s="175"/>
      <c r="O601">
        <v>0</v>
      </c>
    </row>
    <row r="602" spans="1:15" x14ac:dyDescent="0.25">
      <c r="A602" s="177"/>
      <c r="B602" s="177"/>
      <c r="C602" s="173">
        <v>508</v>
      </c>
      <c r="D602" s="173">
        <v>12</v>
      </c>
      <c r="E602" s="174"/>
      <c r="F602" s="175"/>
      <c r="G602" s="176"/>
      <c r="H602" s="174"/>
      <c r="I602" s="174"/>
      <c r="J602" s="174"/>
      <c r="K602" s="174"/>
      <c r="L602" s="174"/>
      <c r="M602" s="175"/>
      <c r="O602">
        <v>0</v>
      </c>
    </row>
    <row r="603" spans="1:15" x14ac:dyDescent="0.25">
      <c r="A603" s="177"/>
      <c r="B603" s="177"/>
      <c r="C603" s="173">
        <v>509</v>
      </c>
      <c r="D603" s="173">
        <v>13</v>
      </c>
      <c r="E603" s="174"/>
      <c r="F603" s="175"/>
      <c r="G603" s="176"/>
      <c r="H603" s="174"/>
      <c r="I603" s="174"/>
      <c r="J603" s="174"/>
      <c r="K603" s="174"/>
      <c r="L603" s="174"/>
      <c r="M603" s="175"/>
      <c r="O603">
        <v>0</v>
      </c>
    </row>
    <row r="604" spans="1:15" x14ac:dyDescent="0.25">
      <c r="A604" s="177"/>
      <c r="B604" s="177"/>
      <c r="C604" s="173">
        <v>510</v>
      </c>
      <c r="D604" s="173">
        <v>14</v>
      </c>
      <c r="E604" s="174"/>
      <c r="F604" s="175"/>
      <c r="G604" s="176"/>
      <c r="H604" s="174"/>
      <c r="I604" s="174"/>
      <c r="J604" s="174"/>
      <c r="K604" s="174"/>
      <c r="L604" s="174"/>
      <c r="M604" s="175"/>
      <c r="O604">
        <v>0</v>
      </c>
    </row>
    <row r="605" spans="1:15" x14ac:dyDescent="0.25">
      <c r="A605" s="179"/>
      <c r="B605" s="179"/>
      <c r="C605" s="173">
        <v>511</v>
      </c>
      <c r="D605" s="173">
        <v>15</v>
      </c>
      <c r="E605" s="174"/>
      <c r="F605" s="175"/>
      <c r="G605" s="176"/>
      <c r="H605" s="174"/>
      <c r="I605" s="174"/>
      <c r="J605" s="174"/>
      <c r="K605" s="174"/>
      <c r="L605" s="174"/>
      <c r="M605" s="175"/>
      <c r="O605">
        <v>0</v>
      </c>
    </row>
    <row r="607" spans="1:15" x14ac:dyDescent="0.25">
      <c r="A607" s="167" t="s">
        <v>864</v>
      </c>
      <c r="B607" s="167" t="s">
        <v>865</v>
      </c>
      <c r="C607" s="167" t="s">
        <v>210</v>
      </c>
      <c r="D607" s="167" t="s">
        <v>866</v>
      </c>
      <c r="E607" s="168" t="s">
        <v>867</v>
      </c>
      <c r="F607" s="169"/>
      <c r="G607" s="168" t="s">
        <v>868</v>
      </c>
      <c r="H607" s="170"/>
      <c r="I607" s="170"/>
      <c r="J607" s="170"/>
      <c r="K607" s="170"/>
      <c r="L607" s="170"/>
      <c r="M607" s="171"/>
    </row>
    <row r="608" spans="1:15" x14ac:dyDescent="0.25">
      <c r="A608" s="172">
        <v>32</v>
      </c>
      <c r="B608" s="172" t="s">
        <v>995</v>
      </c>
      <c r="C608" s="173">
        <v>512</v>
      </c>
      <c r="D608" s="173">
        <v>0</v>
      </c>
      <c r="E608" s="174"/>
      <c r="F608" s="175"/>
      <c r="G608" s="176"/>
      <c r="H608" s="174"/>
      <c r="I608" s="174"/>
      <c r="J608" s="174"/>
      <c r="K608" s="174"/>
      <c r="L608" s="174"/>
      <c r="M608" s="175"/>
      <c r="O608">
        <v>0</v>
      </c>
    </row>
    <row r="609" spans="1:15" x14ac:dyDescent="0.25">
      <c r="A609" s="177"/>
      <c r="B609" s="177"/>
      <c r="C609" s="173">
        <v>513</v>
      </c>
      <c r="D609" s="173">
        <v>1</v>
      </c>
      <c r="E609" s="174"/>
      <c r="F609" s="175"/>
      <c r="G609" s="176"/>
      <c r="H609" s="174"/>
      <c r="I609" s="174"/>
      <c r="J609" s="174"/>
      <c r="K609" s="174"/>
      <c r="L609" s="174"/>
      <c r="M609" s="175"/>
      <c r="O609">
        <v>0</v>
      </c>
    </row>
    <row r="610" spans="1:15" x14ac:dyDescent="0.25">
      <c r="A610" s="178"/>
      <c r="B610" s="177"/>
      <c r="C610" s="173">
        <v>514</v>
      </c>
      <c r="D610" s="173">
        <v>2</v>
      </c>
      <c r="E610" s="174"/>
      <c r="F610" s="175"/>
      <c r="G610" s="176"/>
      <c r="H610" s="174"/>
      <c r="I610" s="174"/>
      <c r="J610" s="174"/>
      <c r="K610" s="174"/>
      <c r="L610" s="174"/>
      <c r="M610" s="175"/>
      <c r="O610">
        <v>0</v>
      </c>
    </row>
    <row r="611" spans="1:15" x14ac:dyDescent="0.25">
      <c r="A611" s="177"/>
      <c r="B611" s="177"/>
      <c r="C611" s="173">
        <v>515</v>
      </c>
      <c r="D611" s="173">
        <v>3</v>
      </c>
      <c r="E611" s="174"/>
      <c r="F611" s="175"/>
      <c r="G611" s="176"/>
      <c r="H611" s="174"/>
      <c r="I611" s="174"/>
      <c r="J611" s="174"/>
      <c r="K611" s="174"/>
      <c r="L611" s="174"/>
      <c r="M611" s="175"/>
      <c r="O611">
        <v>0</v>
      </c>
    </row>
    <row r="612" spans="1:15" x14ac:dyDescent="0.25">
      <c r="A612" s="177"/>
      <c r="B612" s="177"/>
      <c r="C612" s="173">
        <v>516</v>
      </c>
      <c r="D612" s="173">
        <v>4</v>
      </c>
      <c r="E612" s="174"/>
      <c r="F612" s="175"/>
      <c r="G612" s="176"/>
      <c r="H612" s="174"/>
      <c r="I612" s="174"/>
      <c r="J612" s="174"/>
      <c r="K612" s="174"/>
      <c r="L612" s="174"/>
      <c r="M612" s="175"/>
      <c r="O612">
        <v>0</v>
      </c>
    </row>
    <row r="613" spans="1:15" x14ac:dyDescent="0.25">
      <c r="A613" s="177"/>
      <c r="B613" s="177"/>
      <c r="C613" s="173">
        <v>517</v>
      </c>
      <c r="D613" s="173">
        <v>5</v>
      </c>
      <c r="E613" s="174"/>
      <c r="F613" s="175"/>
      <c r="G613" s="176"/>
      <c r="H613" s="174"/>
      <c r="I613" s="174"/>
      <c r="J613" s="174"/>
      <c r="K613" s="174"/>
      <c r="L613" s="174"/>
      <c r="M613" s="175"/>
      <c r="O613">
        <v>0</v>
      </c>
    </row>
    <row r="614" spans="1:15" x14ac:dyDescent="0.25">
      <c r="A614" s="177"/>
      <c r="B614" s="177"/>
      <c r="C614" s="173">
        <v>518</v>
      </c>
      <c r="D614" s="173">
        <v>6</v>
      </c>
      <c r="E614" s="174"/>
      <c r="F614" s="175"/>
      <c r="G614" s="176"/>
      <c r="H614" s="174"/>
      <c r="I614" s="174"/>
      <c r="J614" s="174"/>
      <c r="K614" s="174"/>
      <c r="L614" s="174"/>
      <c r="M614" s="175"/>
      <c r="O614">
        <v>0</v>
      </c>
    </row>
    <row r="615" spans="1:15" x14ac:dyDescent="0.25">
      <c r="A615" s="177"/>
      <c r="B615" s="177"/>
      <c r="C615" s="173">
        <v>519</v>
      </c>
      <c r="D615" s="173">
        <v>7</v>
      </c>
      <c r="E615" s="174"/>
      <c r="F615" s="175"/>
      <c r="G615" s="176"/>
      <c r="H615" s="174"/>
      <c r="I615" s="174"/>
      <c r="J615" s="174"/>
      <c r="K615" s="174"/>
      <c r="L615" s="174"/>
      <c r="M615" s="175"/>
      <c r="O615">
        <v>0</v>
      </c>
    </row>
    <row r="616" spans="1:15" x14ac:dyDescent="0.25">
      <c r="A616" s="177"/>
      <c r="B616" s="177"/>
      <c r="C616" s="173">
        <v>520</v>
      </c>
      <c r="D616" s="173">
        <v>8</v>
      </c>
      <c r="E616" s="174"/>
      <c r="F616" s="175"/>
      <c r="G616" s="176"/>
      <c r="H616" s="174"/>
      <c r="I616" s="174"/>
      <c r="J616" s="174"/>
      <c r="K616" s="174"/>
      <c r="L616" s="174"/>
      <c r="M616" s="175"/>
      <c r="O616">
        <v>0</v>
      </c>
    </row>
    <row r="617" spans="1:15" x14ac:dyDescent="0.25">
      <c r="A617" s="177"/>
      <c r="B617" s="177"/>
      <c r="C617" s="173">
        <v>521</v>
      </c>
      <c r="D617" s="173">
        <v>9</v>
      </c>
      <c r="E617" s="174"/>
      <c r="F617" s="175"/>
      <c r="G617" s="176"/>
      <c r="H617" s="174"/>
      <c r="I617" s="174"/>
      <c r="J617" s="174"/>
      <c r="K617" s="174"/>
      <c r="L617" s="174"/>
      <c r="M617" s="175"/>
      <c r="O617">
        <v>0</v>
      </c>
    </row>
    <row r="618" spans="1:15" x14ac:dyDescent="0.25">
      <c r="A618" s="177"/>
      <c r="B618" s="177"/>
      <c r="C618" s="173">
        <v>522</v>
      </c>
      <c r="D618" s="173">
        <v>10</v>
      </c>
      <c r="E618" s="174"/>
      <c r="F618" s="175"/>
      <c r="G618" s="176"/>
      <c r="H618" s="174"/>
      <c r="I618" s="174"/>
      <c r="J618" s="174"/>
      <c r="K618" s="174"/>
      <c r="L618" s="174"/>
      <c r="M618" s="175"/>
      <c r="O618">
        <v>0</v>
      </c>
    </row>
    <row r="619" spans="1:15" x14ac:dyDescent="0.25">
      <c r="A619" s="177"/>
      <c r="B619" s="177"/>
      <c r="C619" s="173">
        <v>523</v>
      </c>
      <c r="D619" s="173">
        <v>11</v>
      </c>
      <c r="E619" s="174"/>
      <c r="F619" s="175"/>
      <c r="G619" s="176"/>
      <c r="H619" s="174"/>
      <c r="I619" s="174"/>
      <c r="J619" s="174"/>
      <c r="K619" s="174"/>
      <c r="L619" s="174"/>
      <c r="M619" s="175"/>
      <c r="O619">
        <v>0</v>
      </c>
    </row>
    <row r="620" spans="1:15" x14ac:dyDescent="0.25">
      <c r="A620" s="177"/>
      <c r="B620" s="177"/>
      <c r="C620" s="173">
        <v>524</v>
      </c>
      <c r="D620" s="173">
        <v>12</v>
      </c>
      <c r="E620" s="174"/>
      <c r="F620" s="175"/>
      <c r="G620" s="176"/>
      <c r="H620" s="174"/>
      <c r="I620" s="174"/>
      <c r="J620" s="174"/>
      <c r="K620" s="174"/>
      <c r="L620" s="174"/>
      <c r="M620" s="175"/>
      <c r="O620">
        <v>0</v>
      </c>
    </row>
    <row r="621" spans="1:15" x14ac:dyDescent="0.25">
      <c r="A621" s="177"/>
      <c r="B621" s="177"/>
      <c r="C621" s="173">
        <v>525</v>
      </c>
      <c r="D621" s="173">
        <v>13</v>
      </c>
      <c r="E621" s="174"/>
      <c r="F621" s="175"/>
      <c r="G621" s="176"/>
      <c r="H621" s="174"/>
      <c r="I621" s="174"/>
      <c r="J621" s="174"/>
      <c r="K621" s="174"/>
      <c r="L621" s="174"/>
      <c r="M621" s="175"/>
      <c r="O621">
        <v>0</v>
      </c>
    </row>
    <row r="622" spans="1:15" x14ac:dyDescent="0.25">
      <c r="A622" s="177"/>
      <c r="B622" s="177"/>
      <c r="C622" s="173">
        <v>526</v>
      </c>
      <c r="D622" s="173">
        <v>14</v>
      </c>
      <c r="E622" s="174"/>
      <c r="F622" s="175"/>
      <c r="G622" s="176"/>
      <c r="H622" s="174"/>
      <c r="I622" s="174"/>
      <c r="J622" s="174"/>
      <c r="K622" s="174"/>
      <c r="L622" s="174"/>
      <c r="M622" s="175"/>
      <c r="O622">
        <v>0</v>
      </c>
    </row>
    <row r="623" spans="1:15" x14ac:dyDescent="0.25">
      <c r="A623" s="179"/>
      <c r="B623" s="179"/>
      <c r="C623" s="173">
        <v>527</v>
      </c>
      <c r="D623" s="173">
        <v>15</v>
      </c>
      <c r="E623" s="174"/>
      <c r="F623" s="175"/>
      <c r="G623" s="176"/>
      <c r="H623" s="174"/>
      <c r="I623" s="174"/>
      <c r="J623" s="174"/>
      <c r="K623" s="174"/>
      <c r="L623" s="174"/>
      <c r="M623" s="175"/>
      <c r="O623">
        <v>0</v>
      </c>
    </row>
    <row r="625" spans="1:15" x14ac:dyDescent="0.25">
      <c r="A625" s="167" t="s">
        <v>864</v>
      </c>
      <c r="B625" s="167" t="s">
        <v>865</v>
      </c>
      <c r="C625" s="167" t="s">
        <v>210</v>
      </c>
      <c r="D625" s="167" t="s">
        <v>866</v>
      </c>
      <c r="E625" s="168" t="s">
        <v>867</v>
      </c>
      <c r="F625" s="169"/>
      <c r="G625" s="168" t="s">
        <v>868</v>
      </c>
      <c r="H625" s="170"/>
      <c r="I625" s="170"/>
      <c r="J625" s="170"/>
      <c r="K625" s="170"/>
      <c r="L625" s="170"/>
      <c r="M625" s="171"/>
    </row>
    <row r="626" spans="1:15" x14ac:dyDescent="0.25">
      <c r="A626" s="172">
        <v>33</v>
      </c>
      <c r="B626" s="172" t="s">
        <v>995</v>
      </c>
      <c r="C626" s="173">
        <v>528</v>
      </c>
      <c r="D626" s="173">
        <v>0</v>
      </c>
      <c r="E626" s="174"/>
      <c r="F626" s="175"/>
      <c r="G626" s="176"/>
      <c r="H626" s="174"/>
      <c r="I626" s="174"/>
      <c r="J626" s="174"/>
      <c r="K626" s="174"/>
      <c r="L626" s="174"/>
      <c r="M626" s="175"/>
      <c r="O626">
        <v>0</v>
      </c>
    </row>
    <row r="627" spans="1:15" x14ac:dyDescent="0.25">
      <c r="A627" s="177"/>
      <c r="B627" s="177"/>
      <c r="C627" s="173">
        <v>529</v>
      </c>
      <c r="D627" s="173">
        <v>1</v>
      </c>
      <c r="E627" s="174"/>
      <c r="F627" s="175"/>
      <c r="G627" s="176"/>
      <c r="H627" s="174"/>
      <c r="I627" s="174"/>
      <c r="J627" s="174"/>
      <c r="K627" s="174"/>
      <c r="L627" s="174"/>
      <c r="M627" s="175"/>
      <c r="O627">
        <v>0</v>
      </c>
    </row>
    <row r="628" spans="1:15" x14ac:dyDescent="0.25">
      <c r="A628" s="178"/>
      <c r="B628" s="177"/>
      <c r="C628" s="173">
        <v>530</v>
      </c>
      <c r="D628" s="173">
        <v>2</v>
      </c>
      <c r="E628" s="174"/>
      <c r="F628" s="175"/>
      <c r="G628" s="176"/>
      <c r="H628" s="174"/>
      <c r="I628" s="174"/>
      <c r="J628" s="174"/>
      <c r="K628" s="174"/>
      <c r="L628" s="174"/>
      <c r="M628" s="175"/>
      <c r="O628">
        <v>0</v>
      </c>
    </row>
    <row r="629" spans="1:15" x14ac:dyDescent="0.25">
      <c r="A629" s="177"/>
      <c r="B629" s="177"/>
      <c r="C629" s="173">
        <v>531</v>
      </c>
      <c r="D629" s="173">
        <v>3</v>
      </c>
      <c r="E629" s="174"/>
      <c r="F629" s="175"/>
      <c r="G629" s="176"/>
      <c r="H629" s="174"/>
      <c r="I629" s="174"/>
      <c r="J629" s="174"/>
      <c r="K629" s="174"/>
      <c r="L629" s="174"/>
      <c r="M629" s="175"/>
      <c r="O629">
        <v>0</v>
      </c>
    </row>
    <row r="630" spans="1:15" x14ac:dyDescent="0.25">
      <c r="A630" s="177"/>
      <c r="B630" s="177"/>
      <c r="C630" s="173">
        <v>532</v>
      </c>
      <c r="D630" s="173">
        <v>4</v>
      </c>
      <c r="E630" s="174"/>
      <c r="F630" s="175"/>
      <c r="G630" s="176"/>
      <c r="H630" s="174"/>
      <c r="I630" s="174"/>
      <c r="J630" s="174"/>
      <c r="K630" s="174"/>
      <c r="L630" s="174"/>
      <c r="M630" s="175"/>
      <c r="O630">
        <v>0</v>
      </c>
    </row>
    <row r="631" spans="1:15" x14ac:dyDescent="0.25">
      <c r="A631" s="177"/>
      <c r="B631" s="177"/>
      <c r="C631" s="173">
        <v>533</v>
      </c>
      <c r="D631" s="173">
        <v>5</v>
      </c>
      <c r="E631" s="174"/>
      <c r="F631" s="175"/>
      <c r="G631" s="176"/>
      <c r="H631" s="174"/>
      <c r="I631" s="174"/>
      <c r="J631" s="174"/>
      <c r="K631" s="174"/>
      <c r="L631" s="174"/>
      <c r="M631" s="175"/>
      <c r="O631">
        <v>0</v>
      </c>
    </row>
    <row r="632" spans="1:15" x14ac:dyDescent="0.25">
      <c r="A632" s="177"/>
      <c r="B632" s="177"/>
      <c r="C632" s="173">
        <v>534</v>
      </c>
      <c r="D632" s="173">
        <v>6</v>
      </c>
      <c r="E632" s="174"/>
      <c r="F632" s="175"/>
      <c r="G632" s="176"/>
      <c r="H632" s="174"/>
      <c r="I632" s="174"/>
      <c r="J632" s="174"/>
      <c r="K632" s="174"/>
      <c r="L632" s="174"/>
      <c r="M632" s="175"/>
      <c r="O632">
        <v>0</v>
      </c>
    </row>
    <row r="633" spans="1:15" x14ac:dyDescent="0.25">
      <c r="A633" s="177"/>
      <c r="B633" s="177"/>
      <c r="C633" s="173">
        <v>535</v>
      </c>
      <c r="D633" s="173">
        <v>7</v>
      </c>
      <c r="E633" s="174"/>
      <c r="F633" s="175"/>
      <c r="G633" s="176"/>
      <c r="H633" s="174"/>
      <c r="I633" s="174"/>
      <c r="J633" s="174"/>
      <c r="K633" s="174"/>
      <c r="L633" s="174"/>
      <c r="M633" s="175"/>
      <c r="O633">
        <v>0</v>
      </c>
    </row>
    <row r="634" spans="1:15" x14ac:dyDescent="0.25">
      <c r="A634" s="177"/>
      <c r="B634" s="177"/>
      <c r="C634" s="173">
        <v>536</v>
      </c>
      <c r="D634" s="173">
        <v>8</v>
      </c>
      <c r="E634" s="174"/>
      <c r="F634" s="175"/>
      <c r="G634" s="176"/>
      <c r="H634" s="174"/>
      <c r="I634" s="174"/>
      <c r="J634" s="174"/>
      <c r="K634" s="174"/>
      <c r="L634" s="174"/>
      <c r="M634" s="175"/>
      <c r="O634">
        <v>0</v>
      </c>
    </row>
    <row r="635" spans="1:15" x14ac:dyDescent="0.25">
      <c r="A635" s="177"/>
      <c r="B635" s="177"/>
      <c r="C635" s="173">
        <v>537</v>
      </c>
      <c r="D635" s="173">
        <v>9</v>
      </c>
      <c r="E635" s="174"/>
      <c r="F635" s="175"/>
      <c r="G635" s="176"/>
      <c r="H635" s="174"/>
      <c r="I635" s="174"/>
      <c r="J635" s="174"/>
      <c r="K635" s="174"/>
      <c r="L635" s="174"/>
      <c r="M635" s="175"/>
      <c r="O635">
        <v>0</v>
      </c>
    </row>
    <row r="636" spans="1:15" x14ac:dyDescent="0.25">
      <c r="A636" s="177"/>
      <c r="B636" s="177"/>
      <c r="C636" s="173">
        <v>538</v>
      </c>
      <c r="D636" s="173">
        <v>10</v>
      </c>
      <c r="E636" s="174"/>
      <c r="F636" s="175"/>
      <c r="G636" s="176"/>
      <c r="H636" s="174"/>
      <c r="I636" s="174"/>
      <c r="J636" s="174"/>
      <c r="K636" s="174"/>
      <c r="L636" s="174"/>
      <c r="M636" s="175"/>
      <c r="O636">
        <v>0</v>
      </c>
    </row>
    <row r="637" spans="1:15" x14ac:dyDescent="0.25">
      <c r="A637" s="177"/>
      <c r="B637" s="177"/>
      <c r="C637" s="173">
        <v>539</v>
      </c>
      <c r="D637" s="173">
        <v>11</v>
      </c>
      <c r="E637" s="174"/>
      <c r="F637" s="175"/>
      <c r="G637" s="176"/>
      <c r="H637" s="174"/>
      <c r="I637" s="174"/>
      <c r="J637" s="174"/>
      <c r="K637" s="174"/>
      <c r="L637" s="174"/>
      <c r="M637" s="175"/>
      <c r="O637">
        <v>0</v>
      </c>
    </row>
    <row r="638" spans="1:15" x14ac:dyDescent="0.25">
      <c r="A638" s="177"/>
      <c r="B638" s="177"/>
      <c r="C638" s="173">
        <v>540</v>
      </c>
      <c r="D638" s="173">
        <v>12</v>
      </c>
      <c r="E638" s="174"/>
      <c r="F638" s="175"/>
      <c r="G638" s="176"/>
      <c r="H638" s="174"/>
      <c r="I638" s="174"/>
      <c r="J638" s="174"/>
      <c r="K638" s="174"/>
      <c r="L638" s="174"/>
      <c r="M638" s="175"/>
      <c r="O638">
        <v>0</v>
      </c>
    </row>
    <row r="639" spans="1:15" x14ac:dyDescent="0.25">
      <c r="A639" s="177"/>
      <c r="B639" s="177"/>
      <c r="C639" s="173">
        <v>541</v>
      </c>
      <c r="D639" s="173">
        <v>13</v>
      </c>
      <c r="E639" s="174"/>
      <c r="F639" s="175"/>
      <c r="G639" s="176"/>
      <c r="H639" s="174"/>
      <c r="I639" s="174"/>
      <c r="J639" s="174"/>
      <c r="K639" s="174"/>
      <c r="L639" s="174"/>
      <c r="M639" s="175"/>
      <c r="O639">
        <v>0</v>
      </c>
    </row>
    <row r="640" spans="1:15" x14ac:dyDescent="0.25">
      <c r="A640" s="177"/>
      <c r="B640" s="177"/>
      <c r="C640" s="173">
        <v>542</v>
      </c>
      <c r="D640" s="173">
        <v>14</v>
      </c>
      <c r="E640" s="174"/>
      <c r="F640" s="175"/>
      <c r="G640" s="176"/>
      <c r="H640" s="174"/>
      <c r="I640" s="174"/>
      <c r="J640" s="174"/>
      <c r="K640" s="174"/>
      <c r="L640" s="174"/>
      <c r="M640" s="175"/>
      <c r="O640">
        <v>0</v>
      </c>
    </row>
    <row r="641" spans="1:15" x14ac:dyDescent="0.25">
      <c r="A641" s="179"/>
      <c r="B641" s="179"/>
      <c r="C641" s="173">
        <v>543</v>
      </c>
      <c r="D641" s="173">
        <v>15</v>
      </c>
      <c r="E641" s="174"/>
      <c r="F641" s="175"/>
      <c r="G641" s="176"/>
      <c r="H641" s="174"/>
      <c r="I641" s="174"/>
      <c r="J641" s="174"/>
      <c r="K641" s="174"/>
      <c r="L641" s="174"/>
      <c r="M641" s="175"/>
      <c r="O641">
        <v>0</v>
      </c>
    </row>
    <row r="643" spans="1:15" x14ac:dyDescent="0.25">
      <c r="A643" s="167" t="s">
        <v>864</v>
      </c>
      <c r="B643" s="167" t="s">
        <v>865</v>
      </c>
      <c r="C643" s="167" t="s">
        <v>210</v>
      </c>
      <c r="D643" s="167" t="s">
        <v>866</v>
      </c>
      <c r="E643" s="168" t="s">
        <v>867</v>
      </c>
      <c r="F643" s="169"/>
      <c r="G643" s="168" t="s">
        <v>868</v>
      </c>
      <c r="H643" s="170"/>
      <c r="I643" s="170"/>
      <c r="J643" s="170"/>
      <c r="K643" s="170"/>
      <c r="L643" s="170"/>
      <c r="M643" s="171"/>
    </row>
    <row r="644" spans="1:15" x14ac:dyDescent="0.25">
      <c r="A644" s="172">
        <v>34</v>
      </c>
      <c r="B644" s="172" t="s">
        <v>995</v>
      </c>
      <c r="C644" s="173">
        <v>544</v>
      </c>
      <c r="D644" s="173">
        <v>0</v>
      </c>
      <c r="E644" s="174"/>
      <c r="F644" s="175"/>
      <c r="G644" s="176"/>
      <c r="H644" s="174"/>
      <c r="I644" s="174"/>
      <c r="J644" s="174"/>
      <c r="K644" s="174"/>
      <c r="L644" s="174"/>
      <c r="M644" s="175"/>
      <c r="O644">
        <v>0</v>
      </c>
    </row>
    <row r="645" spans="1:15" x14ac:dyDescent="0.25">
      <c r="A645" s="177"/>
      <c r="B645" s="177"/>
      <c r="C645" s="173">
        <v>545</v>
      </c>
      <c r="D645" s="173">
        <v>1</v>
      </c>
      <c r="E645" s="174"/>
      <c r="F645" s="175"/>
      <c r="G645" s="176"/>
      <c r="H645" s="174"/>
      <c r="I645" s="174"/>
      <c r="J645" s="174"/>
      <c r="K645" s="174"/>
      <c r="L645" s="174"/>
      <c r="M645" s="175"/>
      <c r="O645">
        <v>0</v>
      </c>
    </row>
    <row r="646" spans="1:15" x14ac:dyDescent="0.25">
      <c r="A646" s="178"/>
      <c r="B646" s="177"/>
      <c r="C646" s="173">
        <v>546</v>
      </c>
      <c r="D646" s="173">
        <v>2</v>
      </c>
      <c r="E646" s="174"/>
      <c r="F646" s="175"/>
      <c r="G646" s="176"/>
      <c r="H646" s="174"/>
      <c r="I646" s="174"/>
      <c r="J646" s="174"/>
      <c r="K646" s="174"/>
      <c r="L646" s="174"/>
      <c r="M646" s="175"/>
      <c r="O646">
        <v>0</v>
      </c>
    </row>
    <row r="647" spans="1:15" x14ac:dyDescent="0.25">
      <c r="A647" s="177"/>
      <c r="B647" s="177"/>
      <c r="C647" s="173">
        <v>547</v>
      </c>
      <c r="D647" s="173">
        <v>3</v>
      </c>
      <c r="E647" s="174"/>
      <c r="F647" s="175"/>
      <c r="G647" s="176"/>
      <c r="H647" s="174"/>
      <c r="I647" s="174"/>
      <c r="J647" s="174"/>
      <c r="K647" s="174"/>
      <c r="L647" s="174"/>
      <c r="M647" s="175"/>
      <c r="O647">
        <v>0</v>
      </c>
    </row>
    <row r="648" spans="1:15" x14ac:dyDescent="0.25">
      <c r="A648" s="177"/>
      <c r="B648" s="177"/>
      <c r="C648" s="173">
        <v>548</v>
      </c>
      <c r="D648" s="173">
        <v>4</v>
      </c>
      <c r="E648" s="174"/>
      <c r="F648" s="175"/>
      <c r="G648" s="176"/>
      <c r="H648" s="174"/>
      <c r="I648" s="174"/>
      <c r="J648" s="174"/>
      <c r="K648" s="174"/>
      <c r="L648" s="174"/>
      <c r="M648" s="175"/>
      <c r="O648">
        <v>0</v>
      </c>
    </row>
    <row r="649" spans="1:15" x14ac:dyDescent="0.25">
      <c r="A649" s="177"/>
      <c r="B649" s="177"/>
      <c r="C649" s="173">
        <v>549</v>
      </c>
      <c r="D649" s="173">
        <v>5</v>
      </c>
      <c r="E649" s="174"/>
      <c r="F649" s="175"/>
      <c r="G649" s="176"/>
      <c r="H649" s="174"/>
      <c r="I649" s="174"/>
      <c r="J649" s="174"/>
      <c r="K649" s="174"/>
      <c r="L649" s="174"/>
      <c r="M649" s="175"/>
      <c r="O649">
        <v>0</v>
      </c>
    </row>
    <row r="650" spans="1:15" x14ac:dyDescent="0.25">
      <c r="A650" s="177"/>
      <c r="B650" s="177"/>
      <c r="C650" s="173">
        <v>550</v>
      </c>
      <c r="D650" s="173">
        <v>6</v>
      </c>
      <c r="E650" s="174"/>
      <c r="F650" s="175"/>
      <c r="G650" s="176"/>
      <c r="H650" s="174"/>
      <c r="I650" s="174"/>
      <c r="J650" s="174"/>
      <c r="K650" s="174"/>
      <c r="L650" s="174"/>
      <c r="M650" s="175"/>
      <c r="O650">
        <v>0</v>
      </c>
    </row>
    <row r="651" spans="1:15" x14ac:dyDescent="0.25">
      <c r="A651" s="177"/>
      <c r="B651" s="177"/>
      <c r="C651" s="173">
        <v>551</v>
      </c>
      <c r="D651" s="173">
        <v>7</v>
      </c>
      <c r="E651" s="174"/>
      <c r="F651" s="175"/>
      <c r="G651" s="176"/>
      <c r="H651" s="174"/>
      <c r="I651" s="174"/>
      <c r="J651" s="174"/>
      <c r="K651" s="174"/>
      <c r="L651" s="174"/>
      <c r="M651" s="175"/>
      <c r="O651">
        <v>0</v>
      </c>
    </row>
    <row r="652" spans="1:15" x14ac:dyDescent="0.25">
      <c r="A652" s="177"/>
      <c r="B652" s="177"/>
      <c r="C652" s="173">
        <v>552</v>
      </c>
      <c r="D652" s="173">
        <v>8</v>
      </c>
      <c r="E652" s="174"/>
      <c r="F652" s="175"/>
      <c r="G652" s="176"/>
      <c r="H652" s="174"/>
      <c r="I652" s="174"/>
      <c r="J652" s="174"/>
      <c r="K652" s="174"/>
      <c r="L652" s="174"/>
      <c r="M652" s="175"/>
      <c r="O652">
        <v>0</v>
      </c>
    </row>
    <row r="653" spans="1:15" x14ac:dyDescent="0.25">
      <c r="A653" s="177"/>
      <c r="B653" s="177"/>
      <c r="C653" s="173">
        <v>553</v>
      </c>
      <c r="D653" s="173">
        <v>9</v>
      </c>
      <c r="E653" s="174"/>
      <c r="F653" s="175"/>
      <c r="G653" s="176"/>
      <c r="H653" s="174"/>
      <c r="I653" s="174"/>
      <c r="J653" s="174"/>
      <c r="K653" s="174"/>
      <c r="L653" s="174"/>
      <c r="M653" s="175"/>
      <c r="O653">
        <v>0</v>
      </c>
    </row>
    <row r="654" spans="1:15" x14ac:dyDescent="0.25">
      <c r="A654" s="177"/>
      <c r="B654" s="177"/>
      <c r="C654" s="173">
        <v>554</v>
      </c>
      <c r="D654" s="173">
        <v>10</v>
      </c>
      <c r="E654" s="174"/>
      <c r="F654" s="175"/>
      <c r="G654" s="176"/>
      <c r="H654" s="174"/>
      <c r="I654" s="174"/>
      <c r="J654" s="174"/>
      <c r="K654" s="174"/>
      <c r="L654" s="174"/>
      <c r="M654" s="175"/>
      <c r="O654">
        <v>0</v>
      </c>
    </row>
    <row r="655" spans="1:15" x14ac:dyDescent="0.25">
      <c r="A655" s="177"/>
      <c r="B655" s="177"/>
      <c r="C655" s="173">
        <v>555</v>
      </c>
      <c r="D655" s="173">
        <v>11</v>
      </c>
      <c r="E655" s="174"/>
      <c r="F655" s="175"/>
      <c r="G655" s="176"/>
      <c r="H655" s="174"/>
      <c r="I655" s="174"/>
      <c r="J655" s="174"/>
      <c r="K655" s="174"/>
      <c r="L655" s="174"/>
      <c r="M655" s="175"/>
      <c r="O655">
        <v>0</v>
      </c>
    </row>
    <row r="656" spans="1:15" x14ac:dyDescent="0.25">
      <c r="A656" s="177"/>
      <c r="B656" s="177"/>
      <c r="C656" s="173">
        <v>556</v>
      </c>
      <c r="D656" s="173">
        <v>12</v>
      </c>
      <c r="E656" s="174"/>
      <c r="F656" s="175"/>
      <c r="G656" s="176"/>
      <c r="H656" s="174"/>
      <c r="I656" s="174"/>
      <c r="J656" s="174"/>
      <c r="K656" s="174"/>
      <c r="L656" s="174"/>
      <c r="M656" s="175"/>
      <c r="O656">
        <v>0</v>
      </c>
    </row>
    <row r="657" spans="1:15" x14ac:dyDescent="0.25">
      <c r="A657" s="177"/>
      <c r="B657" s="177"/>
      <c r="C657" s="173">
        <v>557</v>
      </c>
      <c r="D657" s="173">
        <v>13</v>
      </c>
      <c r="E657" s="174"/>
      <c r="F657" s="175"/>
      <c r="G657" s="176"/>
      <c r="H657" s="174"/>
      <c r="I657" s="174"/>
      <c r="J657" s="174"/>
      <c r="K657" s="174"/>
      <c r="L657" s="174"/>
      <c r="M657" s="175"/>
      <c r="O657">
        <v>0</v>
      </c>
    </row>
    <row r="658" spans="1:15" x14ac:dyDescent="0.25">
      <c r="A658" s="177"/>
      <c r="B658" s="177"/>
      <c r="C658" s="173">
        <v>558</v>
      </c>
      <c r="D658" s="173">
        <v>14</v>
      </c>
      <c r="E658" s="174"/>
      <c r="F658" s="175"/>
      <c r="G658" s="176"/>
      <c r="H658" s="174"/>
      <c r="I658" s="174"/>
      <c r="J658" s="174"/>
      <c r="K658" s="174"/>
      <c r="L658" s="174"/>
      <c r="M658" s="175"/>
      <c r="O658">
        <v>0</v>
      </c>
    </row>
    <row r="659" spans="1:15" x14ac:dyDescent="0.25">
      <c r="A659" s="179"/>
      <c r="B659" s="179"/>
      <c r="C659" s="173">
        <v>559</v>
      </c>
      <c r="D659" s="173">
        <v>15</v>
      </c>
      <c r="E659" s="174"/>
      <c r="F659" s="175"/>
      <c r="G659" s="176"/>
      <c r="H659" s="174"/>
      <c r="I659" s="174"/>
      <c r="J659" s="174"/>
      <c r="K659" s="174"/>
      <c r="L659" s="174"/>
      <c r="M659" s="175"/>
      <c r="O659">
        <v>0</v>
      </c>
    </row>
    <row r="661" spans="1:15" x14ac:dyDescent="0.25">
      <c r="A661" s="167" t="s">
        <v>864</v>
      </c>
      <c r="B661" s="167" t="s">
        <v>865</v>
      </c>
      <c r="C661" s="167" t="s">
        <v>210</v>
      </c>
      <c r="D661" s="167" t="s">
        <v>866</v>
      </c>
      <c r="E661" s="168" t="s">
        <v>867</v>
      </c>
      <c r="F661" s="169"/>
      <c r="G661" s="168" t="s">
        <v>868</v>
      </c>
      <c r="H661" s="170"/>
      <c r="I661" s="170"/>
      <c r="J661" s="170"/>
      <c r="K661" s="170"/>
      <c r="L661" s="170"/>
      <c r="M661" s="171"/>
    </row>
    <row r="662" spans="1:15" x14ac:dyDescent="0.25">
      <c r="A662" s="172">
        <v>35</v>
      </c>
      <c r="B662" s="172" t="s">
        <v>995</v>
      </c>
      <c r="C662" s="173">
        <v>560</v>
      </c>
      <c r="D662" s="173">
        <v>0</v>
      </c>
      <c r="E662" s="174"/>
      <c r="F662" s="175"/>
      <c r="G662" s="176"/>
      <c r="H662" s="174"/>
      <c r="I662" s="174"/>
      <c r="J662" s="174"/>
      <c r="K662" s="174"/>
      <c r="L662" s="174"/>
      <c r="M662" s="175"/>
      <c r="O662">
        <v>0</v>
      </c>
    </row>
    <row r="663" spans="1:15" x14ac:dyDescent="0.25">
      <c r="A663" s="177"/>
      <c r="B663" s="177"/>
      <c r="C663" s="173">
        <v>561</v>
      </c>
      <c r="D663" s="173">
        <v>1</v>
      </c>
      <c r="E663" s="174"/>
      <c r="F663" s="175"/>
      <c r="G663" s="176"/>
      <c r="H663" s="174"/>
      <c r="I663" s="174"/>
      <c r="J663" s="174"/>
      <c r="K663" s="174"/>
      <c r="L663" s="174"/>
      <c r="M663" s="175"/>
      <c r="O663">
        <v>0</v>
      </c>
    </row>
    <row r="664" spans="1:15" x14ac:dyDescent="0.25">
      <c r="A664" s="178"/>
      <c r="B664" s="177"/>
      <c r="C664" s="173">
        <v>562</v>
      </c>
      <c r="D664" s="173">
        <v>2</v>
      </c>
      <c r="E664" s="174"/>
      <c r="F664" s="175"/>
      <c r="G664" s="176"/>
      <c r="H664" s="174"/>
      <c r="I664" s="174"/>
      <c r="J664" s="174"/>
      <c r="K664" s="174"/>
      <c r="L664" s="174"/>
      <c r="M664" s="175"/>
      <c r="O664">
        <v>0</v>
      </c>
    </row>
    <row r="665" spans="1:15" x14ac:dyDescent="0.25">
      <c r="A665" s="177"/>
      <c r="B665" s="177"/>
      <c r="C665" s="173">
        <v>563</v>
      </c>
      <c r="D665" s="173">
        <v>3</v>
      </c>
      <c r="E665" s="174"/>
      <c r="F665" s="175"/>
      <c r="G665" s="176"/>
      <c r="H665" s="174"/>
      <c r="I665" s="174"/>
      <c r="J665" s="174"/>
      <c r="K665" s="174"/>
      <c r="L665" s="174"/>
      <c r="M665" s="175"/>
      <c r="O665">
        <v>0</v>
      </c>
    </row>
    <row r="666" spans="1:15" x14ac:dyDescent="0.25">
      <c r="A666" s="177"/>
      <c r="B666" s="177"/>
      <c r="C666" s="173">
        <v>564</v>
      </c>
      <c r="D666" s="173">
        <v>4</v>
      </c>
      <c r="E666" s="174"/>
      <c r="F666" s="175"/>
      <c r="G666" s="176"/>
      <c r="H666" s="174"/>
      <c r="I666" s="174"/>
      <c r="J666" s="174"/>
      <c r="K666" s="174"/>
      <c r="L666" s="174"/>
      <c r="M666" s="175"/>
      <c r="O666">
        <v>0</v>
      </c>
    </row>
    <row r="667" spans="1:15" x14ac:dyDescent="0.25">
      <c r="A667" s="177"/>
      <c r="B667" s="177"/>
      <c r="C667" s="173">
        <v>565</v>
      </c>
      <c r="D667" s="173">
        <v>5</v>
      </c>
      <c r="E667" s="174"/>
      <c r="F667" s="175"/>
      <c r="G667" s="176"/>
      <c r="H667" s="174"/>
      <c r="I667" s="174"/>
      <c r="J667" s="174"/>
      <c r="K667" s="174"/>
      <c r="L667" s="174"/>
      <c r="M667" s="175"/>
      <c r="O667">
        <v>0</v>
      </c>
    </row>
    <row r="668" spans="1:15" x14ac:dyDescent="0.25">
      <c r="A668" s="177"/>
      <c r="B668" s="177"/>
      <c r="C668" s="173">
        <v>566</v>
      </c>
      <c r="D668" s="173">
        <v>6</v>
      </c>
      <c r="E668" s="174"/>
      <c r="F668" s="175"/>
      <c r="G668" s="176"/>
      <c r="H668" s="174"/>
      <c r="I668" s="174"/>
      <c r="J668" s="174"/>
      <c r="K668" s="174"/>
      <c r="L668" s="174"/>
      <c r="M668" s="175"/>
      <c r="O668">
        <v>0</v>
      </c>
    </row>
    <row r="669" spans="1:15" x14ac:dyDescent="0.25">
      <c r="A669" s="177"/>
      <c r="B669" s="177"/>
      <c r="C669" s="173">
        <v>567</v>
      </c>
      <c r="D669" s="173">
        <v>7</v>
      </c>
      <c r="E669" s="174"/>
      <c r="F669" s="175"/>
      <c r="G669" s="176"/>
      <c r="H669" s="174"/>
      <c r="I669" s="174"/>
      <c r="J669" s="174"/>
      <c r="K669" s="174"/>
      <c r="L669" s="174"/>
      <c r="M669" s="175"/>
      <c r="O669">
        <v>0</v>
      </c>
    </row>
    <row r="670" spans="1:15" x14ac:dyDescent="0.25">
      <c r="A670" s="177"/>
      <c r="B670" s="177"/>
      <c r="C670" s="173">
        <v>568</v>
      </c>
      <c r="D670" s="173">
        <v>8</v>
      </c>
      <c r="E670" s="174"/>
      <c r="F670" s="175"/>
      <c r="G670" s="176"/>
      <c r="H670" s="174"/>
      <c r="I670" s="174"/>
      <c r="J670" s="174"/>
      <c r="K670" s="174"/>
      <c r="L670" s="174"/>
      <c r="M670" s="175"/>
      <c r="O670">
        <v>0</v>
      </c>
    </row>
    <row r="671" spans="1:15" x14ac:dyDescent="0.25">
      <c r="A671" s="177"/>
      <c r="B671" s="177"/>
      <c r="C671" s="173">
        <v>569</v>
      </c>
      <c r="D671" s="173">
        <v>9</v>
      </c>
      <c r="E671" s="174"/>
      <c r="F671" s="175"/>
      <c r="G671" s="176"/>
      <c r="H671" s="174"/>
      <c r="I671" s="174"/>
      <c r="J671" s="174"/>
      <c r="K671" s="174"/>
      <c r="L671" s="174"/>
      <c r="M671" s="175"/>
      <c r="O671">
        <v>0</v>
      </c>
    </row>
    <row r="672" spans="1:15" x14ac:dyDescent="0.25">
      <c r="A672" s="177"/>
      <c r="B672" s="177"/>
      <c r="C672" s="173">
        <v>570</v>
      </c>
      <c r="D672" s="173">
        <v>10</v>
      </c>
      <c r="E672" s="174"/>
      <c r="F672" s="175"/>
      <c r="G672" s="176"/>
      <c r="H672" s="174"/>
      <c r="I672" s="174"/>
      <c r="J672" s="174"/>
      <c r="K672" s="174"/>
      <c r="L672" s="174"/>
      <c r="M672" s="175"/>
      <c r="O672">
        <v>0</v>
      </c>
    </row>
    <row r="673" spans="1:15" x14ac:dyDescent="0.25">
      <c r="A673" s="177"/>
      <c r="B673" s="177"/>
      <c r="C673" s="173">
        <v>571</v>
      </c>
      <c r="D673" s="173">
        <v>11</v>
      </c>
      <c r="E673" s="174"/>
      <c r="F673" s="175"/>
      <c r="G673" s="176"/>
      <c r="H673" s="174"/>
      <c r="I673" s="174"/>
      <c r="J673" s="174"/>
      <c r="K673" s="174"/>
      <c r="L673" s="174"/>
      <c r="M673" s="175"/>
      <c r="O673">
        <v>0</v>
      </c>
    </row>
    <row r="674" spans="1:15" x14ac:dyDescent="0.25">
      <c r="A674" s="177"/>
      <c r="B674" s="177"/>
      <c r="C674" s="173">
        <v>572</v>
      </c>
      <c r="D674" s="173">
        <v>12</v>
      </c>
      <c r="E674" s="174"/>
      <c r="F674" s="175"/>
      <c r="G674" s="176"/>
      <c r="H674" s="174"/>
      <c r="I674" s="174"/>
      <c r="J674" s="174"/>
      <c r="K674" s="174"/>
      <c r="L674" s="174"/>
      <c r="M674" s="175"/>
      <c r="O674">
        <v>0</v>
      </c>
    </row>
    <row r="675" spans="1:15" x14ac:dyDescent="0.25">
      <c r="A675" s="177"/>
      <c r="B675" s="177"/>
      <c r="C675" s="173">
        <v>573</v>
      </c>
      <c r="D675" s="173">
        <v>13</v>
      </c>
      <c r="E675" s="174"/>
      <c r="F675" s="175"/>
      <c r="G675" s="176"/>
      <c r="H675" s="174"/>
      <c r="I675" s="174"/>
      <c r="J675" s="174"/>
      <c r="K675" s="174"/>
      <c r="L675" s="174"/>
      <c r="M675" s="175"/>
      <c r="O675">
        <v>0</v>
      </c>
    </row>
    <row r="676" spans="1:15" x14ac:dyDescent="0.25">
      <c r="A676" s="177"/>
      <c r="B676" s="177"/>
      <c r="C676" s="173">
        <v>574</v>
      </c>
      <c r="D676" s="173">
        <v>14</v>
      </c>
      <c r="E676" s="174"/>
      <c r="F676" s="175"/>
      <c r="G676" s="176"/>
      <c r="H676" s="174"/>
      <c r="I676" s="174"/>
      <c r="J676" s="174"/>
      <c r="K676" s="174"/>
      <c r="L676" s="174"/>
      <c r="M676" s="175"/>
      <c r="O676">
        <v>0</v>
      </c>
    </row>
    <row r="677" spans="1:15" x14ac:dyDescent="0.25">
      <c r="A677" s="179"/>
      <c r="B677" s="179"/>
      <c r="C677" s="173">
        <v>575</v>
      </c>
      <c r="D677" s="173">
        <v>15</v>
      </c>
      <c r="E677" s="174"/>
      <c r="F677" s="175"/>
      <c r="G677" s="176"/>
      <c r="H677" s="174"/>
      <c r="I677" s="174"/>
      <c r="J677" s="174"/>
      <c r="K677" s="174"/>
      <c r="L677" s="174"/>
      <c r="M677" s="175"/>
      <c r="O677">
        <v>0</v>
      </c>
    </row>
    <row r="680" spans="1:15" x14ac:dyDescent="0.25">
      <c r="N680" t="s">
        <v>1013</v>
      </c>
      <c r="O680" t="e">
        <v>#REF!</v>
      </c>
    </row>
  </sheetData>
  <mergeCells count="14">
    <mergeCell ref="E268:F268"/>
    <mergeCell ref="E269:F269"/>
    <mergeCell ref="A7:B9"/>
    <mergeCell ref="K74:K75"/>
    <mergeCell ref="K77:K78"/>
    <mergeCell ref="E227:F227"/>
    <mergeCell ref="E230:F230"/>
    <mergeCell ref="E231:F231"/>
    <mergeCell ref="E232:F232"/>
    <mergeCell ref="E233:F233"/>
    <mergeCell ref="E234:F234"/>
    <mergeCell ref="E235:F235"/>
    <mergeCell ref="E236:F236"/>
    <mergeCell ref="E237:F237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54FE-48B0-4991-9B3C-73F1A6D818E7}">
  <sheetPr codeName="Tabelle14">
    <tabColor rgb="FFFFE100"/>
  </sheetPr>
  <dimension ref="A1:BH780"/>
  <sheetViews>
    <sheetView zoomScaleNormal="100" workbookViewId="0">
      <pane ySplit="1" topLeftCell="A2" activePane="bottomLeft" state="frozen"/>
      <selection activeCell="C63" sqref="C63"/>
      <selection pane="bottomLeft" activeCell="D6" sqref="D6"/>
    </sheetView>
  </sheetViews>
  <sheetFormatPr baseColWidth="10" defaultRowHeight="15" x14ac:dyDescent="0.25"/>
  <cols>
    <col min="1" max="3" width="2.7109375" style="41" customWidth="1"/>
    <col min="4" max="4" width="34.85546875" style="41" customWidth="1"/>
    <col min="5" max="5" width="65" bestFit="1" customWidth="1"/>
    <col min="6" max="6" width="91.7109375" bestFit="1" customWidth="1"/>
    <col min="7" max="7" width="12.28515625" style="62" customWidth="1"/>
    <col min="8" max="12" width="9.42578125" style="62" bestFit="1" customWidth="1"/>
    <col min="13" max="13" width="10.5703125" style="71" bestFit="1" customWidth="1"/>
    <col min="14" max="14" width="3.85546875" style="59" customWidth="1"/>
    <col min="15" max="15" width="12.85546875" style="65" bestFit="1" customWidth="1"/>
    <col min="16" max="16" width="4.7109375" bestFit="1" customWidth="1"/>
    <col min="17" max="17" width="8.85546875" style="20" bestFit="1" customWidth="1"/>
    <col min="18" max="18" width="7.140625" bestFit="1" customWidth="1"/>
    <col min="19" max="19" width="18.5703125" style="70" bestFit="1" customWidth="1"/>
  </cols>
  <sheetData>
    <row r="1" spans="1:15" x14ac:dyDescent="0.25">
      <c r="A1" s="39"/>
      <c r="B1" s="39"/>
      <c r="C1" s="39"/>
      <c r="D1" s="38"/>
      <c r="E1" s="38"/>
      <c r="F1" s="38"/>
      <c r="O1" s="63"/>
    </row>
    <row r="2" spans="1:15" x14ac:dyDescent="0.25">
      <c r="A2" s="40"/>
      <c r="B2" s="40"/>
      <c r="C2" s="40"/>
      <c r="D2" s="23"/>
      <c r="E2" s="23"/>
      <c r="F2" s="23"/>
      <c r="O2" s="64"/>
    </row>
    <row r="3" spans="1:15" x14ac:dyDescent="0.25">
      <c r="A3" s="40"/>
      <c r="B3" s="40"/>
      <c r="C3" s="40"/>
      <c r="D3" s="23"/>
      <c r="E3" s="23"/>
      <c r="F3" s="23"/>
      <c r="O3" s="64"/>
    </row>
    <row r="4" spans="1:15" x14ac:dyDescent="0.25">
      <c r="A4" s="40"/>
      <c r="B4" s="40"/>
      <c r="C4" s="40"/>
      <c r="D4" s="23"/>
      <c r="E4" s="23"/>
      <c r="F4" s="23"/>
      <c r="O4" s="64"/>
    </row>
    <row r="5" spans="1:15" x14ac:dyDescent="0.25">
      <c r="A5" s="40"/>
      <c r="B5" s="40"/>
      <c r="C5" s="40"/>
      <c r="D5" s="23"/>
      <c r="E5" s="23"/>
      <c r="F5" s="23"/>
      <c r="O5" s="64"/>
    </row>
    <row r="6" spans="1:15" x14ac:dyDescent="0.25">
      <c r="A6" s="40"/>
      <c r="B6" s="40"/>
      <c r="C6" s="40"/>
      <c r="D6" s="23"/>
      <c r="E6" s="23"/>
      <c r="F6" s="23"/>
      <c r="O6" s="64"/>
    </row>
    <row r="7" spans="1:15" x14ac:dyDescent="0.25">
      <c r="A7" s="40"/>
      <c r="B7" s="40"/>
      <c r="C7" s="40"/>
      <c r="D7" s="23"/>
      <c r="E7" s="23"/>
      <c r="F7" s="23"/>
      <c r="O7" s="64"/>
    </row>
    <row r="8" spans="1:15" x14ac:dyDescent="0.25">
      <c r="A8" s="40"/>
      <c r="B8" s="40"/>
      <c r="C8" s="40"/>
      <c r="D8" s="23"/>
      <c r="E8" s="23"/>
      <c r="F8" s="23"/>
      <c r="O8" s="64"/>
    </row>
    <row r="9" spans="1:15" x14ac:dyDescent="0.25">
      <c r="A9" s="40"/>
      <c r="B9" s="40"/>
      <c r="C9" s="40"/>
      <c r="D9" s="23"/>
      <c r="E9" s="23"/>
      <c r="F9" s="23"/>
      <c r="O9" s="64"/>
    </row>
    <row r="10" spans="1:15" x14ac:dyDescent="0.25">
      <c r="A10" s="40"/>
      <c r="B10" s="40"/>
      <c r="C10" s="40"/>
      <c r="D10" s="23"/>
      <c r="E10" s="23"/>
      <c r="F10" s="23"/>
      <c r="O10" s="64"/>
    </row>
    <row r="11" spans="1:15" x14ac:dyDescent="0.25">
      <c r="A11" s="40"/>
      <c r="B11" s="40"/>
      <c r="C11" s="40"/>
      <c r="D11" s="23"/>
      <c r="E11" s="23"/>
      <c r="F11" s="23"/>
      <c r="O11" s="64"/>
    </row>
    <row r="12" spans="1:15" x14ac:dyDescent="0.25">
      <c r="A12" s="40"/>
      <c r="B12" s="40"/>
      <c r="C12" s="40"/>
      <c r="D12" s="23"/>
      <c r="E12" s="23"/>
      <c r="F12" s="23"/>
      <c r="O12" s="64"/>
    </row>
    <row r="13" spans="1:15" x14ac:dyDescent="0.25">
      <c r="A13" s="40"/>
      <c r="B13" s="40"/>
      <c r="C13" s="40"/>
      <c r="D13" s="23"/>
      <c r="E13" s="23"/>
      <c r="F13" s="23"/>
      <c r="O13" s="64"/>
    </row>
    <row r="14" spans="1:15" x14ac:dyDescent="0.25">
      <c r="A14" s="40"/>
      <c r="B14" s="40"/>
      <c r="C14" s="40"/>
      <c r="D14" s="23"/>
      <c r="E14" s="23"/>
      <c r="F14" s="23"/>
      <c r="O14" s="64"/>
    </row>
    <row r="15" spans="1:15" x14ac:dyDescent="0.25">
      <c r="A15" s="40"/>
      <c r="B15" s="40"/>
      <c r="C15" s="40"/>
      <c r="D15" s="23"/>
      <c r="E15" s="23"/>
      <c r="F15" s="23"/>
      <c r="O15" s="64"/>
    </row>
    <row r="16" spans="1:15" x14ac:dyDescent="0.25">
      <c r="A16" s="40"/>
      <c r="B16" s="40"/>
      <c r="C16" s="40"/>
      <c r="D16" s="23"/>
      <c r="E16" s="23"/>
      <c r="F16" s="23"/>
      <c r="O16" s="64"/>
    </row>
    <row r="17" spans="1:15" x14ac:dyDescent="0.25">
      <c r="A17" s="40"/>
      <c r="B17" s="40"/>
      <c r="C17" s="40"/>
      <c r="D17" s="23"/>
      <c r="E17" s="23"/>
      <c r="F17" s="23"/>
      <c r="O17" s="64"/>
    </row>
    <row r="18" spans="1:15" x14ac:dyDescent="0.25">
      <c r="A18" s="40"/>
      <c r="B18" s="40"/>
      <c r="C18" s="40"/>
      <c r="D18" s="23"/>
      <c r="E18" s="23"/>
      <c r="F18" s="23"/>
      <c r="O18" s="64"/>
    </row>
    <row r="19" spans="1:15" x14ac:dyDescent="0.25">
      <c r="A19" s="40"/>
      <c r="B19" s="40"/>
      <c r="C19" s="40"/>
      <c r="D19" s="23"/>
      <c r="E19" s="23"/>
      <c r="F19" s="23"/>
      <c r="O19" s="64"/>
    </row>
    <row r="20" spans="1:15" x14ac:dyDescent="0.25">
      <c r="A20" s="40"/>
      <c r="B20" s="40"/>
      <c r="C20" s="40"/>
      <c r="D20" s="23"/>
      <c r="E20" s="23"/>
      <c r="F20" s="23"/>
      <c r="O20" s="64"/>
    </row>
    <row r="21" spans="1:15" x14ac:dyDescent="0.25">
      <c r="A21" s="40"/>
      <c r="B21" s="40"/>
      <c r="C21" s="40"/>
      <c r="D21" s="23"/>
      <c r="E21" s="23"/>
      <c r="F21" s="23"/>
      <c r="O21" s="64"/>
    </row>
    <row r="22" spans="1:15" x14ac:dyDescent="0.25">
      <c r="A22" s="40"/>
      <c r="B22" s="40"/>
      <c r="C22" s="40"/>
      <c r="D22" s="23"/>
      <c r="E22" s="23"/>
      <c r="F22" s="23"/>
      <c r="O22" s="64"/>
    </row>
    <row r="23" spans="1:15" x14ac:dyDescent="0.25">
      <c r="A23" s="40"/>
      <c r="B23" s="40"/>
      <c r="C23" s="40"/>
      <c r="D23" s="23"/>
      <c r="E23" s="23"/>
      <c r="F23" s="23"/>
      <c r="O23" s="64"/>
    </row>
    <row r="24" spans="1:15" x14ac:dyDescent="0.25">
      <c r="A24" s="40"/>
      <c r="B24" s="40"/>
      <c r="C24" s="40"/>
      <c r="D24" s="23"/>
      <c r="E24" s="23"/>
      <c r="F24" s="23"/>
      <c r="O24" s="64"/>
    </row>
    <row r="25" spans="1:15" x14ac:dyDescent="0.25">
      <c r="A25" s="40"/>
      <c r="B25" s="40"/>
      <c r="C25" s="40"/>
      <c r="D25" s="23"/>
      <c r="E25" s="23"/>
      <c r="F25" s="23"/>
      <c r="O25" s="64"/>
    </row>
    <row r="26" spans="1:15" x14ac:dyDescent="0.25">
      <c r="A26" s="40"/>
      <c r="B26" s="40"/>
      <c r="C26" s="40"/>
      <c r="D26" s="23"/>
      <c r="E26" s="23"/>
      <c r="F26" s="23"/>
      <c r="O26" s="64"/>
    </row>
    <row r="27" spans="1:15" x14ac:dyDescent="0.25">
      <c r="A27" s="40"/>
      <c r="B27" s="40"/>
      <c r="C27" s="40"/>
      <c r="D27" s="23"/>
      <c r="E27" s="23"/>
      <c r="F27" s="23"/>
      <c r="O27" s="64"/>
    </row>
    <row r="28" spans="1:15" x14ac:dyDescent="0.25">
      <c r="A28" s="40"/>
      <c r="B28" s="40"/>
      <c r="C28" s="40"/>
      <c r="D28" s="23"/>
      <c r="E28" s="23"/>
      <c r="F28" s="23"/>
      <c r="O28" s="64"/>
    </row>
    <row r="29" spans="1:15" x14ac:dyDescent="0.25">
      <c r="A29" s="40"/>
      <c r="B29" s="40"/>
      <c r="C29" s="40"/>
      <c r="D29" s="23"/>
      <c r="E29" s="23"/>
      <c r="F29" s="23"/>
      <c r="O29" s="64"/>
    </row>
    <row r="30" spans="1:15" x14ac:dyDescent="0.25">
      <c r="A30" s="40"/>
      <c r="B30" s="40"/>
      <c r="C30" s="40"/>
      <c r="D30" s="23"/>
      <c r="E30" s="23"/>
      <c r="F30" s="23"/>
      <c r="O30" s="64"/>
    </row>
    <row r="31" spans="1:15" x14ac:dyDescent="0.25">
      <c r="A31" s="40"/>
      <c r="B31" s="40"/>
      <c r="C31" s="40"/>
      <c r="D31" s="23"/>
      <c r="E31" s="23"/>
      <c r="F31" s="23"/>
      <c r="O31" s="64"/>
    </row>
    <row r="32" spans="1:15" x14ac:dyDescent="0.25">
      <c r="A32" s="40"/>
      <c r="B32" s="40"/>
      <c r="C32" s="40"/>
      <c r="D32" s="23"/>
      <c r="E32" s="23"/>
      <c r="F32" s="23"/>
      <c r="O32" s="64"/>
    </row>
    <row r="33" spans="1:60" x14ac:dyDescent="0.25">
      <c r="A33" s="40"/>
      <c r="B33" s="40"/>
      <c r="C33" s="40"/>
      <c r="D33" s="23"/>
      <c r="E33" s="23"/>
      <c r="F33" s="23"/>
      <c r="O33" s="64"/>
    </row>
    <row r="34" spans="1:60" x14ac:dyDescent="0.25">
      <c r="A34" s="40"/>
      <c r="B34" s="40"/>
      <c r="C34" s="40"/>
      <c r="D34" s="23"/>
      <c r="E34" s="23"/>
      <c r="F34" s="23"/>
      <c r="O34" s="64"/>
    </row>
    <row r="35" spans="1:60" x14ac:dyDescent="0.25">
      <c r="A35" s="40"/>
      <c r="B35" s="40"/>
      <c r="C35" s="40"/>
      <c r="D35" s="23"/>
      <c r="E35" s="23"/>
      <c r="F35" s="23"/>
      <c r="O35" s="64"/>
    </row>
    <row r="36" spans="1:60" x14ac:dyDescent="0.25">
      <c r="A36" s="40"/>
      <c r="B36" s="40"/>
      <c r="C36" s="40"/>
      <c r="D36" s="23"/>
      <c r="E36" s="23"/>
      <c r="F36" s="23"/>
      <c r="O36" s="64"/>
    </row>
    <row r="37" spans="1:60" x14ac:dyDescent="0.25">
      <c r="A37" s="40"/>
      <c r="B37" s="40"/>
      <c r="C37" s="40"/>
      <c r="D37" s="23"/>
      <c r="E37" s="23"/>
      <c r="F37" s="23"/>
      <c r="O37" s="64"/>
    </row>
    <row r="38" spans="1:60" x14ac:dyDescent="0.25">
      <c r="A38" s="40"/>
      <c r="B38" s="40"/>
      <c r="C38" s="40"/>
      <c r="D38" s="23"/>
      <c r="E38" s="23"/>
      <c r="F38" s="23"/>
      <c r="O38" s="64"/>
    </row>
    <row r="39" spans="1:60" x14ac:dyDescent="0.25">
      <c r="A39" s="40"/>
      <c r="B39" s="40"/>
      <c r="C39" s="40"/>
      <c r="D39" s="23"/>
      <c r="E39" s="23"/>
      <c r="F39" s="23"/>
      <c r="O39" s="64"/>
    </row>
    <row r="40" spans="1:60" x14ac:dyDescent="0.25">
      <c r="A40" s="40"/>
      <c r="B40" s="40"/>
      <c r="C40" s="40"/>
      <c r="D40" s="23"/>
      <c r="E40" s="23"/>
      <c r="F40" s="23"/>
      <c r="O40" s="64"/>
    </row>
    <row r="41" spans="1:60" x14ac:dyDescent="0.25">
      <c r="A41" s="40"/>
      <c r="B41" s="40"/>
      <c r="C41" s="40"/>
      <c r="D41" s="23"/>
      <c r="E41" s="23"/>
      <c r="F41" s="23"/>
      <c r="O41" s="64"/>
    </row>
    <row r="42" spans="1:60" x14ac:dyDescent="0.25">
      <c r="A42" s="40"/>
      <c r="B42" s="40"/>
      <c r="C42" s="40"/>
      <c r="D42" s="23"/>
      <c r="E42" s="23"/>
      <c r="F42" s="23"/>
      <c r="O42" s="64"/>
    </row>
    <row r="43" spans="1:60" x14ac:dyDescent="0.25">
      <c r="A43" s="40"/>
      <c r="B43" s="40"/>
      <c r="C43" s="40"/>
      <c r="D43" s="23"/>
      <c r="E43" s="23"/>
      <c r="F43" s="23"/>
      <c r="O43" s="64"/>
    </row>
    <row r="44" spans="1:60" x14ac:dyDescent="0.25">
      <c r="A44" s="40"/>
      <c r="B44" s="40"/>
      <c r="C44" s="40"/>
      <c r="D44" s="23"/>
      <c r="E44" s="23"/>
      <c r="F44" s="23"/>
      <c r="O44" s="64"/>
    </row>
    <row r="45" spans="1:60" x14ac:dyDescent="0.25">
      <c r="A45" s="40"/>
      <c r="B45" s="40"/>
      <c r="C45" s="40"/>
      <c r="D45" s="23"/>
      <c r="E45" s="23"/>
      <c r="F45" s="23"/>
      <c r="O45" s="64"/>
    </row>
    <row r="46" spans="1:60" x14ac:dyDescent="0.25">
      <c r="A46" s="40"/>
      <c r="B46" s="40"/>
      <c r="C46" s="40"/>
      <c r="D46" s="23"/>
      <c r="E46" s="23"/>
      <c r="F46" s="23"/>
      <c r="O46" s="64"/>
      <c r="P46" s="5"/>
      <c r="Q46" s="58"/>
      <c r="R46" s="5"/>
    </row>
    <row r="47" spans="1:60" x14ac:dyDescent="0.25">
      <c r="A47" s="40"/>
      <c r="B47" s="40"/>
      <c r="C47" s="40"/>
      <c r="D47" s="23"/>
      <c r="E47" s="23"/>
      <c r="F47" s="23"/>
      <c r="O47" s="64"/>
      <c r="P47" s="5"/>
      <c r="Q47" s="58"/>
      <c r="R47" s="5"/>
    </row>
    <row r="48" spans="1:60" s="57" customFormat="1" x14ac:dyDescent="0.25">
      <c r="A48" s="40"/>
      <c r="B48" s="40"/>
      <c r="C48" s="40"/>
      <c r="D48" s="23"/>
      <c r="E48" s="23"/>
      <c r="F48" s="23"/>
      <c r="G48" s="62"/>
      <c r="H48" s="62"/>
      <c r="I48" s="62"/>
      <c r="J48" s="62"/>
      <c r="K48" s="62"/>
      <c r="L48" s="62"/>
      <c r="M48" s="71"/>
      <c r="N48" s="59"/>
      <c r="O48" s="64"/>
      <c r="P48" s="5"/>
      <c r="Q48" s="58"/>
      <c r="R48" s="5"/>
      <c r="S48" s="70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</row>
    <row r="49" spans="1:60" x14ac:dyDescent="0.25">
      <c r="A49" s="40"/>
      <c r="B49" s="40"/>
      <c r="C49" s="40"/>
      <c r="D49" s="23"/>
      <c r="E49" s="23"/>
      <c r="F49" s="23"/>
      <c r="O49" s="64"/>
      <c r="P49" s="5"/>
      <c r="Q49" s="58"/>
      <c r="R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</row>
    <row r="50" spans="1:60" x14ac:dyDescent="0.25">
      <c r="A50" s="40"/>
      <c r="B50" s="40"/>
      <c r="C50" s="40"/>
      <c r="D50" s="23"/>
      <c r="E50" s="23"/>
      <c r="F50" s="23"/>
      <c r="O50" s="64"/>
      <c r="P50" s="5"/>
      <c r="Q50" s="58"/>
      <c r="R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</row>
    <row r="51" spans="1:60" x14ac:dyDescent="0.25">
      <c r="A51" s="40"/>
      <c r="B51" s="40"/>
      <c r="C51" s="40"/>
      <c r="D51" s="23"/>
      <c r="E51" s="23"/>
      <c r="F51" s="23"/>
      <c r="O51" s="64"/>
      <c r="P51" s="5"/>
      <c r="Q51" s="58"/>
      <c r="R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</row>
    <row r="52" spans="1:60" x14ac:dyDescent="0.25">
      <c r="A52" s="40"/>
      <c r="B52" s="40"/>
      <c r="C52" s="40"/>
      <c r="D52" s="23"/>
      <c r="E52" s="23"/>
      <c r="F52" s="23"/>
      <c r="O52" s="64"/>
      <c r="P52" s="5"/>
      <c r="Q52" s="58"/>
      <c r="R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</row>
    <row r="53" spans="1:60" x14ac:dyDescent="0.25">
      <c r="A53" s="40"/>
      <c r="B53" s="40"/>
      <c r="C53" s="40"/>
      <c r="D53" s="23"/>
      <c r="E53" s="23"/>
      <c r="F53" s="23"/>
      <c r="O53" s="64"/>
      <c r="P53" s="5"/>
      <c r="Q53" s="58"/>
      <c r="R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</row>
    <row r="54" spans="1:60" x14ac:dyDescent="0.25">
      <c r="A54" s="40"/>
      <c r="B54" s="40"/>
      <c r="C54" s="40"/>
      <c r="D54" s="23"/>
      <c r="E54" s="23"/>
      <c r="F54" s="23"/>
      <c r="O54" s="64"/>
      <c r="P54" s="5"/>
      <c r="Q54" s="58"/>
      <c r="R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</row>
    <row r="55" spans="1:60" x14ac:dyDescent="0.25">
      <c r="A55" s="40"/>
      <c r="B55" s="40"/>
      <c r="C55" s="40"/>
      <c r="D55" s="23"/>
      <c r="E55" s="23"/>
      <c r="F55" s="23"/>
      <c r="O55" s="64"/>
      <c r="P55" s="5"/>
      <c r="Q55" s="58"/>
      <c r="R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</row>
    <row r="56" spans="1:60" x14ac:dyDescent="0.25">
      <c r="A56" s="40"/>
      <c r="B56" s="40"/>
      <c r="C56" s="40"/>
      <c r="D56" s="23"/>
      <c r="E56" s="23"/>
      <c r="F56" s="23"/>
      <c r="O56" s="64"/>
      <c r="P56" s="5"/>
      <c r="Q56" s="58"/>
      <c r="R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</row>
    <row r="57" spans="1:60" x14ac:dyDescent="0.25">
      <c r="A57" s="40"/>
      <c r="B57" s="40"/>
      <c r="C57" s="40"/>
      <c r="D57" s="23"/>
      <c r="E57" s="23"/>
      <c r="F57" s="23"/>
      <c r="O57" s="64"/>
      <c r="P57" s="5"/>
      <c r="Q57" s="58"/>
      <c r="R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</row>
    <row r="58" spans="1:60" x14ac:dyDescent="0.25">
      <c r="A58" s="40"/>
      <c r="B58" s="40"/>
      <c r="C58" s="40"/>
      <c r="D58" s="23"/>
      <c r="E58" s="23"/>
      <c r="F58" s="23"/>
      <c r="O58" s="64"/>
      <c r="P58" s="5"/>
      <c r="Q58" s="58"/>
      <c r="R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</row>
    <row r="59" spans="1:60" x14ac:dyDescent="0.25">
      <c r="A59" s="40"/>
      <c r="B59" s="40"/>
      <c r="C59" s="40"/>
      <c r="D59" s="23"/>
      <c r="E59" s="23"/>
      <c r="F59" s="23"/>
      <c r="O59" s="64"/>
      <c r="P59" s="5"/>
      <c r="Q59" s="58"/>
      <c r="R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</row>
    <row r="60" spans="1:60" x14ac:dyDescent="0.25">
      <c r="A60" s="40"/>
      <c r="B60" s="40"/>
      <c r="C60" s="40"/>
      <c r="D60" s="23"/>
      <c r="E60" s="23"/>
      <c r="F60" s="23"/>
      <c r="O60" s="64"/>
      <c r="P60" s="5"/>
      <c r="Q60" s="58"/>
      <c r="R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</row>
    <row r="61" spans="1:60" x14ac:dyDescent="0.25">
      <c r="A61" s="40"/>
      <c r="B61" s="40"/>
      <c r="C61" s="40"/>
      <c r="D61" s="23"/>
      <c r="E61" s="23"/>
      <c r="F61" s="23"/>
      <c r="O61" s="64"/>
      <c r="P61" s="5"/>
      <c r="Q61" s="58"/>
      <c r="R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</row>
    <row r="62" spans="1:60" x14ac:dyDescent="0.25">
      <c r="A62" s="40"/>
      <c r="B62" s="40"/>
      <c r="C62" s="40"/>
      <c r="D62" s="23"/>
      <c r="E62" s="23"/>
      <c r="F62" s="23"/>
      <c r="O62" s="64"/>
      <c r="P62" s="5"/>
      <c r="Q62" s="58"/>
      <c r="R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</row>
    <row r="63" spans="1:60" x14ac:dyDescent="0.25">
      <c r="A63" s="40"/>
      <c r="B63" s="40"/>
      <c r="C63" s="40"/>
      <c r="D63" s="23"/>
      <c r="E63" s="23"/>
      <c r="F63" s="23"/>
      <c r="O63" s="64"/>
      <c r="P63" s="5"/>
      <c r="Q63" s="58"/>
      <c r="R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</row>
    <row r="64" spans="1:60" x14ac:dyDescent="0.25">
      <c r="A64" s="40"/>
      <c r="B64" s="40"/>
      <c r="C64" s="40"/>
      <c r="D64" s="23"/>
      <c r="E64" s="23"/>
      <c r="F64" s="23"/>
      <c r="O64" s="64"/>
      <c r="P64" s="5"/>
      <c r="Q64" s="58"/>
      <c r="R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</row>
    <row r="65" spans="1:60" x14ac:dyDescent="0.25">
      <c r="A65" s="40"/>
      <c r="B65" s="40"/>
      <c r="C65" s="40"/>
      <c r="D65" s="23"/>
      <c r="E65" s="23"/>
      <c r="F65" s="23"/>
      <c r="O65" s="64"/>
      <c r="P65" s="5"/>
      <c r="Q65" s="58"/>
      <c r="R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</row>
    <row r="66" spans="1:60" x14ac:dyDescent="0.25">
      <c r="A66" s="40"/>
      <c r="B66" s="40"/>
      <c r="C66" s="40"/>
      <c r="D66" s="23"/>
      <c r="E66" s="23"/>
      <c r="F66" s="23"/>
      <c r="O66" s="64"/>
      <c r="P66" s="5"/>
      <c r="Q66" s="58"/>
      <c r="R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</row>
    <row r="67" spans="1:60" x14ac:dyDescent="0.25">
      <c r="A67" s="40"/>
      <c r="B67" s="40"/>
      <c r="C67" s="40"/>
      <c r="D67" s="23"/>
      <c r="E67" s="23"/>
      <c r="F67" s="23"/>
      <c r="O67" s="64"/>
      <c r="P67" s="5"/>
      <c r="Q67" s="58"/>
      <c r="R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</row>
    <row r="68" spans="1:60" x14ac:dyDescent="0.25">
      <c r="A68" s="40"/>
      <c r="B68" s="40"/>
      <c r="C68" s="40"/>
      <c r="D68" s="23"/>
      <c r="E68" s="23"/>
      <c r="F68" s="23"/>
      <c r="O68" s="64"/>
      <c r="P68" s="5"/>
      <c r="Q68" s="58"/>
      <c r="R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</row>
    <row r="69" spans="1:60" x14ac:dyDescent="0.25">
      <c r="A69" s="40"/>
      <c r="B69" s="40"/>
      <c r="C69" s="40"/>
      <c r="D69" s="23"/>
      <c r="E69" s="23"/>
      <c r="F69" s="23"/>
      <c r="O69" s="64"/>
      <c r="P69" s="5"/>
      <c r="Q69" s="58"/>
      <c r="R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</row>
    <row r="70" spans="1:60" x14ac:dyDescent="0.25">
      <c r="A70" s="40"/>
      <c r="B70" s="40"/>
      <c r="C70" s="40"/>
      <c r="D70" s="23"/>
      <c r="E70" s="23"/>
      <c r="F70" s="23"/>
      <c r="O70" s="64"/>
      <c r="P70" s="5"/>
      <c r="Q70" s="58"/>
      <c r="R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</row>
    <row r="71" spans="1:60" x14ac:dyDescent="0.25">
      <c r="A71" s="40"/>
      <c r="B71" s="40"/>
      <c r="C71" s="40"/>
      <c r="D71" s="23"/>
      <c r="E71" s="23"/>
      <c r="F71" s="23"/>
      <c r="O71" s="64"/>
      <c r="P71" s="5"/>
      <c r="Q71" s="58"/>
      <c r="R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</row>
    <row r="72" spans="1:60" x14ac:dyDescent="0.25">
      <c r="A72" s="40"/>
      <c r="B72" s="40"/>
      <c r="C72" s="40"/>
      <c r="D72" s="23"/>
      <c r="E72" s="23"/>
      <c r="F72" s="23"/>
      <c r="O72" s="64"/>
      <c r="P72" s="5"/>
      <c r="Q72" s="58"/>
      <c r="R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</row>
    <row r="73" spans="1:60" x14ac:dyDescent="0.25">
      <c r="A73" s="40"/>
      <c r="B73" s="40"/>
      <c r="C73" s="40"/>
      <c r="D73" s="23"/>
      <c r="E73" s="23"/>
      <c r="F73" s="23"/>
      <c r="O73" s="64"/>
      <c r="P73" s="5"/>
      <c r="Q73" s="58"/>
      <c r="R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</row>
    <row r="74" spans="1:60" x14ac:dyDescent="0.25">
      <c r="A74" s="40"/>
      <c r="B74" s="40"/>
      <c r="C74" s="40"/>
      <c r="D74" s="23"/>
      <c r="E74" s="23"/>
      <c r="F74" s="23"/>
      <c r="O74" s="64"/>
      <c r="P74" s="5"/>
      <c r="Q74" s="58"/>
      <c r="R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</row>
    <row r="75" spans="1:60" x14ac:dyDescent="0.25">
      <c r="A75" s="40"/>
      <c r="B75" s="40"/>
      <c r="C75" s="40"/>
      <c r="D75" s="23"/>
      <c r="E75" s="23"/>
      <c r="F75" s="23"/>
      <c r="O75" s="64"/>
      <c r="P75" s="5"/>
      <c r="Q75" s="58"/>
      <c r="R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</row>
    <row r="76" spans="1:60" x14ac:dyDescent="0.25">
      <c r="A76" s="40"/>
      <c r="B76" s="40"/>
      <c r="C76" s="40"/>
      <c r="D76" s="23"/>
      <c r="E76" s="23"/>
      <c r="F76" s="23"/>
      <c r="O76" s="64"/>
      <c r="P76" s="5"/>
      <c r="Q76" s="58"/>
      <c r="R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</row>
    <row r="77" spans="1:60" s="57" customFormat="1" x14ac:dyDescent="0.25">
      <c r="A77" s="40"/>
      <c r="B77" s="40"/>
      <c r="C77" s="40"/>
      <c r="D77" s="23"/>
      <c r="E77" s="23"/>
      <c r="F77" s="23"/>
      <c r="G77" s="62"/>
      <c r="H77" s="62"/>
      <c r="I77" s="62"/>
      <c r="J77" s="62"/>
      <c r="K77" s="62"/>
      <c r="L77" s="62"/>
      <c r="M77" s="71"/>
      <c r="N77" s="59"/>
      <c r="O77" s="64"/>
      <c r="P77" s="5"/>
      <c r="Q77" s="58"/>
      <c r="R77" s="5"/>
      <c r="S77" s="70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</row>
    <row r="78" spans="1:60" s="57" customFormat="1" x14ac:dyDescent="0.25">
      <c r="A78" s="40"/>
      <c r="B78" s="40"/>
      <c r="C78" s="40"/>
      <c r="D78" s="23"/>
      <c r="E78" s="23"/>
      <c r="F78" s="23"/>
      <c r="G78" s="62"/>
      <c r="H78" s="62"/>
      <c r="I78" s="62"/>
      <c r="J78" s="62"/>
      <c r="K78" s="62"/>
      <c r="L78" s="62"/>
      <c r="M78" s="71"/>
      <c r="N78" s="59"/>
      <c r="O78" s="64"/>
      <c r="P78" s="5"/>
      <c r="Q78" s="58"/>
      <c r="R78" s="5"/>
      <c r="S78" s="70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</row>
    <row r="79" spans="1:60" x14ac:dyDescent="0.25">
      <c r="A79" s="40"/>
      <c r="B79" s="40"/>
      <c r="C79" s="40"/>
      <c r="D79" s="23"/>
      <c r="E79" s="23"/>
      <c r="F79" s="23"/>
      <c r="O79" s="64"/>
      <c r="P79" s="5"/>
      <c r="Q79" s="58"/>
      <c r="R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</row>
    <row r="80" spans="1:60" x14ac:dyDescent="0.25">
      <c r="A80" s="40"/>
      <c r="B80" s="40"/>
      <c r="C80" s="40"/>
      <c r="D80" s="23"/>
      <c r="E80" s="23"/>
      <c r="F80" s="23"/>
      <c r="O80" s="64"/>
      <c r="P80" s="5"/>
      <c r="Q80" s="58"/>
      <c r="R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</row>
    <row r="81" spans="1:60" x14ac:dyDescent="0.25">
      <c r="A81" s="40"/>
      <c r="B81" s="40"/>
      <c r="C81" s="40"/>
      <c r="D81" s="23"/>
      <c r="E81" s="23"/>
      <c r="F81" s="23"/>
      <c r="O81" s="64"/>
      <c r="P81" s="5"/>
      <c r="Q81" s="58"/>
      <c r="R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</row>
    <row r="82" spans="1:60" x14ac:dyDescent="0.25">
      <c r="A82" s="40"/>
      <c r="B82" s="40"/>
      <c r="C82" s="40"/>
      <c r="D82" s="23"/>
      <c r="E82" s="23"/>
      <c r="F82" s="23"/>
      <c r="O82" s="64"/>
      <c r="P82" s="5"/>
      <c r="Q82" s="58"/>
      <c r="R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</row>
    <row r="83" spans="1:60" x14ac:dyDescent="0.25">
      <c r="A83" s="40"/>
      <c r="B83" s="40"/>
      <c r="C83" s="40"/>
      <c r="D83" s="23"/>
      <c r="E83" s="23"/>
      <c r="F83" s="23"/>
      <c r="O83" s="64"/>
      <c r="P83" s="5"/>
      <c r="Q83" s="58"/>
      <c r="R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</row>
    <row r="84" spans="1:60" s="57" customFormat="1" x14ac:dyDescent="0.25">
      <c r="A84" s="40"/>
      <c r="B84" s="40"/>
      <c r="C84" s="40"/>
      <c r="D84" s="23"/>
      <c r="E84" s="23"/>
      <c r="F84" s="23"/>
      <c r="G84" s="62"/>
      <c r="H84" s="62"/>
      <c r="I84" s="62"/>
      <c r="J84" s="62"/>
      <c r="K84" s="62"/>
      <c r="L84" s="62"/>
      <c r="M84" s="71"/>
      <c r="N84" s="59"/>
      <c r="O84" s="64"/>
      <c r="P84" s="5"/>
      <c r="Q84" s="58"/>
      <c r="R84" s="5"/>
      <c r="S84" s="70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</row>
    <row r="85" spans="1:60" x14ac:dyDescent="0.25">
      <c r="A85" s="40"/>
      <c r="B85" s="40"/>
      <c r="C85" s="40"/>
      <c r="D85" s="23"/>
      <c r="E85" s="23"/>
      <c r="F85" s="23"/>
      <c r="O85" s="64"/>
      <c r="P85" s="5"/>
      <c r="Q85" s="58"/>
      <c r="R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</row>
    <row r="86" spans="1:60" x14ac:dyDescent="0.25">
      <c r="A86" s="40"/>
      <c r="B86" s="40"/>
      <c r="C86" s="40"/>
      <c r="D86" s="23"/>
      <c r="E86" s="23"/>
      <c r="F86" s="23"/>
      <c r="O86" s="64"/>
      <c r="P86" s="5"/>
      <c r="Q86" s="58"/>
      <c r="R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</row>
    <row r="87" spans="1:60" x14ac:dyDescent="0.25">
      <c r="A87" s="40"/>
      <c r="B87" s="40"/>
      <c r="C87" s="40"/>
      <c r="D87" s="23"/>
      <c r="E87" s="23"/>
      <c r="F87" s="23"/>
      <c r="O87" s="64"/>
      <c r="P87" s="5"/>
      <c r="Q87" s="58"/>
      <c r="R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</row>
    <row r="88" spans="1:60" x14ac:dyDescent="0.25">
      <c r="A88" s="40"/>
      <c r="B88" s="40"/>
      <c r="C88" s="40"/>
      <c r="D88" s="23"/>
      <c r="E88" s="23"/>
      <c r="F88" s="23"/>
      <c r="O88" s="64"/>
      <c r="P88" s="5"/>
      <c r="Q88" s="58"/>
      <c r="R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</row>
    <row r="89" spans="1:60" x14ac:dyDescent="0.25">
      <c r="A89" s="40"/>
      <c r="B89" s="40"/>
      <c r="C89" s="40"/>
      <c r="D89" s="23"/>
      <c r="E89" s="23"/>
      <c r="F89" s="23"/>
      <c r="O89" s="64"/>
      <c r="P89" s="5"/>
      <c r="Q89" s="58"/>
      <c r="R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</row>
    <row r="90" spans="1:60" x14ac:dyDescent="0.25">
      <c r="A90" s="40"/>
      <c r="B90" s="40"/>
      <c r="C90" s="40"/>
      <c r="D90" s="23"/>
      <c r="E90" s="23"/>
      <c r="F90" s="23"/>
      <c r="O90" s="64"/>
      <c r="P90" s="5"/>
      <c r="Q90" s="58"/>
      <c r="R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</row>
    <row r="91" spans="1:60" x14ac:dyDescent="0.25">
      <c r="A91" s="40"/>
      <c r="B91" s="40"/>
      <c r="C91" s="40"/>
      <c r="D91" s="23"/>
      <c r="E91" s="23"/>
      <c r="F91" s="23"/>
      <c r="O91" s="64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</row>
    <row r="92" spans="1:60" x14ac:dyDescent="0.25">
      <c r="A92" s="40"/>
      <c r="B92" s="40"/>
      <c r="C92" s="40"/>
      <c r="D92" s="23"/>
      <c r="E92" s="23"/>
      <c r="F92" s="23"/>
      <c r="O92" s="64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</row>
    <row r="93" spans="1:60" x14ac:dyDescent="0.25">
      <c r="A93" s="40"/>
      <c r="B93" s="40"/>
      <c r="C93" s="40"/>
      <c r="D93" s="23"/>
      <c r="E93" s="23"/>
      <c r="F93" s="23"/>
      <c r="O93" s="64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</row>
    <row r="94" spans="1:60" x14ac:dyDescent="0.25">
      <c r="A94" s="40"/>
      <c r="B94" s="40"/>
      <c r="C94" s="40"/>
      <c r="D94" s="23"/>
      <c r="E94" s="23"/>
      <c r="F94" s="23"/>
      <c r="O94" s="64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</row>
    <row r="95" spans="1:60" x14ac:dyDescent="0.25">
      <c r="A95" s="40"/>
      <c r="B95" s="40"/>
      <c r="C95" s="40"/>
      <c r="D95" s="23"/>
      <c r="E95" s="23"/>
      <c r="F95" s="23"/>
      <c r="O95" s="64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</row>
    <row r="96" spans="1:60" x14ac:dyDescent="0.25">
      <c r="A96" s="40"/>
      <c r="B96" s="40"/>
      <c r="C96" s="40"/>
      <c r="D96" s="23"/>
      <c r="E96" s="23"/>
      <c r="F96" s="23"/>
      <c r="O96" s="64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</row>
    <row r="97" spans="1:60" x14ac:dyDescent="0.25">
      <c r="A97" s="40"/>
      <c r="B97" s="40"/>
      <c r="C97" s="40"/>
      <c r="D97" s="23"/>
      <c r="E97" s="23"/>
      <c r="F97" s="23"/>
      <c r="O97" s="64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</row>
    <row r="98" spans="1:60" x14ac:dyDescent="0.25">
      <c r="A98" s="40"/>
      <c r="B98" s="40"/>
      <c r="C98" s="40"/>
      <c r="D98" s="23"/>
      <c r="E98" s="23"/>
      <c r="F98" s="23"/>
      <c r="O98" s="64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</row>
    <row r="99" spans="1:60" x14ac:dyDescent="0.25">
      <c r="A99" s="40"/>
      <c r="B99" s="40"/>
      <c r="C99" s="40"/>
      <c r="D99" s="23"/>
      <c r="E99" s="23"/>
      <c r="F99" s="23"/>
      <c r="O99" s="64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1:60" x14ac:dyDescent="0.25">
      <c r="A100" s="40"/>
      <c r="B100" s="40"/>
      <c r="C100" s="40"/>
      <c r="D100" s="23"/>
      <c r="E100" s="23"/>
      <c r="F100" s="23"/>
      <c r="O100" s="64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</row>
    <row r="101" spans="1:60" x14ac:dyDescent="0.25">
      <c r="A101" s="40"/>
      <c r="B101" s="40"/>
      <c r="C101" s="40"/>
      <c r="D101" s="23"/>
      <c r="E101" s="23"/>
      <c r="F101" s="23"/>
      <c r="O101" s="64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</row>
    <row r="102" spans="1:60" x14ac:dyDescent="0.25">
      <c r="A102" s="40"/>
      <c r="B102" s="40"/>
      <c r="C102" s="40"/>
      <c r="D102" s="23"/>
      <c r="E102" s="23"/>
      <c r="F102" s="23"/>
      <c r="O102" s="64"/>
    </row>
    <row r="103" spans="1:60" x14ac:dyDescent="0.25">
      <c r="A103" s="40"/>
      <c r="B103" s="40"/>
      <c r="C103" s="40"/>
      <c r="D103" s="23"/>
      <c r="E103" s="23"/>
      <c r="F103" s="23"/>
      <c r="O103" s="64"/>
    </row>
    <row r="104" spans="1:60" x14ac:dyDescent="0.25">
      <c r="A104" s="40"/>
      <c r="B104" s="40"/>
      <c r="C104" s="40"/>
      <c r="D104" s="23"/>
      <c r="E104" s="23"/>
      <c r="F104" s="23"/>
      <c r="O104" s="64"/>
    </row>
    <row r="105" spans="1:60" x14ac:dyDescent="0.25">
      <c r="A105" s="40"/>
      <c r="B105" s="40"/>
      <c r="C105" s="40"/>
      <c r="D105" s="23"/>
      <c r="E105" s="23"/>
      <c r="F105" s="23"/>
      <c r="N105" s="61"/>
      <c r="O105" s="64"/>
      <c r="P105" s="55"/>
      <c r="Q105" s="56"/>
      <c r="R105" s="55"/>
    </row>
    <row r="106" spans="1:60" x14ac:dyDescent="0.25">
      <c r="A106" s="40"/>
      <c r="B106" s="40"/>
      <c r="C106" s="40"/>
      <c r="D106" s="23"/>
      <c r="E106" s="23"/>
      <c r="F106" s="23"/>
      <c r="O106" s="64"/>
    </row>
    <row r="107" spans="1:60" x14ac:dyDescent="0.25">
      <c r="A107" s="40"/>
      <c r="B107" s="40"/>
      <c r="C107" s="40"/>
      <c r="D107" s="23"/>
      <c r="E107" s="23"/>
      <c r="F107" s="23"/>
      <c r="O107" s="64"/>
    </row>
    <row r="108" spans="1:60" x14ac:dyDescent="0.25">
      <c r="A108" s="40"/>
      <c r="B108" s="40"/>
      <c r="C108" s="40"/>
      <c r="D108" s="23"/>
      <c r="E108" s="23"/>
      <c r="F108" s="23"/>
      <c r="O108" s="64"/>
    </row>
    <row r="109" spans="1:60" x14ac:dyDescent="0.25">
      <c r="A109" s="40"/>
      <c r="B109" s="40"/>
      <c r="C109" s="40"/>
      <c r="D109" s="23"/>
      <c r="E109" s="23"/>
      <c r="F109" s="23"/>
      <c r="O109" s="64"/>
    </row>
    <row r="110" spans="1:60" x14ac:dyDescent="0.25">
      <c r="A110" s="40"/>
      <c r="B110" s="40"/>
      <c r="C110" s="40"/>
      <c r="D110" s="23"/>
      <c r="E110" s="23"/>
      <c r="F110" s="23"/>
      <c r="O110" s="64"/>
    </row>
    <row r="111" spans="1:60" x14ac:dyDescent="0.25">
      <c r="A111" s="40"/>
      <c r="B111" s="40"/>
      <c r="C111" s="40"/>
      <c r="D111" s="23"/>
      <c r="E111" s="23"/>
      <c r="F111" s="23"/>
      <c r="O111" s="64"/>
    </row>
    <row r="112" spans="1:60" x14ac:dyDescent="0.25">
      <c r="A112" s="40"/>
      <c r="B112" s="40"/>
      <c r="C112" s="40"/>
      <c r="D112" s="23"/>
      <c r="E112" s="23"/>
      <c r="F112" s="23"/>
      <c r="O112" s="64"/>
    </row>
    <row r="113" spans="1:15" x14ac:dyDescent="0.25">
      <c r="A113" s="40"/>
      <c r="B113" s="40"/>
      <c r="C113" s="40"/>
      <c r="D113" s="23"/>
      <c r="E113" s="23"/>
      <c r="F113" s="23"/>
      <c r="O113" s="64"/>
    </row>
    <row r="114" spans="1:15" x14ac:dyDescent="0.25">
      <c r="A114" s="40"/>
      <c r="B114" s="40"/>
      <c r="C114" s="40"/>
      <c r="D114" s="23"/>
      <c r="E114" s="23"/>
      <c r="F114" s="23"/>
      <c r="O114" s="64"/>
    </row>
    <row r="115" spans="1:15" x14ac:dyDescent="0.25">
      <c r="A115" s="40"/>
      <c r="B115" s="40"/>
      <c r="C115" s="40"/>
      <c r="D115" s="23"/>
      <c r="E115" s="23"/>
      <c r="F115" s="23"/>
      <c r="O115" s="64"/>
    </row>
    <row r="116" spans="1:15" x14ac:dyDescent="0.25">
      <c r="A116" s="40"/>
      <c r="B116" s="40"/>
      <c r="C116" s="40"/>
      <c r="D116" s="23"/>
      <c r="E116" s="23"/>
      <c r="F116" s="23"/>
      <c r="O116" s="64"/>
    </row>
    <row r="117" spans="1:15" x14ac:dyDescent="0.25">
      <c r="A117" s="40"/>
      <c r="B117" s="40"/>
      <c r="C117" s="40"/>
      <c r="D117" s="23"/>
      <c r="E117" s="23"/>
      <c r="F117" s="23"/>
      <c r="O117" s="64"/>
    </row>
    <row r="118" spans="1:15" x14ac:dyDescent="0.25">
      <c r="A118" s="40"/>
      <c r="B118" s="40"/>
      <c r="C118" s="40"/>
      <c r="D118" s="23"/>
      <c r="E118" s="23"/>
      <c r="F118" s="23"/>
      <c r="O118" s="64"/>
    </row>
    <row r="119" spans="1:15" x14ac:dyDescent="0.25">
      <c r="A119" s="40"/>
      <c r="B119" s="40"/>
      <c r="C119" s="40"/>
      <c r="D119" s="23"/>
      <c r="E119" s="23"/>
      <c r="F119" s="23"/>
      <c r="O119" s="64"/>
    </row>
    <row r="120" spans="1:15" x14ac:dyDescent="0.25">
      <c r="D120" s="23"/>
      <c r="E120" s="23"/>
      <c r="F120" s="23"/>
      <c r="O120" s="64"/>
    </row>
    <row r="121" spans="1:15" x14ac:dyDescent="0.25">
      <c r="D121" s="23"/>
      <c r="E121" s="23"/>
      <c r="F121" s="23"/>
      <c r="O121" s="64"/>
    </row>
    <row r="122" spans="1:15" x14ac:dyDescent="0.25">
      <c r="D122" s="23"/>
      <c r="E122" s="23"/>
      <c r="F122" s="23"/>
      <c r="O122" s="64"/>
    </row>
    <row r="123" spans="1:15" x14ac:dyDescent="0.25">
      <c r="D123" s="23"/>
      <c r="E123" s="23"/>
      <c r="F123" s="23"/>
      <c r="O123" s="64"/>
    </row>
    <row r="124" spans="1:15" x14ac:dyDescent="0.25">
      <c r="D124" s="23"/>
      <c r="E124" s="23"/>
      <c r="F124" s="23"/>
      <c r="O124" s="64"/>
    </row>
    <row r="125" spans="1:15" x14ac:dyDescent="0.25">
      <c r="D125" s="23"/>
      <c r="E125" s="23"/>
      <c r="F125" s="23"/>
      <c r="O125" s="64"/>
    </row>
    <row r="126" spans="1:15" x14ac:dyDescent="0.25">
      <c r="D126" s="23"/>
      <c r="E126" s="23"/>
      <c r="F126" s="23"/>
      <c r="O126" s="64"/>
    </row>
    <row r="127" spans="1:15" x14ac:dyDescent="0.25">
      <c r="D127" s="23"/>
      <c r="E127" s="23"/>
      <c r="F127" s="23"/>
      <c r="O127" s="64"/>
    </row>
    <row r="128" spans="1:15" x14ac:dyDescent="0.25">
      <c r="D128" s="23"/>
      <c r="E128" s="23"/>
      <c r="F128" s="23"/>
      <c r="O128" s="64"/>
    </row>
    <row r="129" spans="4:15" x14ac:dyDescent="0.25">
      <c r="D129" s="23"/>
      <c r="E129" s="23"/>
      <c r="F129" s="23"/>
      <c r="O129" s="64"/>
    </row>
    <row r="130" spans="4:15" x14ac:dyDescent="0.25">
      <c r="D130" s="23"/>
      <c r="E130" s="23"/>
      <c r="F130" s="23"/>
      <c r="O130" s="64"/>
    </row>
    <row r="131" spans="4:15" x14ac:dyDescent="0.25">
      <c r="D131" s="23"/>
      <c r="E131" s="23"/>
      <c r="F131" s="23"/>
      <c r="O131" s="64"/>
    </row>
    <row r="132" spans="4:15" x14ac:dyDescent="0.25">
      <c r="D132" s="23"/>
      <c r="E132" s="23"/>
      <c r="F132" s="23"/>
      <c r="O132" s="64"/>
    </row>
    <row r="133" spans="4:15" x14ac:dyDescent="0.25">
      <c r="D133" s="23"/>
      <c r="E133" s="23"/>
      <c r="F133" s="23"/>
      <c r="O133" s="64"/>
    </row>
    <row r="134" spans="4:15" x14ac:dyDescent="0.25">
      <c r="D134" s="23"/>
      <c r="E134" s="23"/>
      <c r="F134" s="23"/>
      <c r="O134" s="64"/>
    </row>
    <row r="135" spans="4:15" x14ac:dyDescent="0.25">
      <c r="D135" s="23"/>
      <c r="E135" s="23"/>
      <c r="F135" s="23"/>
      <c r="O135" s="64"/>
    </row>
    <row r="136" spans="4:15" x14ac:dyDescent="0.25">
      <c r="D136" s="23"/>
      <c r="E136" s="23"/>
      <c r="F136" s="23"/>
      <c r="O136" s="64"/>
    </row>
    <row r="137" spans="4:15" x14ac:dyDescent="0.25">
      <c r="D137" s="23"/>
      <c r="E137" s="23"/>
      <c r="F137" s="23"/>
      <c r="O137" s="64"/>
    </row>
    <row r="138" spans="4:15" x14ac:dyDescent="0.25">
      <c r="D138" s="23"/>
      <c r="E138" s="23"/>
      <c r="F138" s="23"/>
      <c r="O138" s="64"/>
    </row>
    <row r="139" spans="4:15" x14ac:dyDescent="0.25">
      <c r="D139" s="23"/>
      <c r="E139" s="23"/>
      <c r="F139" s="23"/>
      <c r="O139" s="64"/>
    </row>
    <row r="140" spans="4:15" x14ac:dyDescent="0.25">
      <c r="D140" s="23"/>
      <c r="E140" s="23"/>
      <c r="F140" s="23"/>
      <c r="O140" s="64"/>
    </row>
    <row r="141" spans="4:15" x14ac:dyDescent="0.25">
      <c r="D141" s="23"/>
      <c r="E141" s="23"/>
      <c r="F141" s="23"/>
      <c r="O141" s="64"/>
    </row>
    <row r="142" spans="4:15" x14ac:dyDescent="0.25">
      <c r="D142" s="23"/>
      <c r="E142" s="23"/>
      <c r="F142" s="23"/>
      <c r="O142" s="64"/>
    </row>
    <row r="143" spans="4:15" x14ac:dyDescent="0.25">
      <c r="D143" s="23"/>
      <c r="E143" s="23"/>
      <c r="F143" s="23"/>
      <c r="O143" s="64"/>
    </row>
    <row r="144" spans="4:15" x14ac:dyDescent="0.25">
      <c r="D144" s="23"/>
      <c r="E144" s="23"/>
      <c r="F144" s="23"/>
      <c r="O144" s="64"/>
    </row>
    <row r="145" spans="4:15" x14ac:dyDescent="0.25">
      <c r="D145" s="23"/>
      <c r="E145" s="23"/>
      <c r="F145" s="23"/>
      <c r="O145" s="64"/>
    </row>
    <row r="146" spans="4:15" x14ac:dyDescent="0.25">
      <c r="D146" s="23"/>
      <c r="E146" s="23"/>
      <c r="F146" s="23"/>
      <c r="O146" s="64"/>
    </row>
    <row r="147" spans="4:15" x14ac:dyDescent="0.25">
      <c r="D147" s="23"/>
      <c r="E147" s="23"/>
      <c r="F147" s="23"/>
      <c r="O147" s="64"/>
    </row>
    <row r="148" spans="4:15" x14ac:dyDescent="0.25">
      <c r="D148" s="23"/>
      <c r="E148" s="23"/>
      <c r="F148" s="23"/>
      <c r="O148" s="64"/>
    </row>
    <row r="149" spans="4:15" x14ac:dyDescent="0.25">
      <c r="D149" s="23"/>
      <c r="E149" s="23"/>
      <c r="F149" s="23"/>
      <c r="O149" s="64"/>
    </row>
    <row r="150" spans="4:15" x14ac:dyDescent="0.25">
      <c r="D150" s="23"/>
      <c r="E150" s="23"/>
      <c r="F150" s="23"/>
      <c r="O150" s="64"/>
    </row>
    <row r="151" spans="4:15" x14ac:dyDescent="0.25">
      <c r="D151" s="23"/>
      <c r="E151" s="23"/>
      <c r="F151" s="23"/>
      <c r="O151" s="64"/>
    </row>
    <row r="152" spans="4:15" x14ac:dyDescent="0.25">
      <c r="D152" s="23"/>
      <c r="E152" s="23"/>
      <c r="F152" s="23"/>
      <c r="O152" s="64"/>
    </row>
    <row r="153" spans="4:15" x14ac:dyDescent="0.25">
      <c r="D153" s="23"/>
      <c r="E153" s="23"/>
      <c r="F153" s="23"/>
      <c r="O153" s="64"/>
    </row>
    <row r="154" spans="4:15" x14ac:dyDescent="0.25">
      <c r="D154" s="23"/>
      <c r="E154" s="23"/>
      <c r="F154" s="23"/>
      <c r="O154" s="64"/>
    </row>
    <row r="155" spans="4:15" x14ac:dyDescent="0.25">
      <c r="D155" s="23"/>
      <c r="E155" s="23"/>
      <c r="F155" s="23"/>
      <c r="O155" s="64"/>
    </row>
    <row r="156" spans="4:15" x14ac:dyDescent="0.25">
      <c r="D156" s="23"/>
      <c r="E156" s="23"/>
      <c r="F156" s="23"/>
      <c r="O156" s="64"/>
    </row>
    <row r="157" spans="4:15" x14ac:dyDescent="0.25">
      <c r="D157" s="23"/>
      <c r="E157" s="23"/>
      <c r="F157" s="23"/>
      <c r="O157" s="64"/>
    </row>
    <row r="158" spans="4:15" x14ac:dyDescent="0.25">
      <c r="D158" s="23"/>
      <c r="E158" s="23"/>
      <c r="F158" s="23"/>
      <c r="O158" s="64"/>
    </row>
    <row r="159" spans="4:15" x14ac:dyDescent="0.25">
      <c r="D159" s="23"/>
      <c r="E159" s="23"/>
      <c r="F159" s="23"/>
      <c r="O159" s="64"/>
    </row>
    <row r="160" spans="4:15" x14ac:dyDescent="0.25">
      <c r="D160" s="23"/>
      <c r="E160" s="23"/>
      <c r="F160" s="23"/>
      <c r="O160" s="64"/>
    </row>
    <row r="161" spans="4:15" x14ac:dyDescent="0.25">
      <c r="D161" s="23"/>
      <c r="E161" s="23"/>
      <c r="F161" s="23"/>
      <c r="O161" s="64"/>
    </row>
    <row r="162" spans="4:15" x14ac:dyDescent="0.25">
      <c r="D162" s="23"/>
      <c r="E162" s="23"/>
      <c r="F162" s="23"/>
      <c r="O162" s="64"/>
    </row>
    <row r="163" spans="4:15" x14ac:dyDescent="0.25">
      <c r="D163" s="23"/>
      <c r="E163" s="23"/>
      <c r="F163" s="23"/>
      <c r="O163" s="64"/>
    </row>
    <row r="164" spans="4:15" x14ac:dyDescent="0.25">
      <c r="D164" s="23"/>
      <c r="E164" s="23"/>
      <c r="F164" s="23"/>
      <c r="O164" s="64"/>
    </row>
    <row r="165" spans="4:15" x14ac:dyDescent="0.25">
      <c r="D165" s="23"/>
      <c r="E165" s="23"/>
      <c r="F165" s="23"/>
      <c r="O165" s="64"/>
    </row>
    <row r="166" spans="4:15" x14ac:dyDescent="0.25">
      <c r="D166" s="23"/>
      <c r="E166" s="23"/>
      <c r="F166" s="23"/>
      <c r="O166" s="64"/>
    </row>
    <row r="167" spans="4:15" x14ac:dyDescent="0.25">
      <c r="D167" s="23"/>
      <c r="E167" s="23"/>
      <c r="F167" s="23"/>
      <c r="O167" s="64"/>
    </row>
    <row r="168" spans="4:15" x14ac:dyDescent="0.25">
      <c r="D168" s="23"/>
      <c r="E168" s="23"/>
      <c r="F168" s="23"/>
      <c r="O168" s="64"/>
    </row>
    <row r="169" spans="4:15" x14ac:dyDescent="0.25">
      <c r="D169" s="23"/>
      <c r="E169" s="23"/>
      <c r="F169" s="23"/>
      <c r="O169" s="64"/>
    </row>
    <row r="170" spans="4:15" x14ac:dyDescent="0.25">
      <c r="D170" s="23"/>
      <c r="E170" s="23"/>
      <c r="F170" s="23"/>
      <c r="O170" s="64"/>
    </row>
    <row r="171" spans="4:15" x14ac:dyDescent="0.25">
      <c r="D171" s="23"/>
      <c r="E171" s="23"/>
      <c r="F171" s="23"/>
      <c r="O171" s="64"/>
    </row>
    <row r="172" spans="4:15" x14ac:dyDescent="0.25">
      <c r="D172" s="23"/>
      <c r="E172" s="23"/>
      <c r="F172" s="23"/>
      <c r="O172" s="64"/>
    </row>
    <row r="173" spans="4:15" x14ac:dyDescent="0.25">
      <c r="D173" s="23"/>
      <c r="E173" s="23"/>
      <c r="F173" s="23"/>
      <c r="O173" s="64"/>
    </row>
    <row r="174" spans="4:15" x14ac:dyDescent="0.25">
      <c r="D174" s="23"/>
      <c r="E174" s="23"/>
      <c r="F174" s="23"/>
      <c r="O174" s="64"/>
    </row>
    <row r="175" spans="4:15" x14ac:dyDescent="0.25">
      <c r="D175" s="23"/>
      <c r="E175" s="23"/>
      <c r="F175" s="23"/>
      <c r="O175" s="64"/>
    </row>
    <row r="176" spans="4:15" x14ac:dyDescent="0.25">
      <c r="D176" s="23"/>
      <c r="E176" s="23"/>
      <c r="F176" s="23"/>
      <c r="O176" s="64"/>
    </row>
    <row r="177" spans="4:15" x14ac:dyDescent="0.25">
      <c r="D177" s="23"/>
      <c r="E177" s="23"/>
      <c r="F177" s="23"/>
      <c r="O177" s="64"/>
    </row>
    <row r="178" spans="4:15" x14ac:dyDescent="0.25">
      <c r="D178" s="23"/>
      <c r="E178" s="23"/>
      <c r="F178" s="23"/>
      <c r="O178" s="64"/>
    </row>
    <row r="179" spans="4:15" x14ac:dyDescent="0.25">
      <c r="D179" s="23"/>
      <c r="E179" s="23"/>
      <c r="F179" s="23"/>
      <c r="O179" s="64"/>
    </row>
    <row r="180" spans="4:15" x14ac:dyDescent="0.25">
      <c r="D180" s="23"/>
      <c r="E180" s="23"/>
      <c r="F180" s="23"/>
      <c r="O180" s="64"/>
    </row>
    <row r="181" spans="4:15" x14ac:dyDescent="0.25">
      <c r="D181" s="23"/>
      <c r="E181" s="23"/>
      <c r="F181" s="23"/>
      <c r="O181" s="64"/>
    </row>
    <row r="182" spans="4:15" x14ac:dyDescent="0.25">
      <c r="D182" s="23"/>
      <c r="E182" s="23"/>
      <c r="F182" s="23"/>
      <c r="O182" s="64"/>
    </row>
    <row r="183" spans="4:15" x14ac:dyDescent="0.25">
      <c r="O183" s="64"/>
    </row>
    <row r="184" spans="4:15" x14ac:dyDescent="0.25">
      <c r="O184" s="64"/>
    </row>
    <row r="185" spans="4:15" x14ac:dyDescent="0.25">
      <c r="O185" s="64"/>
    </row>
    <row r="186" spans="4:15" x14ac:dyDescent="0.25">
      <c r="O186" s="64"/>
    </row>
    <row r="187" spans="4:15" x14ac:dyDescent="0.25">
      <c r="O187" s="64"/>
    </row>
    <row r="188" spans="4:15" x14ac:dyDescent="0.25">
      <c r="O188" s="64"/>
    </row>
    <row r="189" spans="4:15" x14ac:dyDescent="0.25">
      <c r="O189" s="64"/>
    </row>
    <row r="190" spans="4:15" x14ac:dyDescent="0.25">
      <c r="O190" s="64"/>
    </row>
    <row r="191" spans="4:15" x14ac:dyDescent="0.25">
      <c r="O191" s="64"/>
    </row>
    <row r="192" spans="4:15" x14ac:dyDescent="0.25">
      <c r="O192" s="64"/>
    </row>
    <row r="193" spans="15:15" x14ac:dyDescent="0.25">
      <c r="O193" s="64"/>
    </row>
    <row r="194" spans="15:15" x14ac:dyDescent="0.25">
      <c r="O194" s="64"/>
    </row>
    <row r="195" spans="15:15" x14ac:dyDescent="0.25">
      <c r="O195" s="64"/>
    </row>
    <row r="196" spans="15:15" x14ac:dyDescent="0.25">
      <c r="O196" s="64"/>
    </row>
    <row r="197" spans="15:15" x14ac:dyDescent="0.25">
      <c r="O197" s="64"/>
    </row>
    <row r="198" spans="15:15" x14ac:dyDescent="0.25">
      <c r="O198" s="64"/>
    </row>
    <row r="199" spans="15:15" x14ac:dyDescent="0.25">
      <c r="O199" s="64"/>
    </row>
    <row r="200" spans="15:15" x14ac:dyDescent="0.25">
      <c r="O200" s="64"/>
    </row>
    <row r="201" spans="15:15" x14ac:dyDescent="0.25">
      <c r="O201" s="64"/>
    </row>
    <row r="202" spans="15:15" x14ac:dyDescent="0.25">
      <c r="O202" s="64"/>
    </row>
    <row r="203" spans="15:15" x14ac:dyDescent="0.25">
      <c r="O203" s="64"/>
    </row>
    <row r="204" spans="15:15" x14ac:dyDescent="0.25">
      <c r="O204" s="64"/>
    </row>
    <row r="205" spans="15:15" x14ac:dyDescent="0.25">
      <c r="O205" s="64"/>
    </row>
    <row r="206" spans="15:15" x14ac:dyDescent="0.25">
      <c r="O206" s="64"/>
    </row>
    <row r="207" spans="15:15" x14ac:dyDescent="0.25">
      <c r="O207" s="64"/>
    </row>
    <row r="208" spans="15:15" x14ac:dyDescent="0.25">
      <c r="O208" s="64"/>
    </row>
    <row r="209" spans="15:15" x14ac:dyDescent="0.25">
      <c r="O209" s="64"/>
    </row>
    <row r="210" spans="15:15" x14ac:dyDescent="0.25">
      <c r="O210" s="64"/>
    </row>
    <row r="211" spans="15:15" x14ac:dyDescent="0.25">
      <c r="O211" s="64"/>
    </row>
    <row r="212" spans="15:15" x14ac:dyDescent="0.25">
      <c r="O212" s="64"/>
    </row>
    <row r="213" spans="15:15" x14ac:dyDescent="0.25">
      <c r="O213" s="64"/>
    </row>
    <row r="214" spans="15:15" x14ac:dyDescent="0.25">
      <c r="O214" s="64"/>
    </row>
    <row r="215" spans="15:15" x14ac:dyDescent="0.25">
      <c r="O215" s="64"/>
    </row>
    <row r="216" spans="15:15" x14ac:dyDescent="0.25">
      <c r="O216" s="64"/>
    </row>
    <row r="217" spans="15:15" x14ac:dyDescent="0.25">
      <c r="O217" s="64"/>
    </row>
    <row r="218" spans="15:15" x14ac:dyDescent="0.25">
      <c r="O218" s="64"/>
    </row>
    <row r="219" spans="15:15" x14ac:dyDescent="0.25">
      <c r="O219" s="64"/>
    </row>
    <row r="220" spans="15:15" x14ac:dyDescent="0.25">
      <c r="O220" s="64"/>
    </row>
    <row r="221" spans="15:15" x14ac:dyDescent="0.25">
      <c r="O221" s="64"/>
    </row>
    <row r="222" spans="15:15" x14ac:dyDescent="0.25">
      <c r="O222" s="64"/>
    </row>
    <row r="223" spans="15:15" x14ac:dyDescent="0.25">
      <c r="O223" s="64"/>
    </row>
    <row r="224" spans="15:15" x14ac:dyDescent="0.25">
      <c r="O224" s="64"/>
    </row>
    <row r="225" spans="15:15" x14ac:dyDescent="0.25">
      <c r="O225" s="64"/>
    </row>
    <row r="226" spans="15:15" x14ac:dyDescent="0.25">
      <c r="O226" s="64"/>
    </row>
    <row r="227" spans="15:15" x14ac:dyDescent="0.25">
      <c r="O227" s="64"/>
    </row>
    <row r="228" spans="15:15" x14ac:dyDescent="0.25">
      <c r="O228" s="64"/>
    </row>
    <row r="229" spans="15:15" x14ac:dyDescent="0.25">
      <c r="O229" s="64"/>
    </row>
    <row r="230" spans="15:15" x14ac:dyDescent="0.25">
      <c r="O230" s="64"/>
    </row>
    <row r="231" spans="15:15" x14ac:dyDescent="0.25">
      <c r="O231" s="64"/>
    </row>
    <row r="232" spans="15:15" x14ac:dyDescent="0.25">
      <c r="O232" s="64"/>
    </row>
    <row r="233" spans="15:15" x14ac:dyDescent="0.25">
      <c r="O233" s="64"/>
    </row>
    <row r="234" spans="15:15" x14ac:dyDescent="0.25">
      <c r="O234" s="64"/>
    </row>
    <row r="235" spans="15:15" x14ac:dyDescent="0.25">
      <c r="O235" s="64"/>
    </row>
    <row r="236" spans="15:15" x14ac:dyDescent="0.25">
      <c r="O236" s="64"/>
    </row>
    <row r="237" spans="15:15" x14ac:dyDescent="0.25">
      <c r="O237" s="64"/>
    </row>
    <row r="238" spans="15:15" x14ac:dyDescent="0.25">
      <c r="O238" s="64"/>
    </row>
    <row r="239" spans="15:15" x14ac:dyDescent="0.25">
      <c r="O239" s="64"/>
    </row>
    <row r="240" spans="15:15" x14ac:dyDescent="0.25">
      <c r="O240" s="64"/>
    </row>
    <row r="241" spans="15:15" x14ac:dyDescent="0.25">
      <c r="O241" s="64"/>
    </row>
    <row r="242" spans="15:15" x14ac:dyDescent="0.25">
      <c r="O242" s="64"/>
    </row>
    <row r="243" spans="15:15" x14ac:dyDescent="0.25">
      <c r="O243" s="64"/>
    </row>
    <row r="244" spans="15:15" x14ac:dyDescent="0.25">
      <c r="O244" s="64"/>
    </row>
    <row r="245" spans="15:15" x14ac:dyDescent="0.25">
      <c r="O245" s="64"/>
    </row>
    <row r="246" spans="15:15" x14ac:dyDescent="0.25">
      <c r="O246" s="64"/>
    </row>
    <row r="247" spans="15:15" x14ac:dyDescent="0.25">
      <c r="O247" s="64"/>
    </row>
    <row r="248" spans="15:15" x14ac:dyDescent="0.25">
      <c r="O248" s="64"/>
    </row>
    <row r="249" spans="15:15" x14ac:dyDescent="0.25">
      <c r="O249" s="64"/>
    </row>
    <row r="250" spans="15:15" x14ac:dyDescent="0.25">
      <c r="O250" s="64"/>
    </row>
    <row r="251" spans="15:15" x14ac:dyDescent="0.25">
      <c r="O251" s="64"/>
    </row>
    <row r="252" spans="15:15" x14ac:dyDescent="0.25">
      <c r="O252" s="64"/>
    </row>
    <row r="253" spans="15:15" x14ac:dyDescent="0.25">
      <c r="O253" s="64"/>
    </row>
    <row r="254" spans="15:15" x14ac:dyDescent="0.25">
      <c r="O254" s="64"/>
    </row>
    <row r="255" spans="15:15" x14ac:dyDescent="0.25">
      <c r="O255" s="64"/>
    </row>
    <row r="256" spans="15:15" x14ac:dyDescent="0.25">
      <c r="O256" s="64"/>
    </row>
    <row r="257" spans="15:15" x14ac:dyDescent="0.25">
      <c r="O257" s="64"/>
    </row>
    <row r="258" spans="15:15" x14ac:dyDescent="0.25">
      <c r="O258" s="64"/>
    </row>
    <row r="259" spans="15:15" x14ac:dyDescent="0.25">
      <c r="O259" s="64"/>
    </row>
    <row r="260" spans="15:15" x14ac:dyDescent="0.25">
      <c r="O260" s="64"/>
    </row>
    <row r="261" spans="15:15" x14ac:dyDescent="0.25">
      <c r="O261" s="64"/>
    </row>
    <row r="262" spans="15:15" x14ac:dyDescent="0.25">
      <c r="O262" s="64"/>
    </row>
    <row r="263" spans="15:15" x14ac:dyDescent="0.25">
      <c r="O263" s="64"/>
    </row>
    <row r="264" spans="15:15" x14ac:dyDescent="0.25">
      <c r="O264" s="64"/>
    </row>
    <row r="265" spans="15:15" x14ac:dyDescent="0.25">
      <c r="O265" s="64"/>
    </row>
    <row r="266" spans="15:15" x14ac:dyDescent="0.25">
      <c r="O266" s="64"/>
    </row>
    <row r="267" spans="15:15" x14ac:dyDescent="0.25">
      <c r="O267" s="64"/>
    </row>
    <row r="268" spans="15:15" x14ac:dyDescent="0.25">
      <c r="O268" s="64"/>
    </row>
    <row r="269" spans="15:15" x14ac:dyDescent="0.25">
      <c r="O269" s="64"/>
    </row>
    <row r="270" spans="15:15" x14ac:dyDescent="0.25">
      <c r="O270" s="64"/>
    </row>
    <row r="271" spans="15:15" x14ac:dyDescent="0.25">
      <c r="O271" s="64"/>
    </row>
    <row r="272" spans="15:15" x14ac:dyDescent="0.25">
      <c r="O272" s="64"/>
    </row>
    <row r="273" spans="15:15" x14ac:dyDescent="0.25">
      <c r="O273" s="64"/>
    </row>
    <row r="274" spans="15:15" x14ac:dyDescent="0.25">
      <c r="O274" s="64"/>
    </row>
    <row r="275" spans="15:15" x14ac:dyDescent="0.25">
      <c r="O275" s="64"/>
    </row>
    <row r="276" spans="15:15" x14ac:dyDescent="0.25">
      <c r="O276" s="64"/>
    </row>
    <row r="277" spans="15:15" x14ac:dyDescent="0.25">
      <c r="O277" s="64"/>
    </row>
    <row r="278" spans="15:15" x14ac:dyDescent="0.25">
      <c r="O278" s="64"/>
    </row>
    <row r="279" spans="15:15" x14ac:dyDescent="0.25">
      <c r="O279" s="64"/>
    </row>
    <row r="280" spans="15:15" x14ac:dyDescent="0.25">
      <c r="O280" s="64"/>
    </row>
    <row r="281" spans="15:15" x14ac:dyDescent="0.25">
      <c r="O281" s="64"/>
    </row>
    <row r="282" spans="15:15" x14ac:dyDescent="0.25">
      <c r="O282" s="64"/>
    </row>
    <row r="283" spans="15:15" x14ac:dyDescent="0.25">
      <c r="O283" s="64"/>
    </row>
    <row r="284" spans="15:15" x14ac:dyDescent="0.25">
      <c r="O284" s="64"/>
    </row>
    <row r="285" spans="15:15" x14ac:dyDescent="0.25">
      <c r="O285" s="64"/>
    </row>
    <row r="286" spans="15:15" x14ac:dyDescent="0.25">
      <c r="O286" s="64"/>
    </row>
    <row r="287" spans="15:15" x14ac:dyDescent="0.25">
      <c r="O287" s="64"/>
    </row>
    <row r="288" spans="15:15" x14ac:dyDescent="0.25">
      <c r="O288" s="64"/>
    </row>
    <row r="289" spans="15:15" x14ac:dyDescent="0.25">
      <c r="O289" s="64"/>
    </row>
    <row r="290" spans="15:15" x14ac:dyDescent="0.25">
      <c r="O290" s="64"/>
    </row>
    <row r="291" spans="15:15" x14ac:dyDescent="0.25">
      <c r="O291" s="64"/>
    </row>
    <row r="292" spans="15:15" x14ac:dyDescent="0.25">
      <c r="O292" s="64"/>
    </row>
    <row r="293" spans="15:15" x14ac:dyDescent="0.25">
      <c r="O293" s="64"/>
    </row>
    <row r="294" spans="15:15" x14ac:dyDescent="0.25">
      <c r="O294" s="64"/>
    </row>
    <row r="295" spans="15:15" x14ac:dyDescent="0.25">
      <c r="O295" s="64"/>
    </row>
    <row r="296" spans="15:15" x14ac:dyDescent="0.25">
      <c r="O296" s="64"/>
    </row>
    <row r="297" spans="15:15" x14ac:dyDescent="0.25">
      <c r="O297" s="64"/>
    </row>
    <row r="298" spans="15:15" x14ac:dyDescent="0.25">
      <c r="O298" s="64"/>
    </row>
    <row r="299" spans="15:15" x14ac:dyDescent="0.25">
      <c r="O299" s="64"/>
    </row>
    <row r="300" spans="15:15" x14ac:dyDescent="0.25">
      <c r="O300" s="64"/>
    </row>
    <row r="301" spans="15:15" x14ac:dyDescent="0.25">
      <c r="O301" s="64"/>
    </row>
    <row r="302" spans="15:15" x14ac:dyDescent="0.25">
      <c r="O302" s="64"/>
    </row>
    <row r="303" spans="15:15" x14ac:dyDescent="0.25">
      <c r="O303" s="64"/>
    </row>
    <row r="304" spans="15:15" x14ac:dyDescent="0.25">
      <c r="O304" s="64"/>
    </row>
    <row r="305" spans="15:15" x14ac:dyDescent="0.25">
      <c r="O305" s="64"/>
    </row>
    <row r="306" spans="15:15" x14ac:dyDescent="0.25">
      <c r="O306" s="64"/>
    </row>
    <row r="307" spans="15:15" x14ac:dyDescent="0.25">
      <c r="O307" s="64"/>
    </row>
    <row r="308" spans="15:15" x14ac:dyDescent="0.25">
      <c r="O308" s="64"/>
    </row>
    <row r="309" spans="15:15" x14ac:dyDescent="0.25">
      <c r="O309" s="64"/>
    </row>
    <row r="310" spans="15:15" x14ac:dyDescent="0.25">
      <c r="O310" s="64"/>
    </row>
    <row r="311" spans="15:15" x14ac:dyDescent="0.25">
      <c r="O311" s="64"/>
    </row>
    <row r="312" spans="15:15" x14ac:dyDescent="0.25">
      <c r="O312" s="64"/>
    </row>
    <row r="313" spans="15:15" x14ac:dyDescent="0.25">
      <c r="O313" s="64"/>
    </row>
    <row r="314" spans="15:15" x14ac:dyDescent="0.25">
      <c r="O314" s="64"/>
    </row>
    <row r="315" spans="15:15" x14ac:dyDescent="0.25">
      <c r="O315" s="64"/>
    </row>
    <row r="316" spans="15:15" x14ac:dyDescent="0.25">
      <c r="O316" s="64"/>
    </row>
    <row r="317" spans="15:15" x14ac:dyDescent="0.25">
      <c r="O317" s="64"/>
    </row>
    <row r="318" spans="15:15" x14ac:dyDescent="0.25">
      <c r="O318" s="64"/>
    </row>
    <row r="319" spans="15:15" x14ac:dyDescent="0.25">
      <c r="O319" s="64"/>
    </row>
    <row r="320" spans="15:15" x14ac:dyDescent="0.25">
      <c r="O320" s="64"/>
    </row>
    <row r="321" spans="15:15" x14ac:dyDescent="0.25">
      <c r="O321" s="64"/>
    </row>
    <row r="322" spans="15:15" x14ac:dyDescent="0.25">
      <c r="O322" s="64"/>
    </row>
    <row r="323" spans="15:15" x14ac:dyDescent="0.25">
      <c r="O323" s="64"/>
    </row>
    <row r="324" spans="15:15" x14ac:dyDescent="0.25">
      <c r="O324" s="64"/>
    </row>
    <row r="325" spans="15:15" x14ac:dyDescent="0.25">
      <c r="O325" s="64"/>
    </row>
    <row r="326" spans="15:15" x14ac:dyDescent="0.25">
      <c r="O326" s="64"/>
    </row>
    <row r="327" spans="15:15" x14ac:dyDescent="0.25">
      <c r="O327" s="64"/>
    </row>
    <row r="328" spans="15:15" x14ac:dyDescent="0.25">
      <c r="O328" s="64"/>
    </row>
    <row r="329" spans="15:15" x14ac:dyDescent="0.25">
      <c r="O329" s="64"/>
    </row>
    <row r="330" spans="15:15" x14ac:dyDescent="0.25">
      <c r="O330" s="64"/>
    </row>
    <row r="331" spans="15:15" x14ac:dyDescent="0.25">
      <c r="O331" s="64"/>
    </row>
    <row r="332" spans="15:15" x14ac:dyDescent="0.25">
      <c r="O332" s="64"/>
    </row>
    <row r="333" spans="15:15" x14ac:dyDescent="0.25">
      <c r="O333" s="64"/>
    </row>
    <row r="334" spans="15:15" x14ac:dyDescent="0.25">
      <c r="O334" s="64"/>
    </row>
    <row r="335" spans="15:15" x14ac:dyDescent="0.25">
      <c r="O335" s="64"/>
    </row>
    <row r="336" spans="15:15" x14ac:dyDescent="0.25">
      <c r="O336" s="64"/>
    </row>
    <row r="337" spans="15:15" x14ac:dyDescent="0.25">
      <c r="O337" s="64"/>
    </row>
    <row r="338" spans="15:15" x14ac:dyDescent="0.25">
      <c r="O338" s="64"/>
    </row>
    <row r="339" spans="15:15" x14ac:dyDescent="0.25">
      <c r="O339" s="64"/>
    </row>
    <row r="340" spans="15:15" x14ac:dyDescent="0.25">
      <c r="O340" s="64"/>
    </row>
    <row r="341" spans="15:15" x14ac:dyDescent="0.25">
      <c r="O341" s="64"/>
    </row>
    <row r="342" spans="15:15" x14ac:dyDescent="0.25">
      <c r="O342" s="64"/>
    </row>
    <row r="343" spans="15:15" x14ac:dyDescent="0.25">
      <c r="O343" s="64"/>
    </row>
    <row r="344" spans="15:15" x14ac:dyDescent="0.25">
      <c r="O344" s="64"/>
    </row>
    <row r="345" spans="15:15" x14ac:dyDescent="0.25">
      <c r="O345" s="64"/>
    </row>
    <row r="346" spans="15:15" x14ac:dyDescent="0.25">
      <c r="O346" s="64"/>
    </row>
    <row r="347" spans="15:15" x14ac:dyDescent="0.25">
      <c r="O347" s="64"/>
    </row>
    <row r="348" spans="15:15" x14ac:dyDescent="0.25">
      <c r="O348" s="64"/>
    </row>
    <row r="349" spans="15:15" x14ac:dyDescent="0.25">
      <c r="O349" s="64"/>
    </row>
    <row r="350" spans="15:15" x14ac:dyDescent="0.25">
      <c r="O350" s="64"/>
    </row>
    <row r="351" spans="15:15" x14ac:dyDescent="0.25">
      <c r="O351" s="64"/>
    </row>
    <row r="352" spans="15:15" x14ac:dyDescent="0.25">
      <c r="O352" s="64"/>
    </row>
    <row r="353" spans="15:15" x14ac:dyDescent="0.25">
      <c r="O353" s="64"/>
    </row>
    <row r="354" spans="15:15" x14ac:dyDescent="0.25">
      <c r="O354" s="64"/>
    </row>
    <row r="355" spans="15:15" x14ac:dyDescent="0.25">
      <c r="O355" s="64"/>
    </row>
    <row r="356" spans="15:15" x14ac:dyDescent="0.25">
      <c r="O356" s="64"/>
    </row>
    <row r="357" spans="15:15" x14ac:dyDescent="0.25">
      <c r="O357" s="64"/>
    </row>
    <row r="358" spans="15:15" x14ac:dyDescent="0.25">
      <c r="O358" s="64"/>
    </row>
    <row r="359" spans="15:15" x14ac:dyDescent="0.25">
      <c r="O359" s="64"/>
    </row>
    <row r="360" spans="15:15" x14ac:dyDescent="0.25">
      <c r="O360" s="64"/>
    </row>
    <row r="361" spans="15:15" x14ac:dyDescent="0.25">
      <c r="O361" s="64"/>
    </row>
    <row r="362" spans="15:15" x14ac:dyDescent="0.25">
      <c r="O362" s="64"/>
    </row>
    <row r="363" spans="15:15" x14ac:dyDescent="0.25">
      <c r="O363" s="64"/>
    </row>
    <row r="364" spans="15:15" x14ac:dyDescent="0.25">
      <c r="O364" s="64"/>
    </row>
    <row r="365" spans="15:15" x14ac:dyDescent="0.25">
      <c r="O365" s="64"/>
    </row>
    <row r="366" spans="15:15" x14ac:dyDescent="0.25">
      <c r="O366" s="64"/>
    </row>
    <row r="367" spans="15:15" x14ac:dyDescent="0.25">
      <c r="O367" s="64"/>
    </row>
    <row r="368" spans="15:15" x14ac:dyDescent="0.25">
      <c r="O368" s="64"/>
    </row>
    <row r="369" spans="15:15" x14ac:dyDescent="0.25">
      <c r="O369" s="64"/>
    </row>
    <row r="370" spans="15:15" x14ac:dyDescent="0.25">
      <c r="O370" s="64"/>
    </row>
    <row r="371" spans="15:15" x14ac:dyDescent="0.25">
      <c r="O371" s="64"/>
    </row>
    <row r="372" spans="15:15" x14ac:dyDescent="0.25">
      <c r="O372" s="64"/>
    </row>
    <row r="373" spans="15:15" x14ac:dyDescent="0.25">
      <c r="O373" s="64"/>
    </row>
    <row r="374" spans="15:15" x14ac:dyDescent="0.25">
      <c r="O374" s="64"/>
    </row>
    <row r="375" spans="15:15" x14ac:dyDescent="0.25">
      <c r="O375" s="64"/>
    </row>
    <row r="376" spans="15:15" x14ac:dyDescent="0.25">
      <c r="O376" s="64"/>
    </row>
    <row r="377" spans="15:15" x14ac:dyDescent="0.25">
      <c r="O377" s="64"/>
    </row>
    <row r="378" spans="15:15" x14ac:dyDescent="0.25">
      <c r="O378" s="64"/>
    </row>
    <row r="379" spans="15:15" x14ac:dyDescent="0.25">
      <c r="O379" s="64"/>
    </row>
    <row r="380" spans="15:15" x14ac:dyDescent="0.25">
      <c r="O380" s="64"/>
    </row>
    <row r="381" spans="15:15" x14ac:dyDescent="0.25">
      <c r="O381" s="64"/>
    </row>
    <row r="382" spans="15:15" x14ac:dyDescent="0.25">
      <c r="O382" s="64"/>
    </row>
    <row r="383" spans="15:15" x14ac:dyDescent="0.25">
      <c r="O383" s="64"/>
    </row>
    <row r="384" spans="15:15" x14ac:dyDescent="0.25">
      <c r="O384" s="64"/>
    </row>
    <row r="385" spans="15:15" x14ac:dyDescent="0.25">
      <c r="O385" s="64"/>
    </row>
    <row r="386" spans="15:15" x14ac:dyDescent="0.25">
      <c r="O386" s="64"/>
    </row>
    <row r="387" spans="15:15" x14ac:dyDescent="0.25">
      <c r="O387" s="64"/>
    </row>
    <row r="388" spans="15:15" x14ac:dyDescent="0.25">
      <c r="O388" s="64"/>
    </row>
    <row r="389" spans="15:15" x14ac:dyDescent="0.25">
      <c r="O389" s="64"/>
    </row>
    <row r="390" spans="15:15" x14ac:dyDescent="0.25">
      <c r="O390" s="64"/>
    </row>
    <row r="391" spans="15:15" x14ac:dyDescent="0.25">
      <c r="O391" s="64"/>
    </row>
    <row r="392" spans="15:15" x14ac:dyDescent="0.25">
      <c r="O392" s="64"/>
    </row>
    <row r="393" spans="15:15" x14ac:dyDescent="0.25">
      <c r="O393" s="64"/>
    </row>
    <row r="394" spans="15:15" x14ac:dyDescent="0.25">
      <c r="O394" s="64"/>
    </row>
    <row r="395" spans="15:15" x14ac:dyDescent="0.25">
      <c r="O395" s="64"/>
    </row>
    <row r="396" spans="15:15" x14ac:dyDescent="0.25">
      <c r="O396" s="64"/>
    </row>
    <row r="397" spans="15:15" x14ac:dyDescent="0.25">
      <c r="O397" s="64"/>
    </row>
    <row r="398" spans="15:15" x14ac:dyDescent="0.25">
      <c r="O398" s="64"/>
    </row>
    <row r="399" spans="15:15" x14ac:dyDescent="0.25">
      <c r="O399" s="64"/>
    </row>
    <row r="400" spans="15:15" x14ac:dyDescent="0.25">
      <c r="O400" s="64"/>
    </row>
    <row r="401" spans="15:15" x14ac:dyDescent="0.25">
      <c r="O401" s="64"/>
    </row>
    <row r="402" spans="15:15" x14ac:dyDescent="0.25">
      <c r="O402" s="64"/>
    </row>
    <row r="403" spans="15:15" x14ac:dyDescent="0.25">
      <c r="O403" s="64"/>
    </row>
    <row r="404" spans="15:15" x14ac:dyDescent="0.25">
      <c r="O404" s="64"/>
    </row>
    <row r="405" spans="15:15" x14ac:dyDescent="0.25">
      <c r="O405" s="64"/>
    </row>
    <row r="406" spans="15:15" x14ac:dyDescent="0.25">
      <c r="O406" s="64"/>
    </row>
    <row r="407" spans="15:15" x14ac:dyDescent="0.25">
      <c r="O407" s="64"/>
    </row>
    <row r="408" spans="15:15" x14ac:dyDescent="0.25">
      <c r="O408" s="64"/>
    </row>
    <row r="409" spans="15:15" x14ac:dyDescent="0.25">
      <c r="O409" s="64"/>
    </row>
    <row r="410" spans="15:15" x14ac:dyDescent="0.25">
      <c r="O410" s="64"/>
    </row>
    <row r="411" spans="15:15" x14ac:dyDescent="0.25">
      <c r="O411" s="64"/>
    </row>
    <row r="412" spans="15:15" x14ac:dyDescent="0.25">
      <c r="O412" s="64"/>
    </row>
    <row r="413" spans="15:15" x14ac:dyDescent="0.25">
      <c r="O413" s="64"/>
    </row>
    <row r="414" spans="15:15" x14ac:dyDescent="0.25">
      <c r="O414" s="64"/>
    </row>
    <row r="415" spans="15:15" x14ac:dyDescent="0.25">
      <c r="O415" s="64"/>
    </row>
    <row r="416" spans="15:15" x14ac:dyDescent="0.25">
      <c r="O416" s="64"/>
    </row>
    <row r="417" spans="15:15" x14ac:dyDescent="0.25">
      <c r="O417" s="64"/>
    </row>
    <row r="418" spans="15:15" x14ac:dyDescent="0.25">
      <c r="O418" s="64"/>
    </row>
    <row r="419" spans="15:15" x14ac:dyDescent="0.25">
      <c r="O419" s="64"/>
    </row>
    <row r="420" spans="15:15" x14ac:dyDescent="0.25">
      <c r="O420" s="64"/>
    </row>
    <row r="421" spans="15:15" x14ac:dyDescent="0.25">
      <c r="O421" s="64"/>
    </row>
    <row r="422" spans="15:15" x14ac:dyDescent="0.25">
      <c r="O422" s="64"/>
    </row>
    <row r="423" spans="15:15" x14ac:dyDescent="0.25">
      <c r="O423" s="64"/>
    </row>
    <row r="424" spans="15:15" x14ac:dyDescent="0.25">
      <c r="O424" s="64"/>
    </row>
    <row r="425" spans="15:15" x14ac:dyDescent="0.25">
      <c r="O425" s="64"/>
    </row>
    <row r="426" spans="15:15" x14ac:dyDescent="0.25">
      <c r="O426" s="64"/>
    </row>
    <row r="427" spans="15:15" x14ac:dyDescent="0.25">
      <c r="O427" s="64"/>
    </row>
    <row r="428" spans="15:15" x14ac:dyDescent="0.25">
      <c r="O428" s="64"/>
    </row>
    <row r="429" spans="15:15" x14ac:dyDescent="0.25">
      <c r="O429" s="64"/>
    </row>
    <row r="430" spans="15:15" x14ac:dyDescent="0.25">
      <c r="O430" s="64"/>
    </row>
    <row r="431" spans="15:15" x14ac:dyDescent="0.25">
      <c r="O431" s="64"/>
    </row>
    <row r="432" spans="15:15" x14ac:dyDescent="0.25">
      <c r="O432" s="64"/>
    </row>
    <row r="433" spans="15:15" x14ac:dyDescent="0.25">
      <c r="O433" s="64"/>
    </row>
    <row r="434" spans="15:15" x14ac:dyDescent="0.25">
      <c r="O434" s="64"/>
    </row>
    <row r="435" spans="15:15" x14ac:dyDescent="0.25">
      <c r="O435" s="64"/>
    </row>
    <row r="436" spans="15:15" x14ac:dyDescent="0.25">
      <c r="O436" s="64"/>
    </row>
    <row r="437" spans="15:15" x14ac:dyDescent="0.25">
      <c r="O437" s="64"/>
    </row>
    <row r="438" spans="15:15" x14ac:dyDescent="0.25">
      <c r="O438" s="64"/>
    </row>
    <row r="439" spans="15:15" x14ac:dyDescent="0.25">
      <c r="O439" s="64"/>
    </row>
    <row r="440" spans="15:15" x14ac:dyDescent="0.25">
      <c r="O440" s="64"/>
    </row>
    <row r="441" spans="15:15" x14ac:dyDescent="0.25">
      <c r="O441" s="64"/>
    </row>
    <row r="442" spans="15:15" x14ac:dyDescent="0.25">
      <c r="O442" s="64"/>
    </row>
    <row r="443" spans="15:15" x14ac:dyDescent="0.25">
      <c r="O443" s="64"/>
    </row>
    <row r="444" spans="15:15" x14ac:dyDescent="0.25">
      <c r="O444" s="64"/>
    </row>
    <row r="445" spans="15:15" x14ac:dyDescent="0.25">
      <c r="O445" s="64"/>
    </row>
    <row r="446" spans="15:15" x14ac:dyDescent="0.25">
      <c r="O446" s="64"/>
    </row>
    <row r="447" spans="15:15" x14ac:dyDescent="0.25">
      <c r="O447" s="64"/>
    </row>
    <row r="448" spans="15:15" x14ac:dyDescent="0.25">
      <c r="O448" s="64"/>
    </row>
    <row r="449" spans="15:15" x14ac:dyDescent="0.25">
      <c r="O449" s="64"/>
    </row>
    <row r="450" spans="15:15" x14ac:dyDescent="0.25">
      <c r="O450" s="64"/>
    </row>
    <row r="451" spans="15:15" x14ac:dyDescent="0.25">
      <c r="O451" s="64"/>
    </row>
    <row r="452" spans="15:15" x14ac:dyDescent="0.25">
      <c r="O452" s="64"/>
    </row>
    <row r="453" spans="15:15" x14ac:dyDescent="0.25">
      <c r="O453" s="64"/>
    </row>
    <row r="454" spans="15:15" x14ac:dyDescent="0.25">
      <c r="O454" s="64"/>
    </row>
    <row r="455" spans="15:15" x14ac:dyDescent="0.25">
      <c r="O455" s="64"/>
    </row>
    <row r="456" spans="15:15" x14ac:dyDescent="0.25">
      <c r="O456" s="64"/>
    </row>
    <row r="457" spans="15:15" x14ac:dyDescent="0.25">
      <c r="O457" s="64"/>
    </row>
    <row r="458" spans="15:15" x14ac:dyDescent="0.25">
      <c r="O458" s="64"/>
    </row>
    <row r="459" spans="15:15" x14ac:dyDescent="0.25">
      <c r="O459" s="64"/>
    </row>
    <row r="460" spans="15:15" x14ac:dyDescent="0.25">
      <c r="O460" s="64"/>
    </row>
    <row r="461" spans="15:15" x14ac:dyDescent="0.25">
      <c r="O461" s="64"/>
    </row>
    <row r="462" spans="15:15" x14ac:dyDescent="0.25">
      <c r="O462" s="64"/>
    </row>
    <row r="463" spans="15:15" x14ac:dyDescent="0.25">
      <c r="O463" s="64"/>
    </row>
    <row r="464" spans="15:15" x14ac:dyDescent="0.25">
      <c r="O464" s="64"/>
    </row>
    <row r="465" spans="15:15" x14ac:dyDescent="0.25">
      <c r="O465" s="64"/>
    </row>
    <row r="466" spans="15:15" x14ac:dyDescent="0.25">
      <c r="O466" s="64"/>
    </row>
    <row r="467" spans="15:15" x14ac:dyDescent="0.25">
      <c r="O467" s="64"/>
    </row>
    <row r="468" spans="15:15" x14ac:dyDescent="0.25">
      <c r="O468" s="64"/>
    </row>
    <row r="469" spans="15:15" x14ac:dyDescent="0.25">
      <c r="O469" s="64"/>
    </row>
    <row r="470" spans="15:15" x14ac:dyDescent="0.25">
      <c r="O470" s="64"/>
    </row>
    <row r="471" spans="15:15" x14ac:dyDescent="0.25">
      <c r="O471" s="64"/>
    </row>
    <row r="472" spans="15:15" x14ac:dyDescent="0.25">
      <c r="O472" s="64"/>
    </row>
    <row r="473" spans="15:15" x14ac:dyDescent="0.25">
      <c r="O473" s="64"/>
    </row>
    <row r="474" spans="15:15" x14ac:dyDescent="0.25">
      <c r="O474" s="64"/>
    </row>
    <row r="475" spans="15:15" x14ac:dyDescent="0.25">
      <c r="O475" s="64"/>
    </row>
    <row r="476" spans="15:15" x14ac:dyDescent="0.25">
      <c r="O476" s="64"/>
    </row>
    <row r="477" spans="15:15" x14ac:dyDescent="0.25">
      <c r="O477" s="64"/>
    </row>
    <row r="478" spans="15:15" x14ac:dyDescent="0.25">
      <c r="O478" s="64"/>
    </row>
    <row r="479" spans="15:15" x14ac:dyDescent="0.25">
      <c r="O479" s="64"/>
    </row>
    <row r="480" spans="15:15" x14ac:dyDescent="0.25">
      <c r="O480" s="64"/>
    </row>
    <row r="481" spans="15:15" x14ac:dyDescent="0.25">
      <c r="O481" s="64"/>
    </row>
    <row r="482" spans="15:15" x14ac:dyDescent="0.25">
      <c r="O482" s="64"/>
    </row>
    <row r="483" spans="15:15" x14ac:dyDescent="0.25">
      <c r="O483" s="64"/>
    </row>
    <row r="484" spans="15:15" x14ac:dyDescent="0.25">
      <c r="O484" s="64"/>
    </row>
    <row r="485" spans="15:15" x14ac:dyDescent="0.25">
      <c r="O485" s="64"/>
    </row>
    <row r="486" spans="15:15" x14ac:dyDescent="0.25">
      <c r="O486" s="64"/>
    </row>
    <row r="487" spans="15:15" x14ac:dyDescent="0.25">
      <c r="O487" s="64"/>
    </row>
    <row r="488" spans="15:15" x14ac:dyDescent="0.25">
      <c r="O488" s="64"/>
    </row>
    <row r="489" spans="15:15" x14ac:dyDescent="0.25">
      <c r="O489" s="64"/>
    </row>
    <row r="490" spans="15:15" x14ac:dyDescent="0.25">
      <c r="O490" s="64"/>
    </row>
    <row r="491" spans="15:15" x14ac:dyDescent="0.25">
      <c r="O491" s="64"/>
    </row>
    <row r="492" spans="15:15" x14ac:dyDescent="0.25">
      <c r="O492" s="64"/>
    </row>
    <row r="493" spans="15:15" x14ac:dyDescent="0.25">
      <c r="O493" s="64"/>
    </row>
    <row r="494" spans="15:15" x14ac:dyDescent="0.25">
      <c r="O494" s="64"/>
    </row>
    <row r="495" spans="15:15" x14ac:dyDescent="0.25">
      <c r="O495" s="64"/>
    </row>
    <row r="496" spans="15:15" x14ac:dyDescent="0.25">
      <c r="O496" s="64"/>
    </row>
    <row r="497" spans="15:15" x14ac:dyDescent="0.25">
      <c r="O497" s="64"/>
    </row>
    <row r="498" spans="15:15" x14ac:dyDescent="0.25">
      <c r="O498" s="64"/>
    </row>
    <row r="499" spans="15:15" x14ac:dyDescent="0.25">
      <c r="O499" s="64"/>
    </row>
    <row r="500" spans="15:15" x14ac:dyDescent="0.25">
      <c r="O500" s="64"/>
    </row>
    <row r="501" spans="15:15" x14ac:dyDescent="0.25">
      <c r="O501" s="64"/>
    </row>
    <row r="502" spans="15:15" x14ac:dyDescent="0.25">
      <c r="O502" s="64"/>
    </row>
    <row r="503" spans="15:15" x14ac:dyDescent="0.25">
      <c r="O503" s="64"/>
    </row>
    <row r="504" spans="15:15" x14ac:dyDescent="0.25">
      <c r="O504" s="64"/>
    </row>
    <row r="505" spans="15:15" x14ac:dyDescent="0.25">
      <c r="O505" s="64"/>
    </row>
    <row r="506" spans="15:15" x14ac:dyDescent="0.25">
      <c r="O506" s="64"/>
    </row>
    <row r="507" spans="15:15" x14ac:dyDescent="0.25">
      <c r="O507" s="64"/>
    </row>
    <row r="508" spans="15:15" x14ac:dyDescent="0.25">
      <c r="O508" s="64"/>
    </row>
    <row r="509" spans="15:15" x14ac:dyDescent="0.25">
      <c r="O509" s="64"/>
    </row>
    <row r="510" spans="15:15" x14ac:dyDescent="0.25">
      <c r="O510" s="64"/>
    </row>
    <row r="511" spans="15:15" x14ac:dyDescent="0.25">
      <c r="O511" s="64"/>
    </row>
    <row r="512" spans="15:15" x14ac:dyDescent="0.25">
      <c r="O512" s="64"/>
    </row>
    <row r="513" spans="15:15" x14ac:dyDescent="0.25">
      <c r="O513" s="64"/>
    </row>
    <row r="514" spans="15:15" x14ac:dyDescent="0.25">
      <c r="O514" s="64"/>
    </row>
    <row r="515" spans="15:15" x14ac:dyDescent="0.25">
      <c r="O515" s="64"/>
    </row>
    <row r="516" spans="15:15" x14ac:dyDescent="0.25">
      <c r="O516" s="64"/>
    </row>
    <row r="517" spans="15:15" x14ac:dyDescent="0.25">
      <c r="O517" s="64"/>
    </row>
    <row r="518" spans="15:15" x14ac:dyDescent="0.25">
      <c r="O518" s="64"/>
    </row>
    <row r="519" spans="15:15" x14ac:dyDescent="0.25">
      <c r="O519" s="64"/>
    </row>
    <row r="520" spans="15:15" x14ac:dyDescent="0.25">
      <c r="O520" s="64"/>
    </row>
    <row r="521" spans="15:15" x14ac:dyDescent="0.25">
      <c r="O521" s="64"/>
    </row>
    <row r="522" spans="15:15" x14ac:dyDescent="0.25">
      <c r="O522" s="64"/>
    </row>
    <row r="523" spans="15:15" x14ac:dyDescent="0.25">
      <c r="O523" s="64"/>
    </row>
    <row r="524" spans="15:15" x14ac:dyDescent="0.25">
      <c r="O524" s="64"/>
    </row>
    <row r="525" spans="15:15" x14ac:dyDescent="0.25">
      <c r="O525" s="64"/>
    </row>
    <row r="526" spans="15:15" x14ac:dyDescent="0.25">
      <c r="O526" s="64"/>
    </row>
    <row r="527" spans="15:15" x14ac:dyDescent="0.25">
      <c r="O527" s="64"/>
    </row>
    <row r="528" spans="15:15" x14ac:dyDescent="0.25">
      <c r="O528" s="64"/>
    </row>
    <row r="529" spans="15:15" x14ac:dyDescent="0.25">
      <c r="O529" s="64"/>
    </row>
    <row r="530" spans="15:15" x14ac:dyDescent="0.25">
      <c r="O530" s="64"/>
    </row>
    <row r="531" spans="15:15" x14ac:dyDescent="0.25">
      <c r="O531" s="64"/>
    </row>
    <row r="532" spans="15:15" x14ac:dyDescent="0.25">
      <c r="O532" s="64"/>
    </row>
    <row r="533" spans="15:15" x14ac:dyDescent="0.25">
      <c r="O533" s="64"/>
    </row>
    <row r="534" spans="15:15" x14ac:dyDescent="0.25">
      <c r="O534" s="64"/>
    </row>
    <row r="535" spans="15:15" x14ac:dyDescent="0.25">
      <c r="O535" s="64"/>
    </row>
    <row r="536" spans="15:15" x14ac:dyDescent="0.25">
      <c r="O536" s="64"/>
    </row>
    <row r="537" spans="15:15" x14ac:dyDescent="0.25">
      <c r="O537" s="64"/>
    </row>
    <row r="538" spans="15:15" x14ac:dyDescent="0.25">
      <c r="O538" s="64"/>
    </row>
    <row r="539" spans="15:15" x14ac:dyDescent="0.25">
      <c r="O539" s="64"/>
    </row>
    <row r="540" spans="15:15" x14ac:dyDescent="0.25">
      <c r="O540" s="64"/>
    </row>
    <row r="541" spans="15:15" x14ac:dyDescent="0.25">
      <c r="O541" s="64"/>
    </row>
    <row r="542" spans="15:15" x14ac:dyDescent="0.25">
      <c r="O542" s="64"/>
    </row>
    <row r="543" spans="15:15" x14ac:dyDescent="0.25">
      <c r="O543" s="64"/>
    </row>
    <row r="544" spans="15:15" x14ac:dyDescent="0.25">
      <c r="O544" s="64"/>
    </row>
    <row r="545" spans="15:15" x14ac:dyDescent="0.25">
      <c r="O545" s="64"/>
    </row>
    <row r="546" spans="15:15" x14ac:dyDescent="0.25">
      <c r="O546" s="64"/>
    </row>
    <row r="547" spans="15:15" x14ac:dyDescent="0.25">
      <c r="O547" s="64"/>
    </row>
    <row r="548" spans="15:15" x14ac:dyDescent="0.25">
      <c r="O548" s="64"/>
    </row>
    <row r="549" spans="15:15" x14ac:dyDescent="0.25">
      <c r="O549" s="64"/>
    </row>
    <row r="550" spans="15:15" x14ac:dyDescent="0.25">
      <c r="O550" s="64"/>
    </row>
    <row r="551" spans="15:15" x14ac:dyDescent="0.25">
      <c r="O551" s="64"/>
    </row>
    <row r="552" spans="15:15" x14ac:dyDescent="0.25">
      <c r="O552" s="64"/>
    </row>
    <row r="553" spans="15:15" x14ac:dyDescent="0.25">
      <c r="O553" s="64"/>
    </row>
    <row r="554" spans="15:15" x14ac:dyDescent="0.25">
      <c r="O554" s="64"/>
    </row>
    <row r="555" spans="15:15" x14ac:dyDescent="0.25">
      <c r="O555" s="64"/>
    </row>
    <row r="556" spans="15:15" x14ac:dyDescent="0.25">
      <c r="O556" s="64"/>
    </row>
    <row r="557" spans="15:15" x14ac:dyDescent="0.25">
      <c r="O557" s="64"/>
    </row>
    <row r="558" spans="15:15" x14ac:dyDescent="0.25">
      <c r="O558" s="64"/>
    </row>
    <row r="559" spans="15:15" x14ac:dyDescent="0.25">
      <c r="O559" s="64"/>
    </row>
    <row r="560" spans="15:15" x14ac:dyDescent="0.25">
      <c r="O560" s="64"/>
    </row>
    <row r="561" spans="15:15" x14ac:dyDescent="0.25">
      <c r="O561" s="64"/>
    </row>
    <row r="562" spans="15:15" x14ac:dyDescent="0.25">
      <c r="O562" s="64"/>
    </row>
    <row r="563" spans="15:15" x14ac:dyDescent="0.25">
      <c r="O563" s="64"/>
    </row>
    <row r="564" spans="15:15" x14ac:dyDescent="0.25">
      <c r="O564" s="64"/>
    </row>
    <row r="565" spans="15:15" x14ac:dyDescent="0.25">
      <c r="O565" s="64"/>
    </row>
    <row r="566" spans="15:15" x14ac:dyDescent="0.25">
      <c r="O566" s="64"/>
    </row>
    <row r="567" spans="15:15" x14ac:dyDescent="0.25">
      <c r="O567" s="64"/>
    </row>
    <row r="568" spans="15:15" x14ac:dyDescent="0.25">
      <c r="O568" s="64"/>
    </row>
    <row r="569" spans="15:15" x14ac:dyDescent="0.25">
      <c r="O569" s="64"/>
    </row>
    <row r="570" spans="15:15" x14ac:dyDescent="0.25">
      <c r="O570" s="64"/>
    </row>
    <row r="571" spans="15:15" x14ac:dyDescent="0.25">
      <c r="O571" s="64"/>
    </row>
    <row r="572" spans="15:15" x14ac:dyDescent="0.25">
      <c r="O572" s="64"/>
    </row>
    <row r="573" spans="15:15" x14ac:dyDescent="0.25">
      <c r="O573" s="64"/>
    </row>
    <row r="574" spans="15:15" x14ac:dyDescent="0.25">
      <c r="O574" s="64"/>
    </row>
    <row r="575" spans="15:15" x14ac:dyDescent="0.25">
      <c r="O575" s="64"/>
    </row>
    <row r="576" spans="15:15" x14ac:dyDescent="0.25">
      <c r="O576" s="64"/>
    </row>
    <row r="577" spans="15:15" x14ac:dyDescent="0.25">
      <c r="O577" s="64"/>
    </row>
    <row r="578" spans="15:15" x14ac:dyDescent="0.25">
      <c r="O578" s="64"/>
    </row>
    <row r="579" spans="15:15" x14ac:dyDescent="0.25">
      <c r="O579" s="64"/>
    </row>
    <row r="580" spans="15:15" x14ac:dyDescent="0.25">
      <c r="O580" s="64"/>
    </row>
    <row r="581" spans="15:15" x14ac:dyDescent="0.25">
      <c r="O581" s="64"/>
    </row>
    <row r="582" spans="15:15" x14ac:dyDescent="0.25">
      <c r="O582" s="64"/>
    </row>
    <row r="583" spans="15:15" x14ac:dyDescent="0.25">
      <c r="O583" s="64"/>
    </row>
    <row r="584" spans="15:15" x14ac:dyDescent="0.25">
      <c r="O584" s="64"/>
    </row>
    <row r="585" spans="15:15" x14ac:dyDescent="0.25">
      <c r="O585" s="64"/>
    </row>
    <row r="586" spans="15:15" x14ac:dyDescent="0.25">
      <c r="O586" s="64"/>
    </row>
    <row r="587" spans="15:15" x14ac:dyDescent="0.25">
      <c r="O587" s="64"/>
    </row>
    <row r="588" spans="15:15" x14ac:dyDescent="0.25">
      <c r="O588" s="64"/>
    </row>
    <row r="589" spans="15:15" x14ac:dyDescent="0.25">
      <c r="O589" s="64"/>
    </row>
    <row r="590" spans="15:15" x14ac:dyDescent="0.25">
      <c r="O590" s="64"/>
    </row>
    <row r="591" spans="15:15" x14ac:dyDescent="0.25">
      <c r="O591" s="64"/>
    </row>
    <row r="592" spans="15:15" x14ac:dyDescent="0.25">
      <c r="O592" s="64"/>
    </row>
    <row r="593" spans="15:15" x14ac:dyDescent="0.25">
      <c r="O593" s="64"/>
    </row>
    <row r="594" spans="15:15" x14ac:dyDescent="0.25">
      <c r="O594" s="64"/>
    </row>
    <row r="595" spans="15:15" x14ac:dyDescent="0.25">
      <c r="O595" s="64"/>
    </row>
    <row r="596" spans="15:15" x14ac:dyDescent="0.25">
      <c r="O596" s="64"/>
    </row>
    <row r="597" spans="15:15" x14ac:dyDescent="0.25">
      <c r="O597" s="64"/>
    </row>
    <row r="598" spans="15:15" x14ac:dyDescent="0.25">
      <c r="O598" s="64"/>
    </row>
    <row r="599" spans="15:15" x14ac:dyDescent="0.25">
      <c r="O599" s="64"/>
    </row>
    <row r="600" spans="15:15" x14ac:dyDescent="0.25">
      <c r="O600" s="64"/>
    </row>
    <row r="601" spans="15:15" x14ac:dyDescent="0.25">
      <c r="O601" s="64"/>
    </row>
    <row r="602" spans="15:15" x14ac:dyDescent="0.25">
      <c r="O602" s="64"/>
    </row>
    <row r="603" spans="15:15" x14ac:dyDescent="0.25">
      <c r="O603" s="64"/>
    </row>
    <row r="604" spans="15:15" x14ac:dyDescent="0.25">
      <c r="O604" s="64"/>
    </row>
    <row r="605" spans="15:15" x14ac:dyDescent="0.25">
      <c r="O605" s="64"/>
    </row>
    <row r="606" spans="15:15" x14ac:dyDescent="0.25">
      <c r="O606" s="64"/>
    </row>
    <row r="607" spans="15:15" x14ac:dyDescent="0.25">
      <c r="O607" s="64"/>
    </row>
    <row r="608" spans="15:15" x14ac:dyDescent="0.25">
      <c r="O608" s="64"/>
    </row>
    <row r="609" spans="15:15" x14ac:dyDescent="0.25">
      <c r="O609" s="64"/>
    </row>
    <row r="610" spans="15:15" x14ac:dyDescent="0.25">
      <c r="O610" s="64"/>
    </row>
    <row r="611" spans="15:15" x14ac:dyDescent="0.25">
      <c r="O611" s="64"/>
    </row>
    <row r="612" spans="15:15" x14ac:dyDescent="0.25">
      <c r="O612" s="64"/>
    </row>
    <row r="613" spans="15:15" x14ac:dyDescent="0.25">
      <c r="O613" s="64"/>
    </row>
    <row r="614" spans="15:15" x14ac:dyDescent="0.25">
      <c r="O614" s="64"/>
    </row>
    <row r="615" spans="15:15" x14ac:dyDescent="0.25">
      <c r="O615" s="64"/>
    </row>
    <row r="616" spans="15:15" x14ac:dyDescent="0.25">
      <c r="O616" s="64"/>
    </row>
    <row r="617" spans="15:15" x14ac:dyDescent="0.25">
      <c r="O617" s="64"/>
    </row>
    <row r="618" spans="15:15" x14ac:dyDescent="0.25">
      <c r="O618" s="64"/>
    </row>
    <row r="619" spans="15:15" x14ac:dyDescent="0.25">
      <c r="O619" s="64"/>
    </row>
    <row r="620" spans="15:15" x14ac:dyDescent="0.25">
      <c r="O620" s="64"/>
    </row>
    <row r="621" spans="15:15" x14ac:dyDescent="0.25">
      <c r="O621" s="64"/>
    </row>
    <row r="622" spans="15:15" x14ac:dyDescent="0.25">
      <c r="O622" s="64"/>
    </row>
    <row r="623" spans="15:15" x14ac:dyDescent="0.25">
      <c r="O623" s="64"/>
    </row>
    <row r="624" spans="15:15" x14ac:dyDescent="0.25">
      <c r="O624" s="64"/>
    </row>
    <row r="625" spans="15:15" x14ac:dyDescent="0.25">
      <c r="O625" s="64"/>
    </row>
    <row r="626" spans="15:15" x14ac:dyDescent="0.25">
      <c r="O626" s="64"/>
    </row>
    <row r="627" spans="15:15" x14ac:dyDescent="0.25">
      <c r="O627" s="64"/>
    </row>
    <row r="628" spans="15:15" x14ac:dyDescent="0.25">
      <c r="O628" s="64"/>
    </row>
    <row r="629" spans="15:15" x14ac:dyDescent="0.25">
      <c r="O629" s="64"/>
    </row>
    <row r="630" spans="15:15" x14ac:dyDescent="0.25">
      <c r="O630" s="64"/>
    </row>
    <row r="631" spans="15:15" x14ac:dyDescent="0.25">
      <c r="O631" s="64"/>
    </row>
    <row r="632" spans="15:15" x14ac:dyDescent="0.25">
      <c r="O632" s="64"/>
    </row>
    <row r="633" spans="15:15" x14ac:dyDescent="0.25">
      <c r="O633" s="64"/>
    </row>
    <row r="634" spans="15:15" x14ac:dyDescent="0.25">
      <c r="O634" s="64"/>
    </row>
    <row r="635" spans="15:15" x14ac:dyDescent="0.25">
      <c r="O635" s="64"/>
    </row>
    <row r="636" spans="15:15" x14ac:dyDescent="0.25">
      <c r="O636" s="64"/>
    </row>
    <row r="637" spans="15:15" x14ac:dyDescent="0.25">
      <c r="O637" s="64"/>
    </row>
    <row r="638" spans="15:15" x14ac:dyDescent="0.25">
      <c r="O638" s="64"/>
    </row>
    <row r="639" spans="15:15" x14ac:dyDescent="0.25">
      <c r="O639" s="64"/>
    </row>
    <row r="640" spans="15:15" x14ac:dyDescent="0.25">
      <c r="O640" s="64"/>
    </row>
    <row r="641" spans="15:15" x14ac:dyDescent="0.25">
      <c r="O641" s="64"/>
    </row>
    <row r="642" spans="15:15" x14ac:dyDescent="0.25">
      <c r="O642" s="64"/>
    </row>
    <row r="643" spans="15:15" x14ac:dyDescent="0.25">
      <c r="O643" s="64"/>
    </row>
    <row r="644" spans="15:15" x14ac:dyDescent="0.25">
      <c r="O644" s="64"/>
    </row>
    <row r="645" spans="15:15" x14ac:dyDescent="0.25">
      <c r="O645" s="64"/>
    </row>
    <row r="646" spans="15:15" x14ac:dyDescent="0.25">
      <c r="O646" s="64"/>
    </row>
    <row r="647" spans="15:15" x14ac:dyDescent="0.25">
      <c r="O647" s="64"/>
    </row>
    <row r="648" spans="15:15" x14ac:dyDescent="0.25">
      <c r="O648" s="64"/>
    </row>
    <row r="649" spans="15:15" x14ac:dyDescent="0.25">
      <c r="O649" s="64"/>
    </row>
    <row r="650" spans="15:15" x14ac:dyDescent="0.25">
      <c r="O650" s="64"/>
    </row>
    <row r="651" spans="15:15" x14ac:dyDescent="0.25">
      <c r="O651" s="64"/>
    </row>
    <row r="652" spans="15:15" x14ac:dyDescent="0.25">
      <c r="O652" s="64"/>
    </row>
    <row r="653" spans="15:15" x14ac:dyDescent="0.25">
      <c r="O653" s="64"/>
    </row>
    <row r="654" spans="15:15" x14ac:dyDescent="0.25">
      <c r="O654" s="64"/>
    </row>
    <row r="655" spans="15:15" x14ac:dyDescent="0.25">
      <c r="O655" s="64"/>
    </row>
    <row r="656" spans="15:15" x14ac:dyDescent="0.25">
      <c r="O656" s="64"/>
    </row>
    <row r="657" spans="15:15" x14ac:dyDescent="0.25">
      <c r="O657" s="64"/>
    </row>
    <row r="658" spans="15:15" x14ac:dyDescent="0.25">
      <c r="O658" s="64"/>
    </row>
    <row r="659" spans="15:15" x14ac:dyDescent="0.25">
      <c r="O659" s="64"/>
    </row>
    <row r="660" spans="15:15" x14ac:dyDescent="0.25">
      <c r="O660" s="64"/>
    </row>
    <row r="661" spans="15:15" x14ac:dyDescent="0.25">
      <c r="O661" s="64"/>
    </row>
    <row r="662" spans="15:15" x14ac:dyDescent="0.25">
      <c r="O662" s="64"/>
    </row>
    <row r="663" spans="15:15" x14ac:dyDescent="0.25">
      <c r="O663" s="64"/>
    </row>
    <row r="664" spans="15:15" x14ac:dyDescent="0.25">
      <c r="O664" s="64"/>
    </row>
    <row r="665" spans="15:15" x14ac:dyDescent="0.25">
      <c r="O665" s="64"/>
    </row>
    <row r="666" spans="15:15" x14ac:dyDescent="0.25">
      <c r="O666" s="64"/>
    </row>
    <row r="667" spans="15:15" x14ac:dyDescent="0.25">
      <c r="O667" s="64"/>
    </row>
    <row r="668" spans="15:15" x14ac:dyDescent="0.25">
      <c r="O668" s="64"/>
    </row>
    <row r="669" spans="15:15" x14ac:dyDescent="0.25">
      <c r="O669" s="64"/>
    </row>
    <row r="670" spans="15:15" x14ac:dyDescent="0.25">
      <c r="O670" s="64"/>
    </row>
    <row r="671" spans="15:15" x14ac:dyDescent="0.25">
      <c r="O671" s="64"/>
    </row>
    <row r="672" spans="15:15" x14ac:dyDescent="0.25">
      <c r="O672" s="64"/>
    </row>
    <row r="673" spans="15:15" x14ac:dyDescent="0.25">
      <c r="O673" s="64"/>
    </row>
    <row r="674" spans="15:15" x14ac:dyDescent="0.25">
      <c r="O674" s="64"/>
    </row>
    <row r="675" spans="15:15" x14ac:dyDescent="0.25">
      <c r="O675" s="64"/>
    </row>
    <row r="676" spans="15:15" x14ac:dyDescent="0.25">
      <c r="O676" s="64"/>
    </row>
    <row r="677" spans="15:15" x14ac:dyDescent="0.25">
      <c r="O677" s="64"/>
    </row>
    <row r="678" spans="15:15" x14ac:dyDescent="0.25">
      <c r="O678" s="64"/>
    </row>
    <row r="679" spans="15:15" x14ac:dyDescent="0.25">
      <c r="O679" s="64"/>
    </row>
    <row r="680" spans="15:15" x14ac:dyDescent="0.25">
      <c r="O680" s="64"/>
    </row>
    <row r="681" spans="15:15" x14ac:dyDescent="0.25">
      <c r="O681" s="64"/>
    </row>
    <row r="682" spans="15:15" x14ac:dyDescent="0.25">
      <c r="O682" s="64"/>
    </row>
    <row r="683" spans="15:15" x14ac:dyDescent="0.25">
      <c r="O683" s="64"/>
    </row>
    <row r="684" spans="15:15" x14ac:dyDescent="0.25">
      <c r="O684" s="64"/>
    </row>
    <row r="685" spans="15:15" x14ac:dyDescent="0.25">
      <c r="O685" s="64"/>
    </row>
    <row r="686" spans="15:15" x14ac:dyDescent="0.25">
      <c r="O686" s="64"/>
    </row>
    <row r="687" spans="15:15" x14ac:dyDescent="0.25">
      <c r="O687" s="64"/>
    </row>
    <row r="688" spans="15:15" x14ac:dyDescent="0.25">
      <c r="O688" s="64"/>
    </row>
    <row r="689" spans="15:15" x14ac:dyDescent="0.25">
      <c r="O689" s="64"/>
    </row>
    <row r="690" spans="15:15" x14ac:dyDescent="0.25">
      <c r="O690" s="64"/>
    </row>
    <row r="691" spans="15:15" x14ac:dyDescent="0.25">
      <c r="O691" s="64"/>
    </row>
    <row r="692" spans="15:15" x14ac:dyDescent="0.25">
      <c r="O692" s="64"/>
    </row>
    <row r="693" spans="15:15" x14ac:dyDescent="0.25">
      <c r="O693" s="64"/>
    </row>
    <row r="694" spans="15:15" x14ac:dyDescent="0.25">
      <c r="O694" s="64"/>
    </row>
    <row r="695" spans="15:15" x14ac:dyDescent="0.25">
      <c r="O695" s="64"/>
    </row>
    <row r="696" spans="15:15" x14ac:dyDescent="0.25">
      <c r="O696" s="64"/>
    </row>
    <row r="697" spans="15:15" x14ac:dyDescent="0.25">
      <c r="O697" s="64"/>
    </row>
    <row r="698" spans="15:15" x14ac:dyDescent="0.25">
      <c r="O698" s="64"/>
    </row>
    <row r="699" spans="15:15" x14ac:dyDescent="0.25">
      <c r="O699" s="64"/>
    </row>
    <row r="700" spans="15:15" x14ac:dyDescent="0.25">
      <c r="O700" s="64"/>
    </row>
    <row r="701" spans="15:15" x14ac:dyDescent="0.25">
      <c r="O701" s="64"/>
    </row>
    <row r="702" spans="15:15" x14ac:dyDescent="0.25">
      <c r="O702" s="64"/>
    </row>
    <row r="703" spans="15:15" x14ac:dyDescent="0.25">
      <c r="O703" s="64"/>
    </row>
    <row r="704" spans="15:15" x14ac:dyDescent="0.25">
      <c r="O704" s="64"/>
    </row>
    <row r="705" spans="15:15" x14ac:dyDescent="0.25">
      <c r="O705" s="64"/>
    </row>
    <row r="706" spans="15:15" x14ac:dyDescent="0.25">
      <c r="O706" s="64"/>
    </row>
    <row r="707" spans="15:15" x14ac:dyDescent="0.25">
      <c r="O707" s="64"/>
    </row>
    <row r="708" spans="15:15" x14ac:dyDescent="0.25">
      <c r="O708" s="64"/>
    </row>
    <row r="709" spans="15:15" x14ac:dyDescent="0.25">
      <c r="O709" s="64"/>
    </row>
    <row r="710" spans="15:15" x14ac:dyDescent="0.25">
      <c r="O710" s="64"/>
    </row>
    <row r="711" spans="15:15" x14ac:dyDescent="0.25">
      <c r="O711" s="64"/>
    </row>
    <row r="712" spans="15:15" x14ac:dyDescent="0.25">
      <c r="O712" s="64"/>
    </row>
    <row r="713" spans="15:15" x14ac:dyDescent="0.25">
      <c r="O713" s="64"/>
    </row>
    <row r="714" spans="15:15" x14ac:dyDescent="0.25">
      <c r="O714" s="64"/>
    </row>
    <row r="715" spans="15:15" x14ac:dyDescent="0.25">
      <c r="O715" s="64"/>
    </row>
    <row r="716" spans="15:15" x14ac:dyDescent="0.25">
      <c r="O716" s="64"/>
    </row>
    <row r="717" spans="15:15" x14ac:dyDescent="0.25">
      <c r="O717" s="64"/>
    </row>
    <row r="718" spans="15:15" x14ac:dyDescent="0.25">
      <c r="O718" s="64"/>
    </row>
    <row r="719" spans="15:15" x14ac:dyDescent="0.25">
      <c r="O719" s="64"/>
    </row>
    <row r="720" spans="15:15" x14ac:dyDescent="0.25">
      <c r="O720" s="64"/>
    </row>
    <row r="721" spans="15:15" x14ac:dyDescent="0.25">
      <c r="O721" s="64"/>
    </row>
    <row r="722" spans="15:15" x14ac:dyDescent="0.25">
      <c r="O722" s="64"/>
    </row>
    <row r="723" spans="15:15" x14ac:dyDescent="0.25">
      <c r="O723" s="64"/>
    </row>
    <row r="724" spans="15:15" x14ac:dyDescent="0.25">
      <c r="O724" s="64"/>
    </row>
    <row r="725" spans="15:15" x14ac:dyDescent="0.25">
      <c r="O725" s="64"/>
    </row>
    <row r="726" spans="15:15" x14ac:dyDescent="0.25">
      <c r="O726" s="64"/>
    </row>
    <row r="727" spans="15:15" x14ac:dyDescent="0.25">
      <c r="O727" s="64"/>
    </row>
    <row r="728" spans="15:15" x14ac:dyDescent="0.25">
      <c r="O728" s="64"/>
    </row>
    <row r="729" spans="15:15" x14ac:dyDescent="0.25">
      <c r="O729" s="64"/>
    </row>
    <row r="730" spans="15:15" x14ac:dyDescent="0.25">
      <c r="O730" s="64"/>
    </row>
    <row r="731" spans="15:15" x14ac:dyDescent="0.25">
      <c r="O731" s="64"/>
    </row>
    <row r="732" spans="15:15" x14ac:dyDescent="0.25">
      <c r="O732" s="64"/>
    </row>
    <row r="733" spans="15:15" x14ac:dyDescent="0.25">
      <c r="O733" s="64"/>
    </row>
    <row r="734" spans="15:15" x14ac:dyDescent="0.25">
      <c r="O734" s="64"/>
    </row>
    <row r="735" spans="15:15" x14ac:dyDescent="0.25">
      <c r="O735" s="64"/>
    </row>
    <row r="736" spans="15:15" x14ac:dyDescent="0.25">
      <c r="O736" s="64"/>
    </row>
    <row r="737" spans="15:15" x14ac:dyDescent="0.25">
      <c r="O737" s="64"/>
    </row>
    <row r="738" spans="15:15" x14ac:dyDescent="0.25">
      <c r="O738" s="64"/>
    </row>
    <row r="739" spans="15:15" x14ac:dyDescent="0.25">
      <c r="O739" s="64"/>
    </row>
    <row r="740" spans="15:15" x14ac:dyDescent="0.25">
      <c r="O740" s="64"/>
    </row>
    <row r="741" spans="15:15" x14ac:dyDescent="0.25">
      <c r="O741" s="64"/>
    </row>
    <row r="742" spans="15:15" x14ac:dyDescent="0.25">
      <c r="O742" s="64"/>
    </row>
    <row r="743" spans="15:15" x14ac:dyDescent="0.25">
      <c r="O743" s="64"/>
    </row>
    <row r="744" spans="15:15" x14ac:dyDescent="0.25">
      <c r="O744" s="64"/>
    </row>
    <row r="745" spans="15:15" x14ac:dyDescent="0.25">
      <c r="O745" s="64"/>
    </row>
    <row r="746" spans="15:15" x14ac:dyDescent="0.25">
      <c r="O746" s="64"/>
    </row>
    <row r="747" spans="15:15" x14ac:dyDescent="0.25">
      <c r="O747" s="64"/>
    </row>
    <row r="748" spans="15:15" x14ac:dyDescent="0.25">
      <c r="O748" s="64"/>
    </row>
    <row r="749" spans="15:15" x14ac:dyDescent="0.25">
      <c r="O749" s="64"/>
    </row>
    <row r="750" spans="15:15" x14ac:dyDescent="0.25">
      <c r="O750" s="64"/>
    </row>
    <row r="751" spans="15:15" x14ac:dyDescent="0.25">
      <c r="O751" s="64"/>
    </row>
    <row r="752" spans="15:15" x14ac:dyDescent="0.25">
      <c r="O752" s="64"/>
    </row>
    <row r="753" spans="15:15" x14ac:dyDescent="0.25">
      <c r="O753" s="64"/>
    </row>
    <row r="754" spans="15:15" x14ac:dyDescent="0.25">
      <c r="O754" s="64"/>
    </row>
    <row r="755" spans="15:15" x14ac:dyDescent="0.25">
      <c r="O755" s="64"/>
    </row>
    <row r="756" spans="15:15" x14ac:dyDescent="0.25">
      <c r="O756" s="64"/>
    </row>
    <row r="757" spans="15:15" x14ac:dyDescent="0.25">
      <c r="O757" s="64"/>
    </row>
    <row r="758" spans="15:15" x14ac:dyDescent="0.25">
      <c r="O758" s="64"/>
    </row>
    <row r="759" spans="15:15" x14ac:dyDescent="0.25">
      <c r="O759" s="64"/>
    </row>
    <row r="760" spans="15:15" x14ac:dyDescent="0.25">
      <c r="O760" s="64"/>
    </row>
    <row r="761" spans="15:15" x14ac:dyDescent="0.25">
      <c r="O761" s="64"/>
    </row>
    <row r="762" spans="15:15" x14ac:dyDescent="0.25">
      <c r="O762" s="64"/>
    </row>
    <row r="763" spans="15:15" x14ac:dyDescent="0.25">
      <c r="O763" s="64"/>
    </row>
    <row r="764" spans="15:15" x14ac:dyDescent="0.25">
      <c r="O764" s="64"/>
    </row>
    <row r="765" spans="15:15" x14ac:dyDescent="0.25">
      <c r="O765" s="64"/>
    </row>
    <row r="766" spans="15:15" x14ac:dyDescent="0.25">
      <c r="O766" s="64"/>
    </row>
    <row r="767" spans="15:15" x14ac:dyDescent="0.25">
      <c r="O767" s="64"/>
    </row>
    <row r="768" spans="15:15" x14ac:dyDescent="0.25">
      <c r="O768" s="64"/>
    </row>
    <row r="769" spans="15:15" x14ac:dyDescent="0.25">
      <c r="O769" s="64"/>
    </row>
    <row r="770" spans="15:15" x14ac:dyDescent="0.25">
      <c r="O770" s="64"/>
    </row>
    <row r="771" spans="15:15" x14ac:dyDescent="0.25">
      <c r="O771" s="64"/>
    </row>
    <row r="772" spans="15:15" x14ac:dyDescent="0.25">
      <c r="O772" s="64"/>
    </row>
    <row r="773" spans="15:15" x14ac:dyDescent="0.25">
      <c r="O773" s="64"/>
    </row>
    <row r="774" spans="15:15" x14ac:dyDescent="0.25">
      <c r="O774" s="64"/>
    </row>
    <row r="775" spans="15:15" x14ac:dyDescent="0.25">
      <c r="O775" s="64"/>
    </row>
    <row r="776" spans="15:15" x14ac:dyDescent="0.25">
      <c r="O776" s="64"/>
    </row>
    <row r="777" spans="15:15" x14ac:dyDescent="0.25">
      <c r="O777" s="64"/>
    </row>
    <row r="778" spans="15:15" x14ac:dyDescent="0.25">
      <c r="O778" s="64"/>
    </row>
    <row r="779" spans="15:15" x14ac:dyDescent="0.25">
      <c r="O779" s="64"/>
    </row>
    <row r="780" spans="15:15" x14ac:dyDescent="0.25">
      <c r="O780" s="64"/>
    </row>
  </sheetData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8419-B02F-4688-B742-E17ED4F14C82}">
  <sheetPr codeName="Tabelle23">
    <tabColor rgb="FF01FFFF"/>
  </sheetPr>
  <dimension ref="A1:BI1"/>
  <sheetViews>
    <sheetView workbookViewId="0">
      <selection activeCell="G51" sqref="G51"/>
    </sheetView>
  </sheetViews>
  <sheetFormatPr baseColWidth="10" defaultRowHeight="15" x14ac:dyDescent="0.25"/>
  <cols>
    <col min="1" max="1" width="14.5703125" style="76" bestFit="1" customWidth="1"/>
    <col min="2" max="2" width="22.5703125" style="76" bestFit="1" customWidth="1"/>
    <col min="3" max="3" width="16.28515625" style="76" bestFit="1" customWidth="1"/>
    <col min="4" max="4" width="8.28515625" style="76" bestFit="1" customWidth="1"/>
    <col min="5" max="5" width="26.5703125" style="76" bestFit="1" customWidth="1"/>
    <col min="6" max="6" width="10.42578125" style="76" bestFit="1" customWidth="1"/>
    <col min="7" max="7" width="84.42578125" style="76" bestFit="1" customWidth="1"/>
    <col min="8" max="8" width="8.140625" style="76" bestFit="1" customWidth="1"/>
    <col min="9" max="9" width="14.28515625" style="76" bestFit="1" customWidth="1"/>
    <col min="10" max="10" width="9.28515625" style="76" bestFit="1" customWidth="1"/>
    <col min="11" max="11" width="14.85546875" style="76" bestFit="1" customWidth="1"/>
    <col min="12" max="12" width="19.140625" style="76" bestFit="1" customWidth="1"/>
    <col min="13" max="14" width="80" style="76" bestFit="1" customWidth="1"/>
    <col min="15" max="15" width="19" style="76" bestFit="1" customWidth="1"/>
    <col min="16" max="16" width="20.7109375" style="76" bestFit="1" customWidth="1"/>
    <col min="17" max="17" width="19.140625" style="76" bestFit="1" customWidth="1"/>
    <col min="18" max="19" width="77.85546875" style="76" bestFit="1" customWidth="1"/>
    <col min="20" max="20" width="19" style="76" bestFit="1" customWidth="1"/>
    <col min="21" max="21" width="20.7109375" style="76" bestFit="1" customWidth="1"/>
    <col min="22" max="22" width="18.5703125" style="76" bestFit="1" customWidth="1"/>
    <col min="23" max="24" width="85.140625" style="76" bestFit="1" customWidth="1"/>
    <col min="25" max="25" width="19" style="76" bestFit="1" customWidth="1"/>
    <col min="26" max="26" width="20.7109375" style="76" bestFit="1" customWidth="1"/>
    <col min="27" max="27" width="18.5703125" style="76" bestFit="1" customWidth="1"/>
    <col min="28" max="29" width="81.28515625" style="76" bestFit="1" customWidth="1"/>
    <col min="30" max="30" width="19" style="76" bestFit="1" customWidth="1"/>
    <col min="31" max="31" width="20.7109375" style="76" bestFit="1" customWidth="1"/>
    <col min="32" max="32" width="19.85546875" style="76" bestFit="1" customWidth="1"/>
    <col min="33" max="34" width="84.42578125" style="76" bestFit="1" customWidth="1"/>
    <col min="35" max="35" width="19" style="76" bestFit="1" customWidth="1"/>
    <col min="36" max="36" width="20.7109375" style="76" bestFit="1" customWidth="1"/>
    <col min="37" max="37" width="19.140625" style="76" bestFit="1" customWidth="1"/>
    <col min="38" max="39" width="67.5703125" style="76" bestFit="1" customWidth="1"/>
    <col min="40" max="40" width="19" style="76" bestFit="1" customWidth="1"/>
    <col min="41" max="41" width="20.7109375" style="76" bestFit="1" customWidth="1"/>
    <col min="42" max="42" width="19.28515625" style="76" bestFit="1" customWidth="1"/>
    <col min="43" max="44" width="71.7109375" style="76" bestFit="1" customWidth="1"/>
    <col min="45" max="45" width="19" style="76" bestFit="1" customWidth="1"/>
    <col min="46" max="46" width="20.7109375" style="76" bestFit="1" customWidth="1"/>
    <col min="47" max="47" width="19.28515625" style="76" bestFit="1" customWidth="1"/>
    <col min="48" max="49" width="71.7109375" style="76" bestFit="1" customWidth="1"/>
    <col min="50" max="50" width="19" style="76" bestFit="1" customWidth="1"/>
    <col min="51" max="51" width="20.7109375" style="76" bestFit="1" customWidth="1"/>
    <col min="52" max="52" width="19" style="76" bestFit="1" customWidth="1"/>
    <col min="53" max="54" width="77.140625" style="76" bestFit="1" customWidth="1"/>
    <col min="55" max="55" width="19" style="76" bestFit="1" customWidth="1"/>
    <col min="56" max="56" width="20.7109375" style="76" bestFit="1" customWidth="1"/>
    <col min="57" max="57" width="14" style="76" bestFit="1" customWidth="1"/>
    <col min="58" max="58" width="20.85546875" style="76" bestFit="1" customWidth="1"/>
    <col min="59" max="59" width="22.85546875" style="76" bestFit="1" customWidth="1"/>
    <col min="60" max="60" width="20" style="76" bestFit="1" customWidth="1"/>
    <col min="61" max="61" width="21.7109375" style="76" bestFit="1" customWidth="1"/>
    <col min="62" max="99" width="3" style="76" bestFit="1" customWidth="1"/>
    <col min="100" max="100" width="13.85546875" style="76" bestFit="1" customWidth="1"/>
    <col min="101" max="103" width="4" style="76" bestFit="1" customWidth="1"/>
    <col min="104" max="16384" width="11.42578125" style="76"/>
  </cols>
  <sheetData>
    <row r="1" spans="1:61" x14ac:dyDescent="0.25">
      <c r="A1" s="76" t="s">
        <v>783</v>
      </c>
      <c r="B1" s="76" t="s">
        <v>784</v>
      </c>
      <c r="C1" s="76" t="s">
        <v>786</v>
      </c>
      <c r="D1" s="76" t="s">
        <v>541</v>
      </c>
      <c r="E1" s="76" t="s">
        <v>787</v>
      </c>
      <c r="F1" s="76" t="s">
        <v>788</v>
      </c>
      <c r="G1" s="76" t="s">
        <v>789</v>
      </c>
      <c r="H1" s="76" t="s">
        <v>790</v>
      </c>
      <c r="I1" s="76" t="s">
        <v>791</v>
      </c>
      <c r="J1" s="76" t="s">
        <v>792</v>
      </c>
      <c r="K1" s="76" t="s">
        <v>793</v>
      </c>
      <c r="L1" t="s">
        <v>795</v>
      </c>
      <c r="M1" t="s">
        <v>796</v>
      </c>
      <c r="N1" t="s">
        <v>797</v>
      </c>
      <c r="O1" t="s">
        <v>798</v>
      </c>
      <c r="P1" t="s">
        <v>799</v>
      </c>
      <c r="Q1" t="s">
        <v>800</v>
      </c>
      <c r="R1" t="s">
        <v>801</v>
      </c>
      <c r="S1" t="s">
        <v>802</v>
      </c>
      <c r="T1" t="s">
        <v>803</v>
      </c>
      <c r="U1" t="s">
        <v>804</v>
      </c>
      <c r="V1" t="s">
        <v>805</v>
      </c>
      <c r="W1" t="s">
        <v>806</v>
      </c>
      <c r="X1" t="s">
        <v>807</v>
      </c>
      <c r="Y1" t="s">
        <v>808</v>
      </c>
      <c r="Z1" t="s">
        <v>809</v>
      </c>
      <c r="AA1" t="s">
        <v>810</v>
      </c>
      <c r="AB1" t="s">
        <v>811</v>
      </c>
      <c r="AC1" t="s">
        <v>812</v>
      </c>
      <c r="AD1" t="s">
        <v>813</v>
      </c>
      <c r="AE1" t="s">
        <v>814</v>
      </c>
      <c r="AF1" t="s">
        <v>815</v>
      </c>
      <c r="AG1" t="s">
        <v>816</v>
      </c>
      <c r="AH1" t="s">
        <v>817</v>
      </c>
      <c r="AI1" t="s">
        <v>818</v>
      </c>
      <c r="AJ1" t="s">
        <v>819</v>
      </c>
      <c r="AK1" t="s">
        <v>820</v>
      </c>
      <c r="AL1" t="s">
        <v>821</v>
      </c>
      <c r="AM1" t="s">
        <v>822</v>
      </c>
      <c r="AN1" t="s">
        <v>823</v>
      </c>
      <c r="AO1" t="s">
        <v>824</v>
      </c>
      <c r="AP1" t="s">
        <v>825</v>
      </c>
      <c r="AQ1" t="s">
        <v>826</v>
      </c>
      <c r="AR1" t="s">
        <v>827</v>
      </c>
      <c r="AS1" t="s">
        <v>828</v>
      </c>
      <c r="AT1" t="s">
        <v>829</v>
      </c>
      <c r="AU1" t="s">
        <v>830</v>
      </c>
      <c r="AV1" t="s">
        <v>831</v>
      </c>
      <c r="AW1" t="s">
        <v>832</v>
      </c>
      <c r="AX1" t="s">
        <v>833</v>
      </c>
      <c r="AY1" t="s">
        <v>834</v>
      </c>
      <c r="AZ1" t="s">
        <v>835</v>
      </c>
      <c r="BA1" t="s">
        <v>836</v>
      </c>
      <c r="BB1" t="s">
        <v>837</v>
      </c>
      <c r="BC1" t="s">
        <v>838</v>
      </c>
      <c r="BD1" t="s">
        <v>839</v>
      </c>
      <c r="BE1" t="s">
        <v>840</v>
      </c>
      <c r="BF1" t="s">
        <v>841</v>
      </c>
      <c r="BG1" t="s">
        <v>842</v>
      </c>
      <c r="BH1" t="s">
        <v>843</v>
      </c>
      <c r="BI1" t="s">
        <v>844</v>
      </c>
    </row>
  </sheetData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806D0-8286-4B6D-8C27-5035417BA972}">
  <sheetPr codeName="Tabelle24">
    <tabColor rgb="FF01FFFF"/>
  </sheetPr>
  <dimension ref="A1:CY4"/>
  <sheetViews>
    <sheetView workbookViewId="0">
      <selection activeCell="G32" sqref="G32"/>
    </sheetView>
  </sheetViews>
  <sheetFormatPr baseColWidth="10" defaultRowHeight="15" x14ac:dyDescent="0.25"/>
  <cols>
    <col min="1" max="1" width="12.28515625" style="76" bestFit="1" customWidth="1"/>
    <col min="2" max="2" width="20.28515625" style="76" bestFit="1" customWidth="1"/>
    <col min="3" max="3" width="14" style="76" bestFit="1" customWidth="1"/>
    <col min="4" max="4" width="6.28515625" style="76" bestFit="1" customWidth="1"/>
    <col min="5" max="5" width="24.28515625" style="76" bestFit="1" customWidth="1"/>
    <col min="6" max="6" width="8.140625" style="76" bestFit="1" customWidth="1"/>
    <col min="7" max="7" width="87.85546875" style="76" bestFit="1" customWidth="1"/>
    <col min="8" max="8" width="5.85546875" style="76" bestFit="1" customWidth="1"/>
    <col min="9" max="9" width="12" style="76" bestFit="1" customWidth="1"/>
    <col min="10" max="10" width="7" style="76" bestFit="1" customWidth="1"/>
    <col min="11" max="11" width="12.5703125" style="76" bestFit="1" customWidth="1"/>
    <col min="12" max="12" width="19.85546875" style="76" bestFit="1" customWidth="1"/>
    <col min="13" max="14" width="87.85546875" style="76" bestFit="1" customWidth="1"/>
    <col min="15" max="15" width="16.7109375" style="76" bestFit="1" customWidth="1"/>
    <col min="16" max="16" width="18.42578125" style="76" bestFit="1" customWidth="1"/>
    <col min="17" max="17" width="10.7109375" style="76" bestFit="1" customWidth="1"/>
    <col min="18" max="18" width="17.5703125" style="76" bestFit="1" customWidth="1"/>
    <col min="19" max="19" width="19.5703125" style="76" bestFit="1" customWidth="1"/>
    <col min="20" max="20" width="16.7109375" style="76" bestFit="1" customWidth="1"/>
    <col min="21" max="21" width="18.42578125" style="76" bestFit="1" customWidth="1"/>
    <col min="22" max="22" width="10.7109375" style="76" bestFit="1" customWidth="1"/>
    <col min="23" max="23" width="17.5703125" style="76" bestFit="1" customWidth="1"/>
    <col min="24" max="24" width="19.5703125" style="76" bestFit="1" customWidth="1"/>
    <col min="25" max="25" width="16.7109375" style="76" bestFit="1" customWidth="1"/>
    <col min="26" max="26" width="18.42578125" style="76" bestFit="1" customWidth="1"/>
    <col min="27" max="27" width="10.7109375" style="76" bestFit="1" customWidth="1"/>
    <col min="28" max="28" width="17.5703125" style="76" bestFit="1" customWidth="1"/>
    <col min="29" max="29" width="19.5703125" style="76" bestFit="1" customWidth="1"/>
    <col min="30" max="30" width="16.7109375" style="76" bestFit="1" customWidth="1"/>
    <col min="31" max="31" width="18.42578125" style="76" bestFit="1" customWidth="1"/>
    <col min="32" max="32" width="10.7109375" style="76" bestFit="1" customWidth="1"/>
    <col min="33" max="33" width="17.5703125" style="76" bestFit="1" customWidth="1"/>
    <col min="34" max="34" width="19.5703125" style="76" bestFit="1" customWidth="1"/>
    <col min="35" max="35" width="16.7109375" style="76" bestFit="1" customWidth="1"/>
    <col min="36" max="36" width="18.42578125" style="76" bestFit="1" customWidth="1"/>
    <col min="37" max="37" width="10.7109375" style="76" bestFit="1" customWidth="1"/>
    <col min="38" max="38" width="17.5703125" style="76" bestFit="1" customWidth="1"/>
    <col min="39" max="39" width="19.5703125" style="76" bestFit="1" customWidth="1"/>
    <col min="40" max="40" width="16.7109375" style="76" bestFit="1" customWidth="1"/>
    <col min="41" max="41" width="18.42578125" style="76" bestFit="1" customWidth="1"/>
    <col min="42" max="42" width="10.7109375" style="76" bestFit="1" customWidth="1"/>
    <col min="43" max="43" width="17.5703125" style="76" bestFit="1" customWidth="1"/>
    <col min="44" max="44" width="19.5703125" style="76" bestFit="1" customWidth="1"/>
    <col min="45" max="45" width="16.7109375" style="76" bestFit="1" customWidth="1"/>
    <col min="46" max="46" width="18.42578125" style="76" bestFit="1" customWidth="1"/>
    <col min="47" max="47" width="10.7109375" style="76" bestFit="1" customWidth="1"/>
    <col min="48" max="48" width="17.5703125" style="76" bestFit="1" customWidth="1"/>
    <col min="49" max="49" width="19.5703125" style="76" bestFit="1" customWidth="1"/>
    <col min="50" max="50" width="16.7109375" style="76" bestFit="1" customWidth="1"/>
    <col min="51" max="51" width="18.42578125" style="76" bestFit="1" customWidth="1"/>
    <col min="52" max="52" width="10.7109375" style="76" bestFit="1" customWidth="1"/>
    <col min="53" max="53" width="17.5703125" style="76" bestFit="1" customWidth="1"/>
    <col min="54" max="54" width="19.5703125" style="76" bestFit="1" customWidth="1"/>
    <col min="55" max="55" width="16.7109375" style="76" bestFit="1" customWidth="1"/>
    <col min="56" max="56" width="18.42578125" style="76" bestFit="1" customWidth="1"/>
    <col min="57" max="57" width="11.7109375" style="76" bestFit="1" customWidth="1"/>
    <col min="58" max="58" width="18.5703125" style="76" bestFit="1" customWidth="1"/>
    <col min="59" max="59" width="20.5703125" style="76" bestFit="1" customWidth="1"/>
    <col min="60" max="60" width="17.7109375" style="76" bestFit="1" customWidth="1"/>
    <col min="61" max="61" width="19.42578125" style="76" bestFit="1" customWidth="1"/>
    <col min="62" max="99" width="3" style="76" bestFit="1" customWidth="1"/>
    <col min="100" max="100" width="14.140625" style="76" bestFit="1" customWidth="1"/>
    <col min="101" max="103" width="4" style="76" bestFit="1" customWidth="1"/>
    <col min="104" max="16384" width="11.42578125" style="76"/>
  </cols>
  <sheetData>
    <row r="1" spans="1:103" x14ac:dyDescent="0.25">
      <c r="A1" s="76" t="s">
        <v>783</v>
      </c>
      <c r="B1" s="76" t="s">
        <v>784</v>
      </c>
      <c r="C1" s="76" t="s">
        <v>786</v>
      </c>
      <c r="D1" s="76" t="s">
        <v>541</v>
      </c>
      <c r="E1" s="76" t="s">
        <v>787</v>
      </c>
      <c r="F1" s="76" t="s">
        <v>788</v>
      </c>
      <c r="G1" s="76" t="s">
        <v>789</v>
      </c>
      <c r="H1" s="76" t="s">
        <v>790</v>
      </c>
      <c r="I1" s="76" t="s">
        <v>791</v>
      </c>
      <c r="J1" s="76" t="s">
        <v>792</v>
      </c>
      <c r="K1" s="76" t="s">
        <v>793</v>
      </c>
      <c r="L1" t="s">
        <v>795</v>
      </c>
      <c r="M1" t="s">
        <v>796</v>
      </c>
      <c r="N1" t="s">
        <v>797</v>
      </c>
      <c r="O1" t="s">
        <v>798</v>
      </c>
      <c r="P1" t="s">
        <v>799</v>
      </c>
      <c r="Q1" t="s">
        <v>800</v>
      </c>
      <c r="R1" t="s">
        <v>801</v>
      </c>
      <c r="S1" t="s">
        <v>802</v>
      </c>
      <c r="T1" t="s">
        <v>803</v>
      </c>
      <c r="U1" t="s">
        <v>804</v>
      </c>
      <c r="V1" t="s">
        <v>805</v>
      </c>
      <c r="W1" t="s">
        <v>806</v>
      </c>
      <c r="X1" t="s">
        <v>807</v>
      </c>
      <c r="Y1" t="s">
        <v>808</v>
      </c>
      <c r="Z1" t="s">
        <v>809</v>
      </c>
      <c r="AA1" t="s">
        <v>810</v>
      </c>
      <c r="AB1" t="s">
        <v>811</v>
      </c>
      <c r="AC1" t="s">
        <v>812</v>
      </c>
      <c r="AD1" t="s">
        <v>813</v>
      </c>
      <c r="AE1" t="s">
        <v>814</v>
      </c>
      <c r="AF1" t="s">
        <v>815</v>
      </c>
      <c r="AG1" t="s">
        <v>816</v>
      </c>
      <c r="AH1" t="s">
        <v>817</v>
      </c>
      <c r="AI1" t="s">
        <v>818</v>
      </c>
      <c r="AJ1" t="s">
        <v>819</v>
      </c>
      <c r="AK1" t="s">
        <v>820</v>
      </c>
      <c r="AL1" t="s">
        <v>821</v>
      </c>
      <c r="AM1" t="s">
        <v>822</v>
      </c>
      <c r="AN1" t="s">
        <v>823</v>
      </c>
      <c r="AO1" t="s">
        <v>824</v>
      </c>
      <c r="AP1" t="s">
        <v>825</v>
      </c>
      <c r="AQ1" t="s">
        <v>826</v>
      </c>
      <c r="AR1" t="s">
        <v>827</v>
      </c>
      <c r="AS1" t="s">
        <v>828</v>
      </c>
      <c r="AT1" t="s">
        <v>829</v>
      </c>
      <c r="AU1" t="s">
        <v>830</v>
      </c>
      <c r="AV1" t="s">
        <v>831</v>
      </c>
      <c r="AW1" t="s">
        <v>832</v>
      </c>
      <c r="AX1" t="s">
        <v>833</v>
      </c>
      <c r="AY1" t="s">
        <v>834</v>
      </c>
      <c r="AZ1" t="s">
        <v>835</v>
      </c>
      <c r="BA1" t="s">
        <v>836</v>
      </c>
      <c r="BB1" t="s">
        <v>837</v>
      </c>
      <c r="BC1" t="s">
        <v>838</v>
      </c>
      <c r="BD1" t="s">
        <v>839</v>
      </c>
      <c r="BE1" t="s">
        <v>840</v>
      </c>
      <c r="BF1" t="s">
        <v>841</v>
      </c>
      <c r="BG1" t="s">
        <v>842</v>
      </c>
      <c r="BH1" t="s">
        <v>843</v>
      </c>
      <c r="BI1" t="s">
        <v>844</v>
      </c>
    </row>
    <row r="2" spans="1:103" x14ac:dyDescent="0.25">
      <c r="A2" s="76" t="s">
        <v>794</v>
      </c>
      <c r="B2" s="76" t="s">
        <v>785</v>
      </c>
      <c r="C2" s="76" t="s">
        <v>785</v>
      </c>
      <c r="D2" s="76" t="s">
        <v>510</v>
      </c>
      <c r="E2" s="76" t="s">
        <v>794</v>
      </c>
      <c r="F2" s="76" t="s">
        <v>794</v>
      </c>
      <c r="G2" s="76" t="s">
        <v>781</v>
      </c>
      <c r="H2" s="76" t="s">
        <v>794</v>
      </c>
      <c r="I2" s="76" t="s">
        <v>794</v>
      </c>
      <c r="K2" s="76" t="s">
        <v>794</v>
      </c>
      <c r="L2" s="76" t="s">
        <v>845</v>
      </c>
      <c r="M2" s="76" t="s">
        <v>781</v>
      </c>
      <c r="N2" s="76" t="s">
        <v>781</v>
      </c>
      <c r="CV2" s="76" t="s">
        <v>846</v>
      </c>
    </row>
    <row r="3" spans="1:103" x14ac:dyDescent="0.25">
      <c r="A3" s="76" t="s">
        <v>794</v>
      </c>
      <c r="B3" s="76" t="s">
        <v>785</v>
      </c>
      <c r="C3" s="76" t="s">
        <v>785</v>
      </c>
      <c r="D3" s="76" t="s">
        <v>510</v>
      </c>
      <c r="E3" s="76" t="s">
        <v>794</v>
      </c>
      <c r="F3" s="76" t="s">
        <v>794</v>
      </c>
      <c r="G3" s="76" t="s">
        <v>781</v>
      </c>
      <c r="H3" s="76" t="s">
        <v>794</v>
      </c>
      <c r="I3" s="76" t="s">
        <v>794</v>
      </c>
      <c r="L3" s="76" t="s">
        <v>845</v>
      </c>
      <c r="M3" s="76" t="s">
        <v>781</v>
      </c>
      <c r="N3" s="76" t="s">
        <v>781</v>
      </c>
      <c r="CV3" s="76" t="s">
        <v>846</v>
      </c>
    </row>
    <row r="4" spans="1:103" s="111" customFormat="1" x14ac:dyDescent="0.25">
      <c r="A4" s="111" t="s">
        <v>794</v>
      </c>
      <c r="B4" s="111" t="s">
        <v>785</v>
      </c>
      <c r="C4" s="111" t="s">
        <v>785</v>
      </c>
      <c r="D4" s="111" t="s">
        <v>510</v>
      </c>
      <c r="E4" s="111" t="s">
        <v>794</v>
      </c>
      <c r="F4" s="111" t="s">
        <v>794</v>
      </c>
      <c r="G4" s="111" t="s">
        <v>781</v>
      </c>
      <c r="H4" s="111" t="s">
        <v>794</v>
      </c>
      <c r="I4" s="111" t="s">
        <v>794</v>
      </c>
      <c r="J4" s="111">
        <f>COLUMN()</f>
        <v>10</v>
      </c>
      <c r="K4" s="111">
        <f>COLUMN()</f>
        <v>11</v>
      </c>
      <c r="L4" s="111" t="s">
        <v>845</v>
      </c>
      <c r="M4" s="111" t="s">
        <v>781</v>
      </c>
      <c r="N4" s="111" t="s">
        <v>781</v>
      </c>
      <c r="O4" s="111">
        <f>COLUMN()</f>
        <v>15</v>
      </c>
      <c r="P4" s="111">
        <f>COLUMN()</f>
        <v>16</v>
      </c>
      <c r="Q4" s="111">
        <f>COLUMN()</f>
        <v>17</v>
      </c>
      <c r="R4" s="111">
        <f>COLUMN()</f>
        <v>18</v>
      </c>
      <c r="S4" s="111">
        <f>COLUMN()</f>
        <v>19</v>
      </c>
      <c r="T4" s="111">
        <f>COLUMN()</f>
        <v>20</v>
      </c>
      <c r="U4" s="111">
        <f>COLUMN()</f>
        <v>21</v>
      </c>
      <c r="V4" s="111">
        <f>COLUMN()</f>
        <v>22</v>
      </c>
      <c r="W4" s="111">
        <f>COLUMN()</f>
        <v>23</v>
      </c>
      <c r="X4" s="111">
        <f>COLUMN()</f>
        <v>24</v>
      </c>
      <c r="Y4" s="111">
        <f>COLUMN()</f>
        <v>25</v>
      </c>
      <c r="Z4" s="111">
        <f>COLUMN()</f>
        <v>26</v>
      </c>
      <c r="AA4" s="111">
        <f>COLUMN()</f>
        <v>27</v>
      </c>
      <c r="AB4" s="111">
        <f>COLUMN()</f>
        <v>28</v>
      </c>
      <c r="AC4" s="111">
        <f>COLUMN()</f>
        <v>29</v>
      </c>
      <c r="AD4" s="111">
        <f>COLUMN()</f>
        <v>30</v>
      </c>
      <c r="AE4" s="111">
        <f>COLUMN()</f>
        <v>31</v>
      </c>
      <c r="AF4" s="111">
        <f>COLUMN()</f>
        <v>32</v>
      </c>
      <c r="AG4" s="111">
        <f>COLUMN()</f>
        <v>33</v>
      </c>
      <c r="AH4" s="111">
        <f>COLUMN()</f>
        <v>34</v>
      </c>
      <c r="AI4" s="111">
        <f>COLUMN()</f>
        <v>35</v>
      </c>
      <c r="AJ4" s="111">
        <f>COLUMN()</f>
        <v>36</v>
      </c>
      <c r="AK4" s="111">
        <f>COLUMN()</f>
        <v>37</v>
      </c>
      <c r="AL4" s="111">
        <f>COLUMN()</f>
        <v>38</v>
      </c>
      <c r="AM4" s="111">
        <f>COLUMN()</f>
        <v>39</v>
      </c>
      <c r="AN4" s="111">
        <f>COLUMN()</f>
        <v>40</v>
      </c>
      <c r="AO4" s="111">
        <f>COLUMN()</f>
        <v>41</v>
      </c>
      <c r="AP4" s="111">
        <f>COLUMN()</f>
        <v>42</v>
      </c>
      <c r="AQ4" s="111">
        <f>COLUMN()</f>
        <v>43</v>
      </c>
      <c r="AR4" s="111">
        <f>COLUMN()</f>
        <v>44</v>
      </c>
      <c r="AS4" s="111">
        <f>COLUMN()</f>
        <v>45</v>
      </c>
      <c r="AT4" s="111">
        <f>COLUMN()</f>
        <v>46</v>
      </c>
      <c r="AU4" s="111">
        <f>COLUMN()</f>
        <v>47</v>
      </c>
      <c r="AV4" s="111">
        <f>COLUMN()</f>
        <v>48</v>
      </c>
      <c r="AW4" s="111">
        <f>COLUMN()</f>
        <v>49</v>
      </c>
      <c r="AX4" s="111">
        <f>COLUMN()</f>
        <v>50</v>
      </c>
      <c r="AY4" s="111">
        <f>COLUMN()</f>
        <v>51</v>
      </c>
      <c r="AZ4" s="111">
        <f>COLUMN()</f>
        <v>52</v>
      </c>
      <c r="BA4" s="111">
        <f>COLUMN()</f>
        <v>53</v>
      </c>
      <c r="BB4" s="111">
        <f>COLUMN()</f>
        <v>54</v>
      </c>
      <c r="BC4" s="111">
        <f>COLUMN()</f>
        <v>55</v>
      </c>
      <c r="BD4" s="111">
        <f>COLUMN()</f>
        <v>56</v>
      </c>
      <c r="BE4" s="111">
        <f>COLUMN()</f>
        <v>57</v>
      </c>
      <c r="BF4" s="111">
        <f>COLUMN()</f>
        <v>58</v>
      </c>
      <c r="BG4" s="111">
        <f>COLUMN()</f>
        <v>59</v>
      </c>
      <c r="BH4" s="111">
        <f>COLUMN()</f>
        <v>60</v>
      </c>
      <c r="BI4" s="111">
        <f>COLUMN()</f>
        <v>61</v>
      </c>
      <c r="BJ4" s="111">
        <f>COLUMN()</f>
        <v>62</v>
      </c>
      <c r="BK4" s="111">
        <f>COLUMN()</f>
        <v>63</v>
      </c>
      <c r="BL4" s="111">
        <f>COLUMN()</f>
        <v>64</v>
      </c>
      <c r="BM4" s="111">
        <f>COLUMN()</f>
        <v>65</v>
      </c>
      <c r="BN4" s="111">
        <f>COLUMN()</f>
        <v>66</v>
      </c>
      <c r="BO4" s="111">
        <f>COLUMN()</f>
        <v>67</v>
      </c>
      <c r="BP4" s="111">
        <f>COLUMN()</f>
        <v>68</v>
      </c>
      <c r="BQ4" s="111">
        <f>COLUMN()</f>
        <v>69</v>
      </c>
      <c r="BR4" s="111">
        <f>COLUMN()</f>
        <v>70</v>
      </c>
      <c r="BS4" s="111">
        <f>COLUMN()</f>
        <v>71</v>
      </c>
      <c r="BT4" s="111">
        <f>COLUMN()</f>
        <v>72</v>
      </c>
      <c r="BU4" s="111">
        <f>COLUMN()</f>
        <v>73</v>
      </c>
      <c r="BV4" s="111">
        <f>COLUMN()</f>
        <v>74</v>
      </c>
      <c r="BW4" s="111">
        <f>COLUMN()</f>
        <v>75</v>
      </c>
      <c r="BX4" s="111">
        <f>COLUMN()</f>
        <v>76</v>
      </c>
      <c r="BY4" s="111">
        <f>COLUMN()</f>
        <v>77</v>
      </c>
      <c r="BZ4" s="111">
        <f>COLUMN()</f>
        <v>78</v>
      </c>
      <c r="CA4" s="111">
        <f>COLUMN()</f>
        <v>79</v>
      </c>
      <c r="CB4" s="111">
        <f>COLUMN()</f>
        <v>80</v>
      </c>
      <c r="CC4" s="111">
        <f>COLUMN()</f>
        <v>81</v>
      </c>
      <c r="CD4" s="111">
        <f>COLUMN()</f>
        <v>82</v>
      </c>
      <c r="CE4" s="111">
        <f>COLUMN()</f>
        <v>83</v>
      </c>
      <c r="CF4" s="111">
        <f>COLUMN()</f>
        <v>84</v>
      </c>
      <c r="CG4" s="111">
        <f>COLUMN()</f>
        <v>85</v>
      </c>
      <c r="CH4" s="111">
        <f>COLUMN()</f>
        <v>86</v>
      </c>
      <c r="CI4" s="111">
        <f>COLUMN()</f>
        <v>87</v>
      </c>
      <c r="CJ4" s="111">
        <f>COLUMN()</f>
        <v>88</v>
      </c>
      <c r="CK4" s="111">
        <f>COLUMN()</f>
        <v>89</v>
      </c>
      <c r="CL4" s="111">
        <f>COLUMN()</f>
        <v>90</v>
      </c>
      <c r="CM4" s="111">
        <f>COLUMN()</f>
        <v>91</v>
      </c>
      <c r="CN4" s="111">
        <f>COLUMN()</f>
        <v>92</v>
      </c>
      <c r="CO4" s="111">
        <f>COLUMN()</f>
        <v>93</v>
      </c>
      <c r="CP4" s="111">
        <f>COLUMN()</f>
        <v>94</v>
      </c>
      <c r="CQ4" s="111">
        <f>COLUMN()</f>
        <v>95</v>
      </c>
      <c r="CR4" s="111">
        <f>COLUMN()</f>
        <v>96</v>
      </c>
      <c r="CS4" s="111">
        <f>COLUMN()</f>
        <v>97</v>
      </c>
      <c r="CT4" s="111">
        <f>COLUMN()</f>
        <v>98</v>
      </c>
      <c r="CU4" s="111">
        <f>COLUMN()</f>
        <v>99</v>
      </c>
      <c r="CV4" s="111" t="s">
        <v>846</v>
      </c>
      <c r="CW4" s="111">
        <f>COLUMN()</f>
        <v>101</v>
      </c>
      <c r="CX4" s="111">
        <f>COLUMN()</f>
        <v>102</v>
      </c>
      <c r="CY4" s="111">
        <f>COLUMN()</f>
        <v>103</v>
      </c>
    </row>
  </sheetData>
  <pageMargins left="0.7" right="0.7" top="0.78740157499999996" bottom="0.78740157499999996" header="0.3" footer="0.3"/>
  <pageSetup paperSize="9" orientation="portrait" horizontalDpi="0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46F60-5FA3-4420-A819-3465CD8B4134}">
  <sheetPr codeName="Tabelle15">
    <tabColor rgb="FFFFE100"/>
  </sheetPr>
  <dimension ref="A1:S738"/>
  <sheetViews>
    <sheetView zoomScale="115" zoomScaleNormal="115" workbookViewId="0">
      <pane ySplit="1" topLeftCell="A94" activePane="bottomLeft" state="frozen"/>
      <selection activeCell="F83" sqref="F83"/>
      <selection pane="bottomLeft" activeCell="E111" sqref="E111"/>
    </sheetView>
  </sheetViews>
  <sheetFormatPr baseColWidth="10" defaultRowHeight="15" x14ac:dyDescent="0.25"/>
  <cols>
    <col min="1" max="1" width="34.140625" style="43" customWidth="1"/>
    <col min="2" max="2" width="19.85546875" style="42" bestFit="1" customWidth="1"/>
    <col min="3" max="3" width="4.140625" customWidth="1"/>
    <col min="4" max="4" width="1.5703125" customWidth="1"/>
    <col min="5" max="5" width="94.85546875" style="42" bestFit="1" customWidth="1"/>
    <col min="6" max="6" width="2" style="43" customWidth="1"/>
    <col min="7" max="18" width="1.5703125" style="42" customWidth="1"/>
    <col min="19" max="19" width="16.5703125" style="47" bestFit="1" customWidth="1"/>
    <col min="20" max="16384" width="11.42578125" style="42"/>
  </cols>
  <sheetData>
    <row r="1" spans="1:19" s="45" customFormat="1" ht="14.25" x14ac:dyDescent="0.2">
      <c r="A1" s="44" t="s">
        <v>518</v>
      </c>
      <c r="B1" s="45" t="s">
        <v>517</v>
      </c>
      <c r="E1" s="45" t="s">
        <v>54</v>
      </c>
      <c r="F1" s="44"/>
      <c r="S1" s="46" t="str">
        <f>"SAIA-IO"&amp;" - "&amp;MAX(S2:S1014)</f>
        <v>SAIA-IO - 271</v>
      </c>
    </row>
    <row r="2" spans="1:19" x14ac:dyDescent="0.25">
      <c r="A2" s="75"/>
      <c r="E2" s="76" t="s">
        <v>1018</v>
      </c>
      <c r="S2" s="20">
        <v>64</v>
      </c>
    </row>
    <row r="3" spans="1:19" x14ac:dyDescent="0.25">
      <c r="A3" s="75"/>
      <c r="E3" s="76" t="s">
        <v>1019</v>
      </c>
      <c r="S3" s="20">
        <v>65</v>
      </c>
    </row>
    <row r="4" spans="1:19" x14ac:dyDescent="0.25">
      <c r="A4" s="75"/>
      <c r="E4" s="76" t="s">
        <v>1020</v>
      </c>
      <c r="S4" s="20">
        <v>66</v>
      </c>
    </row>
    <row r="5" spans="1:19" x14ac:dyDescent="0.25">
      <c r="A5" s="75"/>
      <c r="E5" s="76" t="s">
        <v>1021</v>
      </c>
      <c r="S5" s="20">
        <v>67</v>
      </c>
    </row>
    <row r="6" spans="1:19" x14ac:dyDescent="0.25">
      <c r="A6" s="75"/>
      <c r="E6" s="76" t="s">
        <v>1022</v>
      </c>
      <c r="S6" s="20">
        <v>68</v>
      </c>
    </row>
    <row r="7" spans="1:19" x14ac:dyDescent="0.25">
      <c r="A7" s="75"/>
      <c r="E7" s="76" t="s">
        <v>1023</v>
      </c>
      <c r="S7" s="20">
        <v>69</v>
      </c>
    </row>
    <row r="8" spans="1:19" x14ac:dyDescent="0.25">
      <c r="A8" s="75"/>
      <c r="E8" s="76" t="s">
        <v>1024</v>
      </c>
      <c r="S8" s="20">
        <v>70</v>
      </c>
    </row>
    <row r="9" spans="1:19" x14ac:dyDescent="0.25">
      <c r="A9" s="75"/>
      <c r="E9" s="76" t="s">
        <v>1025</v>
      </c>
      <c r="S9" s="20">
        <v>71</v>
      </c>
    </row>
    <row r="10" spans="1:19" x14ac:dyDescent="0.25">
      <c r="A10" s="75"/>
      <c r="E10" s="76" t="s">
        <v>1026</v>
      </c>
      <c r="S10" s="20">
        <v>80</v>
      </c>
    </row>
    <row r="11" spans="1:19" x14ac:dyDescent="0.25">
      <c r="A11" s="75"/>
      <c r="E11" s="76" t="s">
        <v>1027</v>
      </c>
      <c r="S11" s="20">
        <v>81</v>
      </c>
    </row>
    <row r="12" spans="1:19" x14ac:dyDescent="0.25">
      <c r="A12" s="75"/>
      <c r="E12" s="76" t="s">
        <v>1025</v>
      </c>
      <c r="S12" s="20">
        <v>82</v>
      </c>
    </row>
    <row r="13" spans="1:19" x14ac:dyDescent="0.25">
      <c r="A13" s="75"/>
      <c r="E13" s="76" t="s">
        <v>1025</v>
      </c>
      <c r="S13" s="20">
        <v>83</v>
      </c>
    </row>
    <row r="14" spans="1:19" x14ac:dyDescent="0.25">
      <c r="A14" s="75"/>
      <c r="E14" s="76" t="s">
        <v>1025</v>
      </c>
      <c r="S14" s="20">
        <v>84</v>
      </c>
    </row>
    <row r="15" spans="1:19" x14ac:dyDescent="0.25">
      <c r="A15" s="75"/>
      <c r="E15" s="76" t="s">
        <v>1025</v>
      </c>
      <c r="S15" s="20">
        <v>85</v>
      </c>
    </row>
    <row r="16" spans="1:19" x14ac:dyDescent="0.25">
      <c r="A16" s="75"/>
      <c r="E16" s="76" t="s">
        <v>1025</v>
      </c>
      <c r="S16" s="20">
        <v>86</v>
      </c>
    </row>
    <row r="17" spans="1:19" x14ac:dyDescent="0.25">
      <c r="A17" s="75"/>
      <c r="E17" s="76" t="s">
        <v>1025</v>
      </c>
      <c r="S17" s="20">
        <v>87</v>
      </c>
    </row>
    <row r="18" spans="1:19" x14ac:dyDescent="0.25">
      <c r="A18" s="75"/>
      <c r="E18" s="76" t="s">
        <v>1028</v>
      </c>
      <c r="S18" s="20">
        <v>96</v>
      </c>
    </row>
    <row r="19" spans="1:19" x14ac:dyDescent="0.25">
      <c r="A19" s="75"/>
      <c r="E19" s="76" t="s">
        <v>1029</v>
      </c>
      <c r="S19" s="20">
        <v>97</v>
      </c>
    </row>
    <row r="20" spans="1:19" x14ac:dyDescent="0.25">
      <c r="A20" s="75"/>
      <c r="E20" s="76" t="s">
        <v>1030</v>
      </c>
      <c r="S20" s="20">
        <v>98</v>
      </c>
    </row>
    <row r="21" spans="1:19" x14ac:dyDescent="0.25">
      <c r="A21" s="75"/>
      <c r="E21" s="76" t="s">
        <v>1031</v>
      </c>
      <c r="S21" s="20">
        <v>99</v>
      </c>
    </row>
    <row r="22" spans="1:19" x14ac:dyDescent="0.25">
      <c r="A22" s="75"/>
      <c r="E22" s="76" t="s">
        <v>1032</v>
      </c>
      <c r="S22" s="20">
        <v>100</v>
      </c>
    </row>
    <row r="23" spans="1:19" x14ac:dyDescent="0.25">
      <c r="A23" s="75"/>
      <c r="E23" s="76" t="s">
        <v>1033</v>
      </c>
      <c r="S23" s="20">
        <v>101</v>
      </c>
    </row>
    <row r="24" spans="1:19" x14ac:dyDescent="0.25">
      <c r="A24" s="75"/>
      <c r="E24" s="76" t="s">
        <v>1034</v>
      </c>
      <c r="S24" s="20">
        <v>102</v>
      </c>
    </row>
    <row r="25" spans="1:19" x14ac:dyDescent="0.25">
      <c r="A25" s="75"/>
      <c r="E25" s="76" t="s">
        <v>1025</v>
      </c>
      <c r="S25" s="20">
        <v>103</v>
      </c>
    </row>
    <row r="26" spans="1:19" x14ac:dyDescent="0.25">
      <c r="A26" s="75"/>
      <c r="E26" s="76" t="s">
        <v>1035</v>
      </c>
      <c r="S26" s="20">
        <v>104</v>
      </c>
    </row>
    <row r="27" spans="1:19" x14ac:dyDescent="0.25">
      <c r="A27" s="75"/>
      <c r="E27" s="76" t="s">
        <v>1036</v>
      </c>
      <c r="S27" s="20">
        <v>105</v>
      </c>
    </row>
    <row r="28" spans="1:19" x14ac:dyDescent="0.25">
      <c r="A28" s="75"/>
      <c r="E28" s="76" t="s">
        <v>1037</v>
      </c>
      <c r="S28" s="20">
        <v>106</v>
      </c>
    </row>
    <row r="29" spans="1:19" x14ac:dyDescent="0.25">
      <c r="A29" s="75"/>
      <c r="E29" s="76" t="s">
        <v>1038</v>
      </c>
      <c r="S29" s="20">
        <v>107</v>
      </c>
    </row>
    <row r="30" spans="1:19" x14ac:dyDescent="0.25">
      <c r="A30" s="75"/>
      <c r="E30" s="76" t="s">
        <v>1039</v>
      </c>
      <c r="S30" s="20">
        <v>108</v>
      </c>
    </row>
    <row r="31" spans="1:19" x14ac:dyDescent="0.25">
      <c r="A31" s="75"/>
      <c r="E31" s="76" t="s">
        <v>1040</v>
      </c>
      <c r="S31" s="20">
        <v>109</v>
      </c>
    </row>
    <row r="32" spans="1:19" x14ac:dyDescent="0.25">
      <c r="A32" s="75"/>
      <c r="E32" s="76" t="s">
        <v>1041</v>
      </c>
      <c r="S32" s="20">
        <v>110</v>
      </c>
    </row>
    <row r="33" spans="1:19" x14ac:dyDescent="0.25">
      <c r="A33" s="75"/>
      <c r="E33" s="76" t="s">
        <v>1042</v>
      </c>
      <c r="S33" s="20">
        <v>111</v>
      </c>
    </row>
    <row r="34" spans="1:19" x14ac:dyDescent="0.25">
      <c r="A34" s="75"/>
      <c r="E34" s="76" t="s">
        <v>1043</v>
      </c>
      <c r="S34" s="20">
        <v>112</v>
      </c>
    </row>
    <row r="35" spans="1:19" x14ac:dyDescent="0.25">
      <c r="A35" s="75"/>
      <c r="E35" s="76" t="s">
        <v>1044</v>
      </c>
      <c r="S35" s="20">
        <v>113</v>
      </c>
    </row>
    <row r="36" spans="1:19" x14ac:dyDescent="0.25">
      <c r="A36" s="75"/>
      <c r="E36" s="76" t="s">
        <v>1045</v>
      </c>
      <c r="S36" s="20">
        <v>114</v>
      </c>
    </row>
    <row r="37" spans="1:19" x14ac:dyDescent="0.25">
      <c r="A37" s="75"/>
      <c r="E37" s="76" t="s">
        <v>1046</v>
      </c>
      <c r="S37" s="20">
        <v>115</v>
      </c>
    </row>
    <row r="38" spans="1:19" x14ac:dyDescent="0.25">
      <c r="A38" s="75"/>
      <c r="E38" s="76" t="s">
        <v>1047</v>
      </c>
      <c r="S38" s="20">
        <v>116</v>
      </c>
    </row>
    <row r="39" spans="1:19" x14ac:dyDescent="0.25">
      <c r="A39" s="75"/>
      <c r="E39" s="76" t="s">
        <v>1048</v>
      </c>
      <c r="S39" s="20">
        <v>117</v>
      </c>
    </row>
    <row r="40" spans="1:19" x14ac:dyDescent="0.25">
      <c r="A40" s="75"/>
      <c r="E40" s="76" t="s">
        <v>1049</v>
      </c>
      <c r="S40" s="20">
        <v>118</v>
      </c>
    </row>
    <row r="41" spans="1:19" x14ac:dyDescent="0.25">
      <c r="A41" s="75"/>
      <c r="E41" s="76" t="s">
        <v>1050</v>
      </c>
      <c r="S41" s="20">
        <v>119</v>
      </c>
    </row>
    <row r="42" spans="1:19" x14ac:dyDescent="0.25">
      <c r="A42" s="75"/>
      <c r="E42" s="76" t="s">
        <v>1051</v>
      </c>
      <c r="S42" s="20">
        <v>120</v>
      </c>
    </row>
    <row r="43" spans="1:19" x14ac:dyDescent="0.25">
      <c r="A43" s="75"/>
      <c r="E43" s="76" t="s">
        <v>1052</v>
      </c>
      <c r="S43" s="20">
        <v>121</v>
      </c>
    </row>
    <row r="44" spans="1:19" x14ac:dyDescent="0.25">
      <c r="A44" s="75"/>
      <c r="E44" s="76" t="s">
        <v>1053</v>
      </c>
      <c r="S44" s="20">
        <v>122</v>
      </c>
    </row>
    <row r="45" spans="1:19" x14ac:dyDescent="0.25">
      <c r="A45" s="75"/>
      <c r="E45" s="76" t="s">
        <v>1054</v>
      </c>
      <c r="S45" s="20">
        <v>123</v>
      </c>
    </row>
    <row r="46" spans="1:19" x14ac:dyDescent="0.25">
      <c r="A46" s="75"/>
      <c r="E46" s="76" t="s">
        <v>1055</v>
      </c>
      <c r="S46" s="20">
        <v>124</v>
      </c>
    </row>
    <row r="47" spans="1:19" x14ac:dyDescent="0.25">
      <c r="A47" s="75"/>
      <c r="E47" s="76" t="s">
        <v>1056</v>
      </c>
      <c r="S47" s="20">
        <v>125</v>
      </c>
    </row>
    <row r="48" spans="1:19" x14ac:dyDescent="0.25">
      <c r="A48" s="75"/>
      <c r="E48" s="76" t="s">
        <v>1057</v>
      </c>
      <c r="S48" s="20">
        <v>126</v>
      </c>
    </row>
    <row r="49" spans="1:19" x14ac:dyDescent="0.25">
      <c r="A49" s="75"/>
      <c r="E49" s="76" t="s">
        <v>1058</v>
      </c>
      <c r="S49" s="20">
        <v>127</v>
      </c>
    </row>
    <row r="50" spans="1:19" x14ac:dyDescent="0.25">
      <c r="A50" s="75"/>
      <c r="E50" s="76" t="s">
        <v>1059</v>
      </c>
      <c r="S50" s="20">
        <v>128</v>
      </c>
    </row>
    <row r="51" spans="1:19" x14ac:dyDescent="0.25">
      <c r="A51" s="75"/>
      <c r="E51" s="76" t="s">
        <v>1060</v>
      </c>
      <c r="S51" s="20">
        <v>129</v>
      </c>
    </row>
    <row r="52" spans="1:19" x14ac:dyDescent="0.25">
      <c r="A52" s="75"/>
      <c r="E52" s="76" t="s">
        <v>1061</v>
      </c>
      <c r="S52" s="20">
        <v>130</v>
      </c>
    </row>
    <row r="53" spans="1:19" x14ac:dyDescent="0.25">
      <c r="A53" s="75"/>
      <c r="E53" s="76" t="s">
        <v>1062</v>
      </c>
      <c r="S53" s="20">
        <v>131</v>
      </c>
    </row>
    <row r="54" spans="1:19" x14ac:dyDescent="0.25">
      <c r="A54" s="75"/>
      <c r="E54" s="76" t="s">
        <v>1063</v>
      </c>
      <c r="S54" s="20">
        <v>132</v>
      </c>
    </row>
    <row r="55" spans="1:19" x14ac:dyDescent="0.25">
      <c r="A55" s="75"/>
      <c r="E55" s="76" t="s">
        <v>1063</v>
      </c>
      <c r="S55" s="20">
        <v>133</v>
      </c>
    </row>
    <row r="56" spans="1:19" x14ac:dyDescent="0.25">
      <c r="A56" s="75"/>
      <c r="E56" s="76" t="s">
        <v>1064</v>
      </c>
      <c r="S56" s="20">
        <v>134</v>
      </c>
    </row>
    <row r="57" spans="1:19" x14ac:dyDescent="0.25">
      <c r="A57" s="75"/>
      <c r="E57" s="76" t="s">
        <v>1065</v>
      </c>
      <c r="S57" s="20">
        <v>135</v>
      </c>
    </row>
    <row r="58" spans="1:19" x14ac:dyDescent="0.25">
      <c r="A58" s="75"/>
      <c r="E58" s="76" t="s">
        <v>1066</v>
      </c>
      <c r="S58" s="20">
        <v>136</v>
      </c>
    </row>
    <row r="59" spans="1:19" x14ac:dyDescent="0.25">
      <c r="A59" s="75"/>
      <c r="E59" s="76" t="s">
        <v>1067</v>
      </c>
      <c r="S59" s="20">
        <v>137</v>
      </c>
    </row>
    <row r="60" spans="1:19" x14ac:dyDescent="0.25">
      <c r="A60" s="75"/>
      <c r="E60" s="76" t="s">
        <v>1068</v>
      </c>
      <c r="S60" s="20">
        <v>138</v>
      </c>
    </row>
    <row r="61" spans="1:19" x14ac:dyDescent="0.25">
      <c r="A61" s="75"/>
      <c r="E61" s="76" t="s">
        <v>1069</v>
      </c>
      <c r="S61" s="20">
        <v>139</v>
      </c>
    </row>
    <row r="62" spans="1:19" x14ac:dyDescent="0.25">
      <c r="A62" s="75"/>
      <c r="E62" s="76" t="s">
        <v>1070</v>
      </c>
      <c r="S62" s="20">
        <v>140</v>
      </c>
    </row>
    <row r="63" spans="1:19" x14ac:dyDescent="0.25">
      <c r="A63" s="75"/>
      <c r="E63" s="76" t="s">
        <v>1071</v>
      </c>
      <c r="S63" s="20">
        <v>141</v>
      </c>
    </row>
    <row r="64" spans="1:19" x14ac:dyDescent="0.25">
      <c r="A64" s="75"/>
      <c r="E64" s="76" t="s">
        <v>1072</v>
      </c>
      <c r="S64" s="20">
        <v>142</v>
      </c>
    </row>
    <row r="65" spans="1:19" x14ac:dyDescent="0.25">
      <c r="A65" s="75"/>
      <c r="E65" s="76" t="s">
        <v>1073</v>
      </c>
      <c r="S65" s="20">
        <v>143</v>
      </c>
    </row>
    <row r="66" spans="1:19" x14ac:dyDescent="0.25">
      <c r="A66" s="75"/>
      <c r="E66" s="76" t="s">
        <v>1063</v>
      </c>
      <c r="S66" s="20">
        <v>144</v>
      </c>
    </row>
    <row r="67" spans="1:19" x14ac:dyDescent="0.25">
      <c r="A67" s="75"/>
      <c r="E67" s="76" t="s">
        <v>1063</v>
      </c>
      <c r="S67" s="20">
        <v>145</v>
      </c>
    </row>
    <row r="68" spans="1:19" x14ac:dyDescent="0.25">
      <c r="A68" s="75"/>
      <c r="E68" s="76" t="s">
        <v>1063</v>
      </c>
      <c r="S68" s="20">
        <v>146</v>
      </c>
    </row>
    <row r="69" spans="1:19" x14ac:dyDescent="0.25">
      <c r="A69" s="75"/>
      <c r="E69" s="76" t="s">
        <v>1063</v>
      </c>
      <c r="S69" s="20">
        <v>147</v>
      </c>
    </row>
    <row r="70" spans="1:19" x14ac:dyDescent="0.25">
      <c r="A70" s="75"/>
      <c r="E70" s="76" t="s">
        <v>1074</v>
      </c>
      <c r="S70" s="20">
        <v>148</v>
      </c>
    </row>
    <row r="71" spans="1:19" x14ac:dyDescent="0.25">
      <c r="A71" s="75"/>
      <c r="E71" s="76" t="s">
        <v>1075</v>
      </c>
      <c r="S71" s="20">
        <v>149</v>
      </c>
    </row>
    <row r="72" spans="1:19" x14ac:dyDescent="0.25">
      <c r="A72" s="75"/>
      <c r="E72" s="76" t="s">
        <v>1076</v>
      </c>
      <c r="S72" s="20">
        <v>150</v>
      </c>
    </row>
    <row r="73" spans="1:19" x14ac:dyDescent="0.25">
      <c r="A73" s="75"/>
      <c r="E73" s="76" t="s">
        <v>1077</v>
      </c>
      <c r="S73" s="20">
        <v>151</v>
      </c>
    </row>
    <row r="74" spans="1:19" x14ac:dyDescent="0.25">
      <c r="A74" s="75"/>
      <c r="E74" s="76" t="s">
        <v>1078</v>
      </c>
      <c r="S74" s="20">
        <v>152</v>
      </c>
    </row>
    <row r="75" spans="1:19" x14ac:dyDescent="0.25">
      <c r="A75" s="75"/>
      <c r="E75" s="76" t="s">
        <v>1079</v>
      </c>
      <c r="S75" s="20">
        <v>153</v>
      </c>
    </row>
    <row r="76" spans="1:19" x14ac:dyDescent="0.25">
      <c r="A76" s="75"/>
      <c r="E76" s="76" t="s">
        <v>1080</v>
      </c>
      <c r="S76" s="20">
        <v>154</v>
      </c>
    </row>
    <row r="77" spans="1:19" x14ac:dyDescent="0.25">
      <c r="A77" s="75"/>
      <c r="E77" s="76" t="s">
        <v>1081</v>
      </c>
      <c r="S77" s="20">
        <v>155</v>
      </c>
    </row>
    <row r="78" spans="1:19" x14ac:dyDescent="0.25">
      <c r="A78" s="75"/>
      <c r="E78" s="76" t="s">
        <v>1082</v>
      </c>
      <c r="S78" s="20">
        <v>156</v>
      </c>
    </row>
    <row r="79" spans="1:19" x14ac:dyDescent="0.25">
      <c r="A79" s="75"/>
      <c r="E79" s="76" t="s">
        <v>1083</v>
      </c>
      <c r="S79" s="20">
        <v>157</v>
      </c>
    </row>
    <row r="80" spans="1:19" x14ac:dyDescent="0.25">
      <c r="A80" s="75"/>
      <c r="E80" s="76" t="s">
        <v>1084</v>
      </c>
      <c r="S80" s="20">
        <v>158</v>
      </c>
    </row>
    <row r="81" spans="1:19" x14ac:dyDescent="0.25">
      <c r="A81" s="75"/>
      <c r="E81" s="76" t="s">
        <v>1085</v>
      </c>
      <c r="S81" s="20">
        <v>159</v>
      </c>
    </row>
    <row r="82" spans="1:19" x14ac:dyDescent="0.25">
      <c r="A82" s="75"/>
      <c r="E82" s="76" t="s">
        <v>1086</v>
      </c>
      <c r="S82" s="20">
        <v>160</v>
      </c>
    </row>
    <row r="83" spans="1:19" x14ac:dyDescent="0.25">
      <c r="A83" s="75"/>
      <c r="E83" s="76" t="s">
        <v>1087</v>
      </c>
      <c r="S83" s="20">
        <v>161</v>
      </c>
    </row>
    <row r="84" spans="1:19" x14ac:dyDescent="0.25">
      <c r="A84" s="75"/>
      <c r="E84" s="76" t="s">
        <v>1088</v>
      </c>
      <c r="S84" s="20">
        <v>162</v>
      </c>
    </row>
    <row r="85" spans="1:19" x14ac:dyDescent="0.25">
      <c r="A85" s="75"/>
      <c r="E85" s="76" t="s">
        <v>1089</v>
      </c>
      <c r="S85" s="20">
        <v>163</v>
      </c>
    </row>
    <row r="86" spans="1:19" x14ac:dyDescent="0.25">
      <c r="A86" s="75"/>
      <c r="E86" s="76" t="s">
        <v>1090</v>
      </c>
      <c r="S86" s="20">
        <v>164</v>
      </c>
    </row>
    <row r="87" spans="1:19" x14ac:dyDescent="0.25">
      <c r="A87" s="75"/>
      <c r="E87" s="76" t="s">
        <v>1091</v>
      </c>
      <c r="S87" s="20">
        <v>165</v>
      </c>
    </row>
    <row r="88" spans="1:19" x14ac:dyDescent="0.25">
      <c r="A88" s="75"/>
      <c r="E88" s="76" t="s">
        <v>1092</v>
      </c>
      <c r="S88" s="20">
        <v>166</v>
      </c>
    </row>
    <row r="89" spans="1:19" x14ac:dyDescent="0.25">
      <c r="A89" s="75"/>
      <c r="E89" s="76" t="s">
        <v>1093</v>
      </c>
      <c r="S89" s="20">
        <v>167</v>
      </c>
    </row>
    <row r="90" spans="1:19" x14ac:dyDescent="0.25">
      <c r="A90" s="75"/>
      <c r="E90" s="76" t="s">
        <v>1094</v>
      </c>
      <c r="S90" s="20">
        <v>168</v>
      </c>
    </row>
    <row r="91" spans="1:19" x14ac:dyDescent="0.25">
      <c r="A91" s="75"/>
      <c r="E91" s="76" t="s">
        <v>1095</v>
      </c>
      <c r="S91" s="20">
        <v>169</v>
      </c>
    </row>
    <row r="92" spans="1:19" x14ac:dyDescent="0.25">
      <c r="A92" s="75"/>
      <c r="E92" s="76" t="s">
        <v>1096</v>
      </c>
      <c r="S92" s="20">
        <v>170</v>
      </c>
    </row>
    <row r="93" spans="1:19" x14ac:dyDescent="0.25">
      <c r="A93" s="75"/>
      <c r="E93" s="76" t="s">
        <v>1097</v>
      </c>
      <c r="S93" s="20">
        <v>171</v>
      </c>
    </row>
    <row r="94" spans="1:19" x14ac:dyDescent="0.25">
      <c r="A94" s="75"/>
      <c r="E94" s="76" t="s">
        <v>1098</v>
      </c>
      <c r="S94" s="20">
        <v>172</v>
      </c>
    </row>
    <row r="95" spans="1:19" x14ac:dyDescent="0.25">
      <c r="A95" s="75"/>
      <c r="E95" s="76" t="s">
        <v>1063</v>
      </c>
      <c r="S95" s="20">
        <v>173</v>
      </c>
    </row>
    <row r="96" spans="1:19" x14ac:dyDescent="0.25">
      <c r="A96" s="75"/>
      <c r="E96" s="76" t="s">
        <v>1063</v>
      </c>
      <c r="S96" s="20">
        <v>174</v>
      </c>
    </row>
    <row r="97" spans="1:19" x14ac:dyDescent="0.25">
      <c r="A97" s="75"/>
      <c r="E97" s="76" t="s">
        <v>1063</v>
      </c>
      <c r="S97" s="20">
        <v>175</v>
      </c>
    </row>
    <row r="98" spans="1:19" x14ac:dyDescent="0.25">
      <c r="A98" s="75"/>
      <c r="E98" s="76" t="s">
        <v>1099</v>
      </c>
      <c r="S98" s="20">
        <v>176</v>
      </c>
    </row>
    <row r="99" spans="1:19" x14ac:dyDescent="0.25">
      <c r="A99" s="75"/>
      <c r="E99" s="76" t="s">
        <v>1100</v>
      </c>
      <c r="S99" s="20">
        <v>177</v>
      </c>
    </row>
    <row r="100" spans="1:19" x14ac:dyDescent="0.25">
      <c r="A100" s="75"/>
      <c r="E100" s="76" t="s">
        <v>1101</v>
      </c>
      <c r="S100" s="20">
        <v>178</v>
      </c>
    </row>
    <row r="101" spans="1:19" x14ac:dyDescent="0.25">
      <c r="A101" s="75"/>
      <c r="E101" s="76" t="s">
        <v>1102</v>
      </c>
      <c r="S101" s="20">
        <v>179</v>
      </c>
    </row>
    <row r="102" spans="1:19" x14ac:dyDescent="0.25">
      <c r="A102" s="75"/>
      <c r="E102" s="76" t="s">
        <v>1103</v>
      </c>
      <c r="S102" s="20">
        <v>180</v>
      </c>
    </row>
    <row r="103" spans="1:19" x14ac:dyDescent="0.25">
      <c r="A103" s="75"/>
      <c r="E103" s="76" t="s">
        <v>1104</v>
      </c>
      <c r="S103" s="20">
        <v>181</v>
      </c>
    </row>
    <row r="104" spans="1:19" x14ac:dyDescent="0.25">
      <c r="A104" s="75"/>
      <c r="E104" s="76" t="s">
        <v>1063</v>
      </c>
      <c r="S104" s="20">
        <v>182</v>
      </c>
    </row>
    <row r="105" spans="1:19" x14ac:dyDescent="0.25">
      <c r="A105" s="75"/>
      <c r="E105" s="76" t="s">
        <v>1063</v>
      </c>
      <c r="S105" s="20">
        <v>183</v>
      </c>
    </row>
    <row r="106" spans="1:19" x14ac:dyDescent="0.25">
      <c r="A106" s="75"/>
      <c r="E106" s="76" t="s">
        <v>1063</v>
      </c>
      <c r="S106" s="20">
        <v>184</v>
      </c>
    </row>
    <row r="107" spans="1:19" x14ac:dyDescent="0.25">
      <c r="A107" s="75"/>
      <c r="E107" s="76" t="s">
        <v>1063</v>
      </c>
      <c r="S107" s="20">
        <v>185</v>
      </c>
    </row>
    <row r="108" spans="1:19" x14ac:dyDescent="0.25">
      <c r="A108" s="75"/>
      <c r="E108" s="76" t="s">
        <v>1063</v>
      </c>
      <c r="S108" s="20">
        <v>186</v>
      </c>
    </row>
    <row r="109" spans="1:19" x14ac:dyDescent="0.25">
      <c r="A109" s="75"/>
      <c r="E109" s="76" t="s">
        <v>1063</v>
      </c>
      <c r="S109" s="20">
        <v>187</v>
      </c>
    </row>
    <row r="110" spans="1:19" x14ac:dyDescent="0.25">
      <c r="A110" s="75"/>
      <c r="E110" s="76" t="s">
        <v>1105</v>
      </c>
      <c r="S110" s="20">
        <v>188</v>
      </c>
    </row>
    <row r="111" spans="1:19" x14ac:dyDescent="0.25">
      <c r="A111" s="75"/>
      <c r="E111" s="76" t="s">
        <v>1106</v>
      </c>
      <c r="S111" s="20">
        <v>189</v>
      </c>
    </row>
    <row r="112" spans="1:19" x14ac:dyDescent="0.25">
      <c r="A112" s="75"/>
      <c r="E112" s="76" t="s">
        <v>1107</v>
      </c>
      <c r="S112" s="20">
        <v>190</v>
      </c>
    </row>
    <row r="113" spans="1:19" x14ac:dyDescent="0.25">
      <c r="A113" s="75"/>
      <c r="E113" s="76" t="s">
        <v>1063</v>
      </c>
      <c r="S113" s="20">
        <v>191</v>
      </c>
    </row>
    <row r="114" spans="1:19" x14ac:dyDescent="0.25">
      <c r="A114" s="75"/>
      <c r="E114" s="76" t="s">
        <v>1108</v>
      </c>
      <c r="S114" s="20">
        <v>192</v>
      </c>
    </row>
    <row r="115" spans="1:19" x14ac:dyDescent="0.25">
      <c r="A115" s="75"/>
      <c r="E115" s="76" t="s">
        <v>1109</v>
      </c>
      <c r="S115" s="20">
        <v>193</v>
      </c>
    </row>
    <row r="116" spans="1:19" x14ac:dyDescent="0.25">
      <c r="A116" s="75"/>
      <c r="E116" s="76" t="s">
        <v>1110</v>
      </c>
      <c r="S116" s="20">
        <v>194</v>
      </c>
    </row>
    <row r="117" spans="1:19" x14ac:dyDescent="0.25">
      <c r="A117" s="75"/>
      <c r="E117" s="76" t="s">
        <v>1111</v>
      </c>
      <c r="S117" s="20">
        <v>195</v>
      </c>
    </row>
    <row r="118" spans="1:19" x14ac:dyDescent="0.25">
      <c r="A118" s="75"/>
      <c r="E118" s="76" t="s">
        <v>1063</v>
      </c>
      <c r="S118" s="20">
        <v>196</v>
      </c>
    </row>
    <row r="119" spans="1:19" x14ac:dyDescent="0.25">
      <c r="A119" s="75"/>
      <c r="E119" s="76" t="s">
        <v>1112</v>
      </c>
      <c r="S119" s="20">
        <v>197</v>
      </c>
    </row>
    <row r="120" spans="1:19" x14ac:dyDescent="0.25">
      <c r="A120" s="75"/>
      <c r="E120" s="76" t="s">
        <v>1113</v>
      </c>
      <c r="S120" s="20">
        <v>198</v>
      </c>
    </row>
    <row r="121" spans="1:19" x14ac:dyDescent="0.25">
      <c r="A121" s="75"/>
      <c r="E121" s="76" t="s">
        <v>1063</v>
      </c>
      <c r="S121" s="20">
        <v>199</v>
      </c>
    </row>
    <row r="122" spans="1:19" x14ac:dyDescent="0.25">
      <c r="A122" s="75"/>
      <c r="E122" s="76" t="s">
        <v>1114</v>
      </c>
      <c r="S122" s="20">
        <v>208</v>
      </c>
    </row>
    <row r="123" spans="1:19" x14ac:dyDescent="0.25">
      <c r="A123" s="75"/>
      <c r="E123" s="76" t="s">
        <v>1115</v>
      </c>
      <c r="S123" s="20">
        <v>209</v>
      </c>
    </row>
    <row r="124" spans="1:19" x14ac:dyDescent="0.25">
      <c r="A124" s="75"/>
      <c r="E124" s="76" t="s">
        <v>1063</v>
      </c>
      <c r="S124" s="20">
        <v>210</v>
      </c>
    </row>
    <row r="125" spans="1:19" x14ac:dyDescent="0.25">
      <c r="A125" s="75"/>
      <c r="E125" s="76" t="s">
        <v>1063</v>
      </c>
      <c r="S125" s="20">
        <v>211</v>
      </c>
    </row>
    <row r="126" spans="1:19" x14ac:dyDescent="0.25">
      <c r="A126" s="75"/>
      <c r="E126" s="76" t="s">
        <v>1063</v>
      </c>
      <c r="S126" s="20">
        <v>212</v>
      </c>
    </row>
    <row r="127" spans="1:19" x14ac:dyDescent="0.25">
      <c r="A127" s="75"/>
      <c r="E127" s="76" t="s">
        <v>1063</v>
      </c>
      <c r="S127" s="20">
        <v>213</v>
      </c>
    </row>
    <row r="128" spans="1:19" x14ac:dyDescent="0.25">
      <c r="A128" s="75"/>
      <c r="E128" s="76" t="s">
        <v>1063</v>
      </c>
      <c r="S128" s="20">
        <v>214</v>
      </c>
    </row>
    <row r="129" spans="1:19" x14ac:dyDescent="0.25">
      <c r="A129" s="75"/>
      <c r="E129" s="76" t="s">
        <v>1063</v>
      </c>
      <c r="S129" s="20">
        <v>215</v>
      </c>
    </row>
    <row r="130" spans="1:19" x14ac:dyDescent="0.25">
      <c r="A130" s="75"/>
      <c r="E130" s="76" t="s">
        <v>1116</v>
      </c>
      <c r="S130" s="20">
        <v>224</v>
      </c>
    </row>
    <row r="131" spans="1:19" x14ac:dyDescent="0.25">
      <c r="A131" s="75"/>
      <c r="E131" s="76" t="s">
        <v>1117</v>
      </c>
      <c r="S131" s="20">
        <v>225</v>
      </c>
    </row>
    <row r="132" spans="1:19" x14ac:dyDescent="0.25">
      <c r="A132" s="75"/>
      <c r="E132" s="76" t="s">
        <v>1118</v>
      </c>
      <c r="S132" s="20">
        <v>226</v>
      </c>
    </row>
    <row r="133" spans="1:19" x14ac:dyDescent="0.25">
      <c r="A133" s="75"/>
      <c r="E133" s="76" t="s">
        <v>1119</v>
      </c>
      <c r="S133" s="20">
        <v>227</v>
      </c>
    </row>
    <row r="134" spans="1:19" x14ac:dyDescent="0.25">
      <c r="A134" s="75"/>
      <c r="E134" s="76" t="s">
        <v>1120</v>
      </c>
      <c r="S134" s="20">
        <v>228</v>
      </c>
    </row>
    <row r="135" spans="1:19" x14ac:dyDescent="0.25">
      <c r="A135" s="75"/>
      <c r="E135" s="76" t="s">
        <v>1121</v>
      </c>
      <c r="S135" s="20">
        <v>229</v>
      </c>
    </row>
    <row r="136" spans="1:19" x14ac:dyDescent="0.25">
      <c r="A136" s="75"/>
      <c r="E136" s="76" t="s">
        <v>1063</v>
      </c>
      <c r="S136" s="20">
        <v>230</v>
      </c>
    </row>
    <row r="137" spans="1:19" x14ac:dyDescent="0.25">
      <c r="A137" s="75"/>
      <c r="E137" s="76" t="s">
        <v>1063</v>
      </c>
      <c r="S137" s="20">
        <v>231</v>
      </c>
    </row>
    <row r="138" spans="1:19" x14ac:dyDescent="0.25">
      <c r="A138" s="75"/>
      <c r="E138" s="76" t="s">
        <v>1122</v>
      </c>
      <c r="S138" s="20">
        <v>232</v>
      </c>
    </row>
    <row r="139" spans="1:19" x14ac:dyDescent="0.25">
      <c r="A139" s="75"/>
      <c r="E139" s="76" t="s">
        <v>1123</v>
      </c>
      <c r="S139" s="20">
        <v>233</v>
      </c>
    </row>
    <row r="140" spans="1:19" x14ac:dyDescent="0.25">
      <c r="A140" s="75"/>
      <c r="E140" s="76" t="s">
        <v>1124</v>
      </c>
      <c r="S140" s="20">
        <v>234</v>
      </c>
    </row>
    <row r="141" spans="1:19" x14ac:dyDescent="0.25">
      <c r="A141" s="75"/>
      <c r="E141" s="76" t="s">
        <v>1125</v>
      </c>
      <c r="S141" s="20">
        <v>235</v>
      </c>
    </row>
    <row r="142" spans="1:19" x14ac:dyDescent="0.25">
      <c r="A142" s="75"/>
      <c r="E142" s="76" t="s">
        <v>1126</v>
      </c>
      <c r="S142" s="20">
        <v>236</v>
      </c>
    </row>
    <row r="143" spans="1:19" x14ac:dyDescent="0.25">
      <c r="A143" s="75"/>
      <c r="E143" s="76" t="s">
        <v>1127</v>
      </c>
      <c r="S143" s="20">
        <v>237</v>
      </c>
    </row>
    <row r="144" spans="1:19" x14ac:dyDescent="0.25">
      <c r="A144" s="75"/>
      <c r="E144" s="76" t="s">
        <v>1128</v>
      </c>
      <c r="S144" s="20">
        <v>238</v>
      </c>
    </row>
    <row r="145" spans="1:19" x14ac:dyDescent="0.25">
      <c r="A145" s="75"/>
      <c r="E145" s="76" t="s">
        <v>1129</v>
      </c>
      <c r="S145" s="20">
        <v>239</v>
      </c>
    </row>
    <row r="146" spans="1:19" x14ac:dyDescent="0.25">
      <c r="A146" s="75"/>
      <c r="E146" s="76" t="s">
        <v>1130</v>
      </c>
      <c r="S146" s="20">
        <v>240</v>
      </c>
    </row>
    <row r="147" spans="1:19" x14ac:dyDescent="0.25">
      <c r="A147" s="75"/>
      <c r="E147" s="76" t="s">
        <v>1131</v>
      </c>
      <c r="S147" s="20">
        <v>241</v>
      </c>
    </row>
    <row r="148" spans="1:19" x14ac:dyDescent="0.25">
      <c r="A148" s="75"/>
      <c r="E148" s="76" t="s">
        <v>1132</v>
      </c>
      <c r="S148" s="20">
        <v>242</v>
      </c>
    </row>
    <row r="149" spans="1:19" x14ac:dyDescent="0.25">
      <c r="A149" s="75"/>
      <c r="E149" s="76" t="s">
        <v>1133</v>
      </c>
      <c r="S149" s="20">
        <v>243</v>
      </c>
    </row>
    <row r="150" spans="1:19" x14ac:dyDescent="0.25">
      <c r="A150" s="75"/>
      <c r="E150" s="76" t="s">
        <v>1134</v>
      </c>
      <c r="S150" s="20">
        <v>244</v>
      </c>
    </row>
    <row r="151" spans="1:19" x14ac:dyDescent="0.25">
      <c r="A151" s="75"/>
      <c r="E151" s="76" t="s">
        <v>1135</v>
      </c>
      <c r="S151" s="20">
        <v>245</v>
      </c>
    </row>
    <row r="152" spans="1:19" x14ac:dyDescent="0.25">
      <c r="A152" s="75"/>
      <c r="E152" s="76" t="s">
        <v>1136</v>
      </c>
      <c r="S152" s="20">
        <v>246</v>
      </c>
    </row>
    <row r="153" spans="1:19" x14ac:dyDescent="0.25">
      <c r="A153" s="75"/>
      <c r="E153" s="76" t="s">
        <v>1137</v>
      </c>
      <c r="S153" s="20">
        <v>247</v>
      </c>
    </row>
    <row r="154" spans="1:19" x14ac:dyDescent="0.25">
      <c r="A154" s="75"/>
      <c r="E154" s="76" t="s">
        <v>1138</v>
      </c>
      <c r="S154" s="20">
        <v>248</v>
      </c>
    </row>
    <row r="155" spans="1:19" x14ac:dyDescent="0.25">
      <c r="A155" s="75"/>
      <c r="E155" s="76" t="s">
        <v>1139</v>
      </c>
      <c r="S155" s="20">
        <v>249</v>
      </c>
    </row>
    <row r="156" spans="1:19" x14ac:dyDescent="0.25">
      <c r="A156" s="75"/>
      <c r="E156" s="76" t="s">
        <v>1140</v>
      </c>
      <c r="S156" s="20">
        <v>250</v>
      </c>
    </row>
    <row r="157" spans="1:19" x14ac:dyDescent="0.25">
      <c r="A157" s="75"/>
      <c r="E157" s="76" t="s">
        <v>1141</v>
      </c>
      <c r="S157" s="20">
        <v>251</v>
      </c>
    </row>
    <row r="158" spans="1:19" x14ac:dyDescent="0.25">
      <c r="A158" s="75"/>
      <c r="E158" s="76" t="s">
        <v>1142</v>
      </c>
      <c r="S158" s="20">
        <v>252</v>
      </c>
    </row>
    <row r="159" spans="1:19" x14ac:dyDescent="0.25">
      <c r="A159" s="75"/>
      <c r="E159" s="76" t="s">
        <v>1143</v>
      </c>
      <c r="S159" s="20">
        <v>253</v>
      </c>
    </row>
    <row r="160" spans="1:19" x14ac:dyDescent="0.25">
      <c r="A160" s="75"/>
      <c r="E160" s="76" t="s">
        <v>1144</v>
      </c>
      <c r="S160" s="20">
        <v>254</v>
      </c>
    </row>
    <row r="161" spans="1:19" x14ac:dyDescent="0.25">
      <c r="A161" s="75"/>
      <c r="E161" s="76" t="s">
        <v>1145</v>
      </c>
      <c r="S161" s="20">
        <v>255</v>
      </c>
    </row>
    <row r="162" spans="1:19" x14ac:dyDescent="0.25">
      <c r="A162" s="75"/>
      <c r="E162" s="76" t="s">
        <v>1146</v>
      </c>
      <c r="S162" s="20">
        <v>256</v>
      </c>
    </row>
    <row r="163" spans="1:19" x14ac:dyDescent="0.25">
      <c r="A163" s="75"/>
      <c r="E163" s="76" t="s">
        <v>1147</v>
      </c>
      <c r="S163" s="20">
        <v>257</v>
      </c>
    </row>
    <row r="164" spans="1:19" x14ac:dyDescent="0.25">
      <c r="A164" s="75"/>
      <c r="E164" s="76" t="s">
        <v>1148</v>
      </c>
      <c r="S164" s="20">
        <v>258</v>
      </c>
    </row>
    <row r="165" spans="1:19" x14ac:dyDescent="0.25">
      <c r="A165" s="75"/>
      <c r="E165" s="76" t="s">
        <v>1149</v>
      </c>
      <c r="S165" s="20">
        <v>259</v>
      </c>
    </row>
    <row r="166" spans="1:19" x14ac:dyDescent="0.25">
      <c r="A166" s="75"/>
      <c r="E166" s="76" t="s">
        <v>1150</v>
      </c>
      <c r="S166" s="20">
        <v>260</v>
      </c>
    </row>
    <row r="167" spans="1:19" x14ac:dyDescent="0.25">
      <c r="A167" s="75"/>
      <c r="E167" s="76" t="s">
        <v>1151</v>
      </c>
      <c r="S167" s="20">
        <v>261</v>
      </c>
    </row>
    <row r="168" spans="1:19" x14ac:dyDescent="0.25">
      <c r="A168" s="75"/>
      <c r="E168" s="76" t="s">
        <v>1152</v>
      </c>
      <c r="S168" s="20">
        <v>262</v>
      </c>
    </row>
    <row r="169" spans="1:19" x14ac:dyDescent="0.25">
      <c r="A169" s="75"/>
      <c r="E169" s="76" t="s">
        <v>1153</v>
      </c>
      <c r="S169" s="20">
        <v>263</v>
      </c>
    </row>
    <row r="170" spans="1:19" x14ac:dyDescent="0.25">
      <c r="A170" s="75"/>
      <c r="E170" s="76" t="s">
        <v>1154</v>
      </c>
      <c r="S170" s="20">
        <v>264</v>
      </c>
    </row>
    <row r="171" spans="1:19" x14ac:dyDescent="0.25">
      <c r="A171" s="75"/>
      <c r="E171" s="76" t="s">
        <v>1155</v>
      </c>
      <c r="S171" s="20">
        <v>265</v>
      </c>
    </row>
    <row r="172" spans="1:19" x14ac:dyDescent="0.25">
      <c r="A172" s="75"/>
      <c r="E172" s="76" t="s">
        <v>1156</v>
      </c>
      <c r="S172" s="20">
        <v>266</v>
      </c>
    </row>
    <row r="173" spans="1:19" x14ac:dyDescent="0.25">
      <c r="A173" s="75"/>
      <c r="E173" s="76" t="s">
        <v>1063</v>
      </c>
      <c r="S173" s="20">
        <v>267</v>
      </c>
    </row>
    <row r="174" spans="1:19" x14ac:dyDescent="0.25">
      <c r="A174" s="75"/>
      <c r="E174" s="76" t="s">
        <v>1157</v>
      </c>
      <c r="S174" s="20">
        <v>268</v>
      </c>
    </row>
    <row r="175" spans="1:19" x14ac:dyDescent="0.25">
      <c r="A175" s="75"/>
      <c r="E175" s="76" t="s">
        <v>1158</v>
      </c>
      <c r="S175" s="20">
        <v>269</v>
      </c>
    </row>
    <row r="176" spans="1:19" x14ac:dyDescent="0.25">
      <c r="A176" s="75"/>
      <c r="E176" s="76" t="s">
        <v>1159</v>
      </c>
      <c r="S176" s="20">
        <v>270</v>
      </c>
    </row>
    <row r="177" spans="1:19" x14ac:dyDescent="0.25">
      <c r="A177" s="75"/>
      <c r="E177" s="76" t="s">
        <v>1160</v>
      </c>
      <c r="S177" s="20">
        <v>271</v>
      </c>
    </row>
    <row r="178" spans="1:19" x14ac:dyDescent="0.25">
      <c r="A178" s="75"/>
      <c r="E178" s="76" t="s">
        <v>1161</v>
      </c>
      <c r="S178" s="20" t="s">
        <v>1162</v>
      </c>
    </row>
    <row r="179" spans="1:19" x14ac:dyDescent="0.25">
      <c r="A179" s="75"/>
      <c r="E179" s="76" t="s">
        <v>1163</v>
      </c>
      <c r="S179" s="20" t="s">
        <v>1164</v>
      </c>
    </row>
    <row r="180" spans="1:19" x14ac:dyDescent="0.25">
      <c r="A180" s="75"/>
      <c r="E180" s="76" t="s">
        <v>1165</v>
      </c>
      <c r="S180" s="20" t="s">
        <v>1166</v>
      </c>
    </row>
    <row r="181" spans="1:19" x14ac:dyDescent="0.25">
      <c r="A181" s="75"/>
      <c r="E181" s="76" t="s">
        <v>1167</v>
      </c>
      <c r="S181" s="20" t="s">
        <v>1168</v>
      </c>
    </row>
    <row r="182" spans="1:19" x14ac:dyDescent="0.25">
      <c r="A182" s="75"/>
      <c r="E182" s="76" t="s">
        <v>1169</v>
      </c>
      <c r="S182" s="20" t="s">
        <v>1170</v>
      </c>
    </row>
    <row r="183" spans="1:19" x14ac:dyDescent="0.25">
      <c r="A183" s="75"/>
      <c r="E183" s="76" t="s">
        <v>1171</v>
      </c>
      <c r="S183" s="20" t="s">
        <v>1172</v>
      </c>
    </row>
    <row r="184" spans="1:19" x14ac:dyDescent="0.25">
      <c r="A184" s="75"/>
      <c r="E184" s="76" t="s">
        <v>1173</v>
      </c>
      <c r="S184" s="20" t="s">
        <v>1174</v>
      </c>
    </row>
    <row r="185" spans="1:19" x14ac:dyDescent="0.25">
      <c r="A185" s="75"/>
      <c r="E185" s="76" t="s">
        <v>1063</v>
      </c>
      <c r="S185" s="20" t="s">
        <v>1175</v>
      </c>
    </row>
    <row r="186" spans="1:19" x14ac:dyDescent="0.25">
      <c r="A186" s="75"/>
      <c r="E186" s="76" t="s">
        <v>1176</v>
      </c>
      <c r="S186" s="20" t="s">
        <v>1177</v>
      </c>
    </row>
    <row r="187" spans="1:19" x14ac:dyDescent="0.25">
      <c r="A187" s="75"/>
      <c r="E187" s="76" t="s">
        <v>1178</v>
      </c>
      <c r="S187" s="20" t="s">
        <v>1179</v>
      </c>
    </row>
    <row r="188" spans="1:19" x14ac:dyDescent="0.25">
      <c r="A188" s="75"/>
      <c r="E188" s="76" t="s">
        <v>1063</v>
      </c>
      <c r="S188" s="20" t="s">
        <v>1180</v>
      </c>
    </row>
    <row r="189" spans="1:19" x14ac:dyDescent="0.25">
      <c r="A189" s="75"/>
      <c r="E189" s="76" t="s">
        <v>1181</v>
      </c>
      <c r="S189" s="20" t="s">
        <v>1182</v>
      </c>
    </row>
    <row r="190" spans="1:19" x14ac:dyDescent="0.25">
      <c r="A190" s="75"/>
      <c r="E190" s="76" t="s">
        <v>1183</v>
      </c>
      <c r="S190" s="20" t="s">
        <v>1184</v>
      </c>
    </row>
    <row r="191" spans="1:19" x14ac:dyDescent="0.25">
      <c r="A191" s="75"/>
      <c r="E191" s="76" t="s">
        <v>1185</v>
      </c>
      <c r="S191" s="20" t="s">
        <v>1186</v>
      </c>
    </row>
    <row r="192" spans="1:19" x14ac:dyDescent="0.25">
      <c r="A192" s="75"/>
      <c r="E192" s="76" t="s">
        <v>1187</v>
      </c>
      <c r="S192" s="20" t="s">
        <v>1188</v>
      </c>
    </row>
    <row r="193" spans="1:19" x14ac:dyDescent="0.25">
      <c r="A193" s="75"/>
      <c r="E193" s="76" t="s">
        <v>1189</v>
      </c>
      <c r="S193" s="20" t="s">
        <v>1190</v>
      </c>
    </row>
    <row r="194" spans="1:19" x14ac:dyDescent="0.25">
      <c r="A194" s="75"/>
      <c r="E194" s="76" t="s">
        <v>1191</v>
      </c>
      <c r="S194" s="20" t="s">
        <v>1192</v>
      </c>
    </row>
    <row r="195" spans="1:19" x14ac:dyDescent="0.25">
      <c r="A195" s="75"/>
      <c r="E195" s="76" t="s">
        <v>1193</v>
      </c>
      <c r="S195" s="20" t="s">
        <v>1194</v>
      </c>
    </row>
    <row r="196" spans="1:19" x14ac:dyDescent="0.25">
      <c r="A196" s="75"/>
      <c r="E196" s="76" t="s">
        <v>1195</v>
      </c>
      <c r="S196" s="20" t="s">
        <v>1196</v>
      </c>
    </row>
    <row r="197" spans="1:19" x14ac:dyDescent="0.25">
      <c r="A197" s="75"/>
      <c r="E197" s="76" t="s">
        <v>1197</v>
      </c>
      <c r="S197" s="20" t="s">
        <v>1198</v>
      </c>
    </row>
    <row r="198" spans="1:19" x14ac:dyDescent="0.25">
      <c r="A198" s="75"/>
      <c r="E198" s="76" t="s">
        <v>1199</v>
      </c>
      <c r="S198" s="20" t="s">
        <v>1200</v>
      </c>
    </row>
    <row r="199" spans="1:19" x14ac:dyDescent="0.25">
      <c r="A199" s="75"/>
      <c r="E199" s="76" t="s">
        <v>1201</v>
      </c>
      <c r="S199" s="20" t="s">
        <v>1202</v>
      </c>
    </row>
    <row r="200" spans="1:19" x14ac:dyDescent="0.25">
      <c r="A200" s="75"/>
      <c r="E200" s="76" t="s">
        <v>1203</v>
      </c>
      <c r="S200" s="20" t="s">
        <v>1204</v>
      </c>
    </row>
    <row r="201" spans="1:19" x14ac:dyDescent="0.25">
      <c r="A201" s="75"/>
      <c r="E201" s="76" t="s">
        <v>1205</v>
      </c>
      <c r="S201" s="20" t="s">
        <v>1206</v>
      </c>
    </row>
    <row r="202" spans="1:19" x14ac:dyDescent="0.25">
      <c r="A202" s="75"/>
      <c r="E202" s="76" t="s">
        <v>1207</v>
      </c>
      <c r="S202" s="20" t="s">
        <v>1208</v>
      </c>
    </row>
    <row r="203" spans="1:19" x14ac:dyDescent="0.25">
      <c r="A203" s="75"/>
      <c r="E203" s="76" t="s">
        <v>1209</v>
      </c>
      <c r="S203" s="20" t="s">
        <v>1210</v>
      </c>
    </row>
    <row r="204" spans="1:19" x14ac:dyDescent="0.25">
      <c r="A204" s="75"/>
      <c r="E204" s="76" t="s">
        <v>1211</v>
      </c>
      <c r="S204" s="20" t="s">
        <v>1212</v>
      </c>
    </row>
    <row r="205" spans="1:19" x14ac:dyDescent="0.25">
      <c r="A205" s="75"/>
      <c r="E205" s="76" t="s">
        <v>560</v>
      </c>
      <c r="S205" s="20" t="s">
        <v>1213</v>
      </c>
    </row>
    <row r="206" spans="1:19" x14ac:dyDescent="0.25">
      <c r="A206" s="75"/>
      <c r="E206" s="76" t="s">
        <v>1214</v>
      </c>
      <c r="S206" s="20" t="s">
        <v>1215</v>
      </c>
    </row>
    <row r="207" spans="1:19" x14ac:dyDescent="0.25">
      <c r="A207" s="75"/>
      <c r="E207" s="76" t="s">
        <v>1216</v>
      </c>
      <c r="S207" s="20" t="s">
        <v>1217</v>
      </c>
    </row>
    <row r="208" spans="1:19" x14ac:dyDescent="0.25">
      <c r="A208" s="75"/>
      <c r="E208" s="76" t="s">
        <v>1218</v>
      </c>
      <c r="S208" s="20" t="s">
        <v>1219</v>
      </c>
    </row>
    <row r="209" spans="1:19" x14ac:dyDescent="0.25">
      <c r="A209" s="75"/>
      <c r="E209" s="76" t="s">
        <v>1220</v>
      </c>
      <c r="S209" s="20" t="s">
        <v>1221</v>
      </c>
    </row>
    <row r="210" spans="1:19" x14ac:dyDescent="0.25">
      <c r="A210" s="75"/>
      <c r="E210" s="76" t="s">
        <v>1222</v>
      </c>
      <c r="S210" s="20" t="s">
        <v>1223</v>
      </c>
    </row>
    <row r="211" spans="1:19" x14ac:dyDescent="0.25">
      <c r="A211" s="75"/>
      <c r="E211" s="76" t="s">
        <v>1224</v>
      </c>
      <c r="S211" s="20" t="s">
        <v>1225</v>
      </c>
    </row>
    <row r="212" spans="1:19" x14ac:dyDescent="0.25">
      <c r="A212" s="75"/>
      <c r="E212" s="76" t="s">
        <v>1226</v>
      </c>
      <c r="S212" s="20" t="s">
        <v>1227</v>
      </c>
    </row>
    <row r="213" spans="1:19" x14ac:dyDescent="0.25">
      <c r="A213" s="75"/>
      <c r="E213" s="76" t="s">
        <v>1228</v>
      </c>
      <c r="S213" s="20" t="s">
        <v>1229</v>
      </c>
    </row>
    <row r="214" spans="1:19" x14ac:dyDescent="0.25">
      <c r="A214" s="75"/>
      <c r="E214" s="76" t="s">
        <v>1063</v>
      </c>
      <c r="S214" s="20" t="s">
        <v>1230</v>
      </c>
    </row>
    <row r="215" spans="1:19" x14ac:dyDescent="0.25">
      <c r="A215" s="75"/>
      <c r="E215" s="76" t="s">
        <v>1231</v>
      </c>
      <c r="S215" s="20" t="s">
        <v>1232</v>
      </c>
    </row>
    <row r="216" spans="1:19" x14ac:dyDescent="0.25">
      <c r="A216" s="75"/>
      <c r="E216" s="76" t="s">
        <v>1233</v>
      </c>
      <c r="S216" s="20" t="s">
        <v>1234</v>
      </c>
    </row>
    <row r="217" spans="1:19" x14ac:dyDescent="0.25">
      <c r="A217" s="75"/>
      <c r="E217" s="76" t="s">
        <v>1235</v>
      </c>
      <c r="S217" s="20" t="s">
        <v>1236</v>
      </c>
    </row>
    <row r="218" spans="1:19" x14ac:dyDescent="0.25">
      <c r="A218" s="75"/>
      <c r="E218" s="76" t="s">
        <v>1237</v>
      </c>
      <c r="S218" s="20" t="s">
        <v>1238</v>
      </c>
    </row>
    <row r="219" spans="1:19" x14ac:dyDescent="0.25">
      <c r="A219" s="75"/>
      <c r="E219" s="76" t="s">
        <v>1239</v>
      </c>
      <c r="S219" s="20" t="s">
        <v>1240</v>
      </c>
    </row>
    <row r="220" spans="1:19" x14ac:dyDescent="0.25">
      <c r="A220" s="75"/>
      <c r="E220" s="76" t="s">
        <v>1241</v>
      </c>
      <c r="S220" s="20" t="s">
        <v>1242</v>
      </c>
    </row>
    <row r="221" spans="1:19" x14ac:dyDescent="0.25">
      <c r="A221" s="75"/>
      <c r="E221" s="76" t="s">
        <v>1243</v>
      </c>
      <c r="S221" s="20" t="s">
        <v>1244</v>
      </c>
    </row>
    <row r="222" spans="1:19" x14ac:dyDescent="0.25">
      <c r="A222" s="75"/>
      <c r="E222" s="76" t="s">
        <v>1245</v>
      </c>
      <c r="S222" s="20" t="s">
        <v>1246</v>
      </c>
    </row>
    <row r="223" spans="1:19" x14ac:dyDescent="0.25">
      <c r="A223" s="75"/>
      <c r="E223" s="76" t="s">
        <v>1247</v>
      </c>
      <c r="S223" s="20" t="s">
        <v>1248</v>
      </c>
    </row>
    <row r="224" spans="1:19" x14ac:dyDescent="0.25">
      <c r="A224" s="75"/>
      <c r="E224" s="76" t="s">
        <v>1025</v>
      </c>
      <c r="S224" s="20" t="s">
        <v>1249</v>
      </c>
    </row>
    <row r="225" spans="1:19" x14ac:dyDescent="0.25">
      <c r="A225" s="75"/>
      <c r="E225" s="76" t="s">
        <v>560</v>
      </c>
      <c r="S225" s="20" t="s">
        <v>1250</v>
      </c>
    </row>
    <row r="226" spans="1:19" x14ac:dyDescent="0.25">
      <c r="A226" s="75"/>
      <c r="E226" s="76" t="s">
        <v>1251</v>
      </c>
      <c r="S226" s="20" t="s">
        <v>1252</v>
      </c>
    </row>
    <row r="227" spans="1:19" x14ac:dyDescent="0.25">
      <c r="A227" s="75"/>
      <c r="E227" s="76" t="s">
        <v>1253</v>
      </c>
      <c r="S227" s="20" t="s">
        <v>1254</v>
      </c>
    </row>
    <row r="228" spans="1:19" x14ac:dyDescent="0.25">
      <c r="A228" s="75"/>
      <c r="E228" s="76" t="s">
        <v>1025</v>
      </c>
      <c r="S228" s="20" t="s">
        <v>1255</v>
      </c>
    </row>
    <row r="229" spans="1:19" x14ac:dyDescent="0.25">
      <c r="A229" s="75"/>
      <c r="E229" s="76" t="s">
        <v>1025</v>
      </c>
      <c r="S229" s="20" t="s">
        <v>1256</v>
      </c>
    </row>
    <row r="230" spans="1:19" x14ac:dyDescent="0.25">
      <c r="A230" s="75"/>
      <c r="E230" s="76" t="s">
        <v>1257</v>
      </c>
      <c r="S230" s="20" t="s">
        <v>1258</v>
      </c>
    </row>
    <row r="231" spans="1:19" x14ac:dyDescent="0.25">
      <c r="A231" s="75"/>
      <c r="E231" s="76" t="s">
        <v>1259</v>
      </c>
      <c r="S231" s="20" t="s">
        <v>1260</v>
      </c>
    </row>
    <row r="232" spans="1:19" x14ac:dyDescent="0.25">
      <c r="A232" s="75"/>
      <c r="E232" s="76" t="s">
        <v>1025</v>
      </c>
      <c r="S232" s="20" t="s">
        <v>1261</v>
      </c>
    </row>
    <row r="233" spans="1:19" x14ac:dyDescent="0.25">
      <c r="A233" s="75"/>
      <c r="E233" s="76" t="s">
        <v>1025</v>
      </c>
      <c r="S233" s="20" t="s">
        <v>1262</v>
      </c>
    </row>
    <row r="234" spans="1:19" x14ac:dyDescent="0.25">
      <c r="A234" s="75"/>
      <c r="E234" s="76"/>
      <c r="S234" s="20"/>
    </row>
    <row r="235" spans="1:19" x14ac:dyDescent="0.25">
      <c r="A235" s="75"/>
      <c r="E235" s="76"/>
      <c r="S235" s="20"/>
    </row>
    <row r="236" spans="1:19" x14ac:dyDescent="0.25">
      <c r="A236" s="75"/>
      <c r="E236" s="76"/>
      <c r="S236" s="20"/>
    </row>
    <row r="237" spans="1:19" x14ac:dyDescent="0.25">
      <c r="A237" s="75"/>
      <c r="E237" s="76"/>
      <c r="S237" s="20"/>
    </row>
    <row r="238" spans="1:19" x14ac:dyDescent="0.25">
      <c r="A238" s="75"/>
      <c r="E238" s="76"/>
      <c r="S238" s="20"/>
    </row>
    <row r="239" spans="1:19" x14ac:dyDescent="0.25">
      <c r="A239" s="75"/>
      <c r="E239" s="76"/>
      <c r="S239" s="20"/>
    </row>
    <row r="240" spans="1:19" x14ac:dyDescent="0.25">
      <c r="A240" s="75"/>
      <c r="E240" s="76"/>
      <c r="S240" s="20"/>
    </row>
    <row r="241" spans="1:19" x14ac:dyDescent="0.25">
      <c r="A241" s="75"/>
      <c r="E241" s="76"/>
      <c r="S241" s="20"/>
    </row>
    <row r="242" spans="1:19" x14ac:dyDescent="0.25">
      <c r="A242" s="75"/>
      <c r="E242" s="76"/>
      <c r="S242" s="20"/>
    </row>
    <row r="243" spans="1:19" x14ac:dyDescent="0.25">
      <c r="A243" s="75"/>
      <c r="E243" s="76"/>
      <c r="S243" s="20"/>
    </row>
    <row r="244" spans="1:19" x14ac:dyDescent="0.25">
      <c r="A244" s="75"/>
      <c r="E244" s="76"/>
      <c r="S244" s="20"/>
    </row>
    <row r="245" spans="1:19" x14ac:dyDescent="0.25">
      <c r="A245" s="75"/>
      <c r="E245" s="76"/>
      <c r="S245" s="20"/>
    </row>
    <row r="246" spans="1:19" x14ac:dyDescent="0.25">
      <c r="A246" s="75"/>
      <c r="E246" s="76"/>
      <c r="S246" s="20"/>
    </row>
    <row r="247" spans="1:19" x14ac:dyDescent="0.25">
      <c r="A247" s="75"/>
      <c r="E247" s="76"/>
      <c r="S247" s="20"/>
    </row>
    <row r="248" spans="1:19" x14ac:dyDescent="0.25">
      <c r="A248" s="75"/>
      <c r="E248" s="76"/>
      <c r="S248" s="20"/>
    </row>
    <row r="249" spans="1:19" x14ac:dyDescent="0.25">
      <c r="A249" s="75"/>
      <c r="E249" s="76"/>
      <c r="S249" s="20"/>
    </row>
    <row r="250" spans="1:19" x14ac:dyDescent="0.25">
      <c r="A250" s="75"/>
      <c r="E250" s="76"/>
      <c r="S250" s="20"/>
    </row>
    <row r="251" spans="1:19" x14ac:dyDescent="0.25">
      <c r="A251" s="75"/>
      <c r="E251" s="76"/>
      <c r="S251" s="20"/>
    </row>
    <row r="252" spans="1:19" x14ac:dyDescent="0.25">
      <c r="A252" s="75"/>
      <c r="E252" s="76"/>
      <c r="S252" s="20"/>
    </row>
    <row r="253" spans="1:19" x14ac:dyDescent="0.25">
      <c r="A253" s="75"/>
      <c r="E253" s="76"/>
      <c r="S253" s="20"/>
    </row>
    <row r="254" spans="1:19" x14ac:dyDescent="0.25">
      <c r="A254" s="75"/>
      <c r="E254" s="76"/>
      <c r="S254" s="20"/>
    </row>
    <row r="255" spans="1:19" x14ac:dyDescent="0.25">
      <c r="A255" s="75"/>
      <c r="E255" s="76"/>
      <c r="S255" s="20"/>
    </row>
    <row r="256" spans="1:19" x14ac:dyDescent="0.25">
      <c r="A256" s="75"/>
      <c r="E256" s="76"/>
      <c r="S256" s="20"/>
    </row>
    <row r="257" spans="1:19" x14ac:dyDescent="0.25">
      <c r="A257" s="75"/>
      <c r="E257" s="76"/>
      <c r="S257" s="20"/>
    </row>
    <row r="258" spans="1:19" x14ac:dyDescent="0.25">
      <c r="A258" s="75"/>
      <c r="E258" s="76"/>
      <c r="S258" s="20"/>
    </row>
    <row r="259" spans="1:19" x14ac:dyDescent="0.25">
      <c r="A259" s="75"/>
      <c r="E259" s="76"/>
      <c r="S259" s="20"/>
    </row>
    <row r="260" spans="1:19" x14ac:dyDescent="0.25">
      <c r="A260" s="75"/>
      <c r="E260" s="76"/>
      <c r="S260" s="20"/>
    </row>
    <row r="261" spans="1:19" x14ac:dyDescent="0.25">
      <c r="A261" s="75"/>
      <c r="E261" s="76"/>
      <c r="S261" s="20"/>
    </row>
    <row r="262" spans="1:19" x14ac:dyDescent="0.25">
      <c r="A262" s="75"/>
      <c r="E262" s="76"/>
      <c r="S262" s="20"/>
    </row>
    <row r="263" spans="1:19" x14ac:dyDescent="0.25">
      <c r="A263" s="75"/>
      <c r="E263" s="76"/>
      <c r="S263" s="20"/>
    </row>
    <row r="264" spans="1:19" x14ac:dyDescent="0.25">
      <c r="A264" s="75"/>
      <c r="E264" s="76"/>
      <c r="S264" s="20"/>
    </row>
    <row r="265" spans="1:19" x14ac:dyDescent="0.25">
      <c r="A265" s="75"/>
      <c r="E265" s="76"/>
      <c r="S265" s="20"/>
    </row>
    <row r="266" spans="1:19" x14ac:dyDescent="0.25">
      <c r="A266" s="75"/>
      <c r="E266" s="76"/>
      <c r="S266" s="20"/>
    </row>
    <row r="267" spans="1:19" x14ac:dyDescent="0.25">
      <c r="A267" s="75"/>
      <c r="E267" s="76"/>
      <c r="S267" s="20"/>
    </row>
    <row r="268" spans="1:19" x14ac:dyDescent="0.25">
      <c r="A268" s="75"/>
      <c r="E268" s="76"/>
      <c r="S268" s="20"/>
    </row>
    <row r="269" spans="1:19" x14ac:dyDescent="0.25">
      <c r="A269" s="75"/>
      <c r="E269" s="76"/>
      <c r="S269" s="20"/>
    </row>
    <row r="270" spans="1:19" x14ac:dyDescent="0.25">
      <c r="A270" s="75"/>
      <c r="E270" s="76"/>
      <c r="S270" s="20"/>
    </row>
    <row r="271" spans="1:19" x14ac:dyDescent="0.25">
      <c r="A271" s="75"/>
      <c r="E271" s="76"/>
      <c r="S271" s="20"/>
    </row>
    <row r="272" spans="1:19" x14ac:dyDescent="0.25">
      <c r="A272" s="75"/>
      <c r="E272" s="76"/>
      <c r="S272" s="20"/>
    </row>
    <row r="273" spans="1:19" x14ac:dyDescent="0.25">
      <c r="A273" s="75"/>
      <c r="E273" s="76"/>
      <c r="S273" s="20"/>
    </row>
    <row r="274" spans="1:19" x14ac:dyDescent="0.25">
      <c r="A274" s="75"/>
      <c r="E274" s="76"/>
      <c r="S274" s="20"/>
    </row>
    <row r="275" spans="1:19" x14ac:dyDescent="0.25">
      <c r="A275" s="75"/>
      <c r="E275" s="76"/>
      <c r="S275" s="20"/>
    </row>
    <row r="276" spans="1:19" x14ac:dyDescent="0.25">
      <c r="A276" s="75"/>
      <c r="E276" s="76"/>
      <c r="S276" s="20"/>
    </row>
    <row r="277" spans="1:19" x14ac:dyDescent="0.25">
      <c r="A277" s="75"/>
      <c r="E277" s="76"/>
      <c r="S277" s="20"/>
    </row>
    <row r="278" spans="1:19" x14ac:dyDescent="0.25">
      <c r="A278" s="75"/>
      <c r="E278" s="76"/>
      <c r="S278" s="20"/>
    </row>
    <row r="279" spans="1:19" x14ac:dyDescent="0.25">
      <c r="A279" s="75"/>
      <c r="E279" s="76"/>
      <c r="S279" s="20"/>
    </row>
    <row r="280" spans="1:19" x14ac:dyDescent="0.25">
      <c r="A280" s="75"/>
      <c r="E280" s="76"/>
      <c r="S280" s="20"/>
    </row>
    <row r="281" spans="1:19" x14ac:dyDescent="0.25">
      <c r="A281" s="75"/>
      <c r="E281" s="76"/>
      <c r="S281" s="20"/>
    </row>
    <row r="282" spans="1:19" x14ac:dyDescent="0.25">
      <c r="A282" s="75"/>
      <c r="E282" s="76"/>
      <c r="S282" s="20"/>
    </row>
    <row r="283" spans="1:19" x14ac:dyDescent="0.25">
      <c r="A283" s="75"/>
      <c r="E283" s="76"/>
      <c r="S283" s="20"/>
    </row>
    <row r="284" spans="1:19" x14ac:dyDescent="0.25">
      <c r="A284" s="75"/>
      <c r="E284" s="76"/>
      <c r="S284" s="20"/>
    </row>
    <row r="285" spans="1:19" x14ac:dyDescent="0.25">
      <c r="A285" s="75"/>
      <c r="E285" s="76"/>
      <c r="S285" s="20"/>
    </row>
    <row r="286" spans="1:19" x14ac:dyDescent="0.25">
      <c r="A286" s="75"/>
      <c r="E286" s="76"/>
      <c r="S286" s="20"/>
    </row>
    <row r="287" spans="1:19" x14ac:dyDescent="0.25">
      <c r="A287" s="75"/>
      <c r="E287" s="76"/>
      <c r="S287" s="20"/>
    </row>
    <row r="288" spans="1:19" x14ac:dyDescent="0.25">
      <c r="A288" s="75"/>
      <c r="E288" s="76"/>
      <c r="S288" s="20"/>
    </row>
    <row r="289" spans="1:19" x14ac:dyDescent="0.25">
      <c r="A289" s="75"/>
      <c r="E289" s="76"/>
      <c r="S289" s="20"/>
    </row>
    <row r="290" spans="1:19" x14ac:dyDescent="0.25">
      <c r="A290" s="75"/>
      <c r="E290" s="76"/>
      <c r="S290" s="20"/>
    </row>
    <row r="291" spans="1:19" x14ac:dyDescent="0.25">
      <c r="A291" s="75"/>
      <c r="E291" s="76"/>
      <c r="S291" s="20"/>
    </row>
    <row r="292" spans="1:19" x14ac:dyDescent="0.25">
      <c r="A292" s="75"/>
      <c r="E292" s="76"/>
      <c r="S292" s="20"/>
    </row>
    <row r="293" spans="1:19" x14ac:dyDescent="0.25">
      <c r="A293" s="75"/>
      <c r="E293" s="76"/>
      <c r="S293" s="20"/>
    </row>
    <row r="294" spans="1:19" x14ac:dyDescent="0.25">
      <c r="A294" s="75"/>
      <c r="E294" s="76"/>
      <c r="S294" s="20"/>
    </row>
    <row r="295" spans="1:19" x14ac:dyDescent="0.25">
      <c r="A295" s="75"/>
      <c r="E295" s="76"/>
      <c r="S295" s="20"/>
    </row>
    <row r="296" spans="1:19" x14ac:dyDescent="0.25">
      <c r="A296" s="75"/>
      <c r="E296" s="76"/>
      <c r="S296" s="20"/>
    </row>
    <row r="297" spans="1:19" x14ac:dyDescent="0.25">
      <c r="A297" s="75"/>
      <c r="E297" s="76"/>
      <c r="S297" s="20"/>
    </row>
    <row r="298" spans="1:19" x14ac:dyDescent="0.25">
      <c r="A298" s="75"/>
      <c r="E298" s="76"/>
      <c r="S298" s="20"/>
    </row>
    <row r="299" spans="1:19" x14ac:dyDescent="0.25">
      <c r="A299" s="75"/>
      <c r="E299" s="76"/>
      <c r="S299" s="20"/>
    </row>
    <row r="300" spans="1:19" x14ac:dyDescent="0.25">
      <c r="A300" s="75"/>
      <c r="E300" s="76"/>
      <c r="S300" s="20"/>
    </row>
    <row r="301" spans="1:19" x14ac:dyDescent="0.25">
      <c r="A301" s="75"/>
      <c r="E301" s="76"/>
      <c r="S301" s="20"/>
    </row>
    <row r="302" spans="1:19" x14ac:dyDescent="0.25">
      <c r="A302" s="75"/>
      <c r="E302" s="76"/>
      <c r="S302" s="20"/>
    </row>
    <row r="303" spans="1:19" x14ac:dyDescent="0.25">
      <c r="A303" s="75"/>
      <c r="E303" s="76"/>
      <c r="S303" s="20"/>
    </row>
    <row r="304" spans="1:19" x14ac:dyDescent="0.25">
      <c r="A304" s="75"/>
      <c r="E304" s="76"/>
      <c r="S304" s="20"/>
    </row>
    <row r="305" spans="1:19" x14ac:dyDescent="0.25">
      <c r="A305" s="75"/>
      <c r="E305" s="76"/>
      <c r="S305" s="20"/>
    </row>
    <row r="306" spans="1:19" x14ac:dyDescent="0.25">
      <c r="A306" s="75"/>
      <c r="E306" s="76"/>
      <c r="S306" s="20"/>
    </row>
    <row r="307" spans="1:19" x14ac:dyDescent="0.25">
      <c r="A307" s="75"/>
      <c r="E307" s="76"/>
      <c r="S307" s="20"/>
    </row>
    <row r="308" spans="1:19" x14ac:dyDescent="0.25">
      <c r="A308" s="75"/>
      <c r="E308" s="76"/>
      <c r="S308" s="20"/>
    </row>
    <row r="309" spans="1:19" x14ac:dyDescent="0.25">
      <c r="A309" s="75"/>
      <c r="E309" s="76"/>
      <c r="S309" s="20"/>
    </row>
    <row r="310" spans="1:19" x14ac:dyDescent="0.25">
      <c r="A310" s="75"/>
      <c r="E310" s="76"/>
      <c r="S310" s="20"/>
    </row>
    <row r="311" spans="1:19" x14ac:dyDescent="0.25">
      <c r="A311" s="75"/>
      <c r="E311" s="76"/>
      <c r="S311" s="20"/>
    </row>
    <row r="312" spans="1:19" x14ac:dyDescent="0.25">
      <c r="A312" s="75"/>
      <c r="E312" s="76"/>
      <c r="S312" s="20"/>
    </row>
    <row r="313" spans="1:19" x14ac:dyDescent="0.25">
      <c r="A313" s="75"/>
      <c r="E313" s="76"/>
      <c r="S313" s="20"/>
    </row>
    <row r="314" spans="1:19" x14ac:dyDescent="0.25">
      <c r="A314" s="75"/>
      <c r="E314" s="76"/>
      <c r="S314" s="20"/>
    </row>
    <row r="315" spans="1:19" x14ac:dyDescent="0.25">
      <c r="A315" s="75"/>
      <c r="E315" s="76"/>
      <c r="S315" s="20"/>
    </row>
    <row r="316" spans="1:19" x14ac:dyDescent="0.25">
      <c r="A316" s="75"/>
      <c r="E316" s="76"/>
      <c r="S316" s="20"/>
    </row>
    <row r="317" spans="1:19" x14ac:dyDescent="0.25">
      <c r="A317" s="75"/>
      <c r="E317" s="76"/>
      <c r="S317" s="20"/>
    </row>
    <row r="318" spans="1:19" x14ac:dyDescent="0.25">
      <c r="A318" s="75"/>
      <c r="E318" s="76"/>
      <c r="S318" s="20"/>
    </row>
    <row r="319" spans="1:19" x14ac:dyDescent="0.25">
      <c r="A319" s="75"/>
      <c r="E319" s="76"/>
      <c r="S319" s="20"/>
    </row>
    <row r="320" spans="1:19" x14ac:dyDescent="0.25">
      <c r="A320" s="75"/>
      <c r="E320" s="76"/>
      <c r="S320" s="20"/>
    </row>
    <row r="321" spans="1:19" x14ac:dyDescent="0.25">
      <c r="A321" s="75"/>
      <c r="E321" s="76"/>
      <c r="S321" s="20"/>
    </row>
    <row r="322" spans="1:19" x14ac:dyDescent="0.25">
      <c r="A322" s="75"/>
      <c r="E322" s="76"/>
      <c r="S322" s="20"/>
    </row>
    <row r="323" spans="1:19" x14ac:dyDescent="0.25">
      <c r="A323" s="75"/>
      <c r="E323" s="76"/>
      <c r="S323" s="20"/>
    </row>
    <row r="324" spans="1:19" x14ac:dyDescent="0.25">
      <c r="A324" s="75"/>
      <c r="E324" s="76"/>
      <c r="S324" s="20"/>
    </row>
    <row r="325" spans="1:19" x14ac:dyDescent="0.25">
      <c r="A325" s="75"/>
      <c r="E325" s="76"/>
      <c r="S325" s="20"/>
    </row>
    <row r="326" spans="1:19" x14ac:dyDescent="0.25">
      <c r="A326" s="75"/>
      <c r="E326" s="76"/>
      <c r="S326" s="20"/>
    </row>
    <row r="327" spans="1:19" x14ac:dyDescent="0.25">
      <c r="A327" s="75"/>
      <c r="E327" s="76"/>
      <c r="S327" s="20"/>
    </row>
    <row r="328" spans="1:19" x14ac:dyDescent="0.25">
      <c r="A328" s="75"/>
      <c r="E328" s="76"/>
      <c r="S328" s="20"/>
    </row>
    <row r="329" spans="1:19" x14ac:dyDescent="0.25">
      <c r="A329" s="75"/>
      <c r="E329" s="76"/>
      <c r="S329" s="20"/>
    </row>
    <row r="330" spans="1:19" x14ac:dyDescent="0.25">
      <c r="A330" s="75"/>
      <c r="E330" s="76"/>
      <c r="S330" s="20"/>
    </row>
    <row r="331" spans="1:19" x14ac:dyDescent="0.25">
      <c r="A331" s="75"/>
      <c r="E331" s="76"/>
      <c r="S331" s="20"/>
    </row>
    <row r="332" spans="1:19" x14ac:dyDescent="0.25">
      <c r="A332" s="75"/>
      <c r="E332" s="76"/>
      <c r="S332" s="20"/>
    </row>
    <row r="333" spans="1:19" x14ac:dyDescent="0.25">
      <c r="A333" s="75"/>
      <c r="E333" s="76"/>
      <c r="S333" s="20"/>
    </row>
    <row r="334" spans="1:19" x14ac:dyDescent="0.25">
      <c r="A334" s="75"/>
      <c r="E334" s="76"/>
      <c r="S334" s="20"/>
    </row>
    <row r="335" spans="1:19" x14ac:dyDescent="0.25">
      <c r="A335" s="75"/>
      <c r="E335" s="76"/>
      <c r="S335" s="20"/>
    </row>
    <row r="336" spans="1:19" x14ac:dyDescent="0.25">
      <c r="A336" s="75"/>
      <c r="E336" s="76"/>
      <c r="S336" s="20"/>
    </row>
    <row r="337" spans="1:19" x14ac:dyDescent="0.25">
      <c r="A337" s="75"/>
      <c r="E337" s="76"/>
      <c r="S337" s="20"/>
    </row>
    <row r="338" spans="1:19" x14ac:dyDescent="0.25">
      <c r="A338" s="75"/>
      <c r="E338" s="76"/>
      <c r="S338" s="20"/>
    </row>
    <row r="339" spans="1:19" x14ac:dyDescent="0.25">
      <c r="A339" s="75"/>
      <c r="E339" s="76"/>
      <c r="S339" s="20"/>
    </row>
    <row r="340" spans="1:19" x14ac:dyDescent="0.25">
      <c r="A340" s="75"/>
      <c r="E340" s="76"/>
      <c r="S340" s="20"/>
    </row>
    <row r="341" spans="1:19" x14ac:dyDescent="0.25">
      <c r="A341" s="75"/>
      <c r="E341" s="76"/>
      <c r="S341" s="20"/>
    </row>
    <row r="342" spans="1:19" x14ac:dyDescent="0.25">
      <c r="A342" s="75"/>
      <c r="E342" s="76"/>
      <c r="S342" s="20"/>
    </row>
    <row r="343" spans="1:19" x14ac:dyDescent="0.25">
      <c r="A343" s="75"/>
      <c r="E343" s="76"/>
      <c r="S343" s="20"/>
    </row>
    <row r="344" spans="1:19" x14ac:dyDescent="0.25">
      <c r="A344" s="75"/>
      <c r="E344" s="76"/>
      <c r="S344" s="20"/>
    </row>
    <row r="345" spans="1:19" x14ac:dyDescent="0.25">
      <c r="A345" s="75"/>
      <c r="E345" s="76"/>
      <c r="S345" s="20"/>
    </row>
    <row r="346" spans="1:19" x14ac:dyDescent="0.25">
      <c r="A346" s="75"/>
      <c r="E346" s="76"/>
      <c r="S346" s="20"/>
    </row>
    <row r="347" spans="1:19" x14ac:dyDescent="0.25">
      <c r="A347" s="75"/>
      <c r="E347" s="76"/>
      <c r="S347" s="20"/>
    </row>
    <row r="348" spans="1:19" x14ac:dyDescent="0.25">
      <c r="A348" s="75"/>
      <c r="E348" s="76"/>
      <c r="S348" s="20"/>
    </row>
    <row r="349" spans="1:19" x14ac:dyDescent="0.25">
      <c r="A349" s="75"/>
      <c r="E349" s="76"/>
      <c r="S349" s="20"/>
    </row>
    <row r="350" spans="1:19" x14ac:dyDescent="0.25">
      <c r="A350" s="75"/>
      <c r="E350" s="76"/>
      <c r="S350" s="20"/>
    </row>
    <row r="351" spans="1:19" x14ac:dyDescent="0.25">
      <c r="A351" s="75"/>
      <c r="E351" s="76"/>
      <c r="S351" s="20"/>
    </row>
    <row r="352" spans="1:19" x14ac:dyDescent="0.25">
      <c r="A352" s="75"/>
      <c r="E352" s="76"/>
      <c r="S352" s="20"/>
    </row>
    <row r="353" spans="1:19" x14ac:dyDescent="0.25">
      <c r="A353" s="75"/>
      <c r="E353" s="76"/>
      <c r="S353" s="20"/>
    </row>
    <row r="354" spans="1:19" x14ac:dyDescent="0.25">
      <c r="A354" s="75"/>
      <c r="E354" s="76"/>
      <c r="S354" s="20"/>
    </row>
    <row r="355" spans="1:19" x14ac:dyDescent="0.25">
      <c r="A355" s="75"/>
      <c r="E355" s="76"/>
      <c r="S355" s="20"/>
    </row>
    <row r="356" spans="1:19" x14ac:dyDescent="0.25">
      <c r="A356" s="75"/>
      <c r="E356" s="76"/>
      <c r="S356" s="20"/>
    </row>
    <row r="357" spans="1:19" x14ac:dyDescent="0.25">
      <c r="A357" s="75"/>
      <c r="E357" s="76"/>
      <c r="S357" s="20"/>
    </row>
    <row r="358" spans="1:19" x14ac:dyDescent="0.25">
      <c r="A358" s="75"/>
      <c r="E358" s="76"/>
      <c r="S358" s="20"/>
    </row>
    <row r="359" spans="1:19" x14ac:dyDescent="0.25">
      <c r="A359" s="75"/>
      <c r="E359" s="76"/>
      <c r="S359" s="20"/>
    </row>
    <row r="360" spans="1:19" x14ac:dyDescent="0.25">
      <c r="A360" s="75"/>
      <c r="E360" s="76"/>
      <c r="S360" s="20"/>
    </row>
    <row r="361" spans="1:19" x14ac:dyDescent="0.25">
      <c r="A361" s="75"/>
      <c r="E361" s="76"/>
      <c r="S361" s="20"/>
    </row>
    <row r="362" spans="1:19" x14ac:dyDescent="0.25">
      <c r="A362" s="75"/>
      <c r="E362" s="76"/>
      <c r="S362" s="20"/>
    </row>
    <row r="363" spans="1:19" x14ac:dyDescent="0.25">
      <c r="A363" s="75"/>
      <c r="E363" s="76"/>
      <c r="S363" s="20"/>
    </row>
    <row r="364" spans="1:19" x14ac:dyDescent="0.25">
      <c r="A364" s="75"/>
      <c r="E364" s="76"/>
      <c r="S364" s="20"/>
    </row>
    <row r="365" spans="1:19" x14ac:dyDescent="0.25">
      <c r="A365" s="75"/>
      <c r="E365" s="76"/>
      <c r="S365" s="20"/>
    </row>
    <row r="366" spans="1:19" x14ac:dyDescent="0.25">
      <c r="A366" s="75"/>
      <c r="E366" s="76"/>
      <c r="S366" s="20"/>
    </row>
    <row r="367" spans="1:19" x14ac:dyDescent="0.25">
      <c r="A367" s="75"/>
      <c r="E367" s="76"/>
      <c r="S367" s="20"/>
    </row>
    <row r="368" spans="1:19" x14ac:dyDescent="0.25">
      <c r="A368" s="75"/>
      <c r="E368" s="76"/>
      <c r="S368" s="20"/>
    </row>
    <row r="369" spans="1:19" x14ac:dyDescent="0.25">
      <c r="A369" s="75"/>
      <c r="E369" s="76"/>
      <c r="S369" s="20"/>
    </row>
    <row r="370" spans="1:19" x14ac:dyDescent="0.25">
      <c r="A370" s="75"/>
      <c r="E370" s="76"/>
      <c r="S370" s="20"/>
    </row>
    <row r="371" spans="1:19" x14ac:dyDescent="0.25">
      <c r="A371" s="75"/>
      <c r="E371" s="76"/>
      <c r="S371" s="20"/>
    </row>
    <row r="372" spans="1:19" x14ac:dyDescent="0.25">
      <c r="A372" s="75"/>
      <c r="E372" s="76"/>
      <c r="S372" s="20"/>
    </row>
    <row r="373" spans="1:19" x14ac:dyDescent="0.25">
      <c r="A373" s="75"/>
      <c r="E373" s="76"/>
      <c r="S373" s="20"/>
    </row>
    <row r="374" spans="1:19" x14ac:dyDescent="0.25">
      <c r="A374" s="75"/>
      <c r="E374" s="76"/>
      <c r="S374" s="20"/>
    </row>
    <row r="375" spans="1:19" x14ac:dyDescent="0.25">
      <c r="A375" s="75"/>
      <c r="E375" s="76"/>
      <c r="S375" s="20"/>
    </row>
    <row r="376" spans="1:19" x14ac:dyDescent="0.25">
      <c r="A376" s="75"/>
      <c r="E376" s="76"/>
      <c r="S376" s="20"/>
    </row>
    <row r="377" spans="1:19" x14ac:dyDescent="0.25">
      <c r="A377" s="75"/>
      <c r="E377" s="76"/>
      <c r="S377" s="20"/>
    </row>
    <row r="378" spans="1:19" x14ac:dyDescent="0.25">
      <c r="A378" s="75"/>
      <c r="E378" s="76"/>
      <c r="S378" s="20"/>
    </row>
    <row r="379" spans="1:19" x14ac:dyDescent="0.25">
      <c r="A379" s="75"/>
      <c r="E379" s="76"/>
      <c r="S379" s="20"/>
    </row>
    <row r="380" spans="1:19" x14ac:dyDescent="0.25">
      <c r="A380" s="75"/>
      <c r="E380" s="76"/>
      <c r="S380" s="20"/>
    </row>
    <row r="381" spans="1:19" x14ac:dyDescent="0.25">
      <c r="A381" s="75"/>
      <c r="E381" s="76"/>
      <c r="S381" s="20"/>
    </row>
    <row r="382" spans="1:19" x14ac:dyDescent="0.25">
      <c r="A382" s="75"/>
      <c r="E382" s="76"/>
      <c r="S382" s="20"/>
    </row>
    <row r="383" spans="1:19" x14ac:dyDescent="0.25">
      <c r="A383" s="75"/>
      <c r="E383" s="76"/>
      <c r="S383" s="20"/>
    </row>
    <row r="384" spans="1:19" x14ac:dyDescent="0.25">
      <c r="A384" s="75"/>
      <c r="E384" s="76"/>
      <c r="S384" s="20"/>
    </row>
    <row r="385" spans="1:19" x14ac:dyDescent="0.25">
      <c r="A385" s="75"/>
      <c r="E385" s="76"/>
      <c r="S385" s="20"/>
    </row>
    <row r="386" spans="1:19" x14ac:dyDescent="0.25">
      <c r="A386" s="75"/>
      <c r="E386" s="76"/>
      <c r="S386" s="20"/>
    </row>
    <row r="387" spans="1:19" x14ac:dyDescent="0.25">
      <c r="A387" s="75"/>
      <c r="E387" s="76"/>
      <c r="S387" s="20"/>
    </row>
    <row r="388" spans="1:19" x14ac:dyDescent="0.25">
      <c r="A388" s="75"/>
      <c r="E388" s="76"/>
      <c r="S388" s="20"/>
    </row>
    <row r="389" spans="1:19" x14ac:dyDescent="0.25">
      <c r="A389" s="75"/>
      <c r="E389" s="76"/>
      <c r="S389" s="20"/>
    </row>
    <row r="390" spans="1:19" x14ac:dyDescent="0.25">
      <c r="A390" s="75"/>
      <c r="E390" s="76"/>
      <c r="S390" s="20"/>
    </row>
    <row r="391" spans="1:19" x14ac:dyDescent="0.25">
      <c r="A391" s="75"/>
      <c r="E391" s="76"/>
      <c r="S391" s="20"/>
    </row>
    <row r="392" spans="1:19" x14ac:dyDescent="0.25">
      <c r="A392" s="75"/>
      <c r="E392" s="76"/>
      <c r="S392" s="20"/>
    </row>
    <row r="393" spans="1:19" x14ac:dyDescent="0.25">
      <c r="A393" s="75"/>
      <c r="E393" s="76"/>
      <c r="S393" s="20"/>
    </row>
    <row r="394" spans="1:19" x14ac:dyDescent="0.25">
      <c r="A394" s="75"/>
      <c r="E394" s="76"/>
      <c r="S394" s="20"/>
    </row>
    <row r="395" spans="1:19" x14ac:dyDescent="0.25">
      <c r="A395" s="75"/>
      <c r="E395" s="76"/>
      <c r="S395" s="20"/>
    </row>
    <row r="396" spans="1:19" x14ac:dyDescent="0.25">
      <c r="A396" s="75"/>
      <c r="E396" s="76"/>
      <c r="S396" s="20"/>
    </row>
    <row r="397" spans="1:19" x14ac:dyDescent="0.25">
      <c r="A397" s="75"/>
      <c r="E397" s="76"/>
      <c r="S397" s="20"/>
    </row>
    <row r="398" spans="1:19" x14ac:dyDescent="0.25">
      <c r="A398" s="75"/>
      <c r="E398" s="76"/>
      <c r="S398" s="20"/>
    </row>
    <row r="399" spans="1:19" x14ac:dyDescent="0.25">
      <c r="A399" s="75"/>
      <c r="E399" s="76"/>
      <c r="S399" s="20"/>
    </row>
    <row r="400" spans="1:19" x14ac:dyDescent="0.25">
      <c r="A400" s="75"/>
      <c r="E400" s="76"/>
      <c r="S400" s="20"/>
    </row>
    <row r="401" spans="1:19" x14ac:dyDescent="0.25">
      <c r="A401" s="75"/>
      <c r="E401" s="76"/>
      <c r="S401" s="20"/>
    </row>
    <row r="402" spans="1:19" x14ac:dyDescent="0.25">
      <c r="A402" s="75"/>
      <c r="E402" s="76"/>
      <c r="S402" s="20"/>
    </row>
    <row r="403" spans="1:19" x14ac:dyDescent="0.25">
      <c r="A403" s="75"/>
      <c r="E403" s="76"/>
      <c r="S403" s="20"/>
    </row>
    <row r="404" spans="1:19" x14ac:dyDescent="0.25">
      <c r="A404" s="75"/>
      <c r="E404" s="76"/>
      <c r="S404" s="20"/>
    </row>
    <row r="405" spans="1:19" x14ac:dyDescent="0.25">
      <c r="A405" s="75"/>
      <c r="E405" s="76"/>
      <c r="S405" s="20"/>
    </row>
    <row r="406" spans="1:19" x14ac:dyDescent="0.25">
      <c r="A406" s="75"/>
      <c r="E406" s="76"/>
      <c r="S406" s="20"/>
    </row>
    <row r="407" spans="1:19" x14ac:dyDescent="0.25">
      <c r="A407" s="75"/>
      <c r="E407" s="76"/>
      <c r="S407" s="20"/>
    </row>
    <row r="408" spans="1:19" x14ac:dyDescent="0.25">
      <c r="A408" s="75"/>
      <c r="E408" s="76"/>
      <c r="S408" s="20"/>
    </row>
    <row r="409" spans="1:19" x14ac:dyDescent="0.25">
      <c r="A409" s="75"/>
      <c r="E409" s="76"/>
      <c r="S409" s="20"/>
    </row>
    <row r="410" spans="1:19" x14ac:dyDescent="0.25">
      <c r="A410" s="75"/>
      <c r="E410" s="76"/>
      <c r="S410" s="20"/>
    </row>
    <row r="411" spans="1:19" x14ac:dyDescent="0.25">
      <c r="A411" s="75"/>
      <c r="E411" s="76"/>
      <c r="S411" s="20"/>
    </row>
    <row r="412" spans="1:19" x14ac:dyDescent="0.25">
      <c r="A412" s="75"/>
      <c r="E412" s="76"/>
      <c r="S412" s="20"/>
    </row>
    <row r="413" spans="1:19" x14ac:dyDescent="0.25">
      <c r="A413" s="75"/>
      <c r="E413" s="76"/>
      <c r="S413" s="20"/>
    </row>
    <row r="414" spans="1:19" x14ac:dyDescent="0.25">
      <c r="A414" s="75"/>
      <c r="E414" s="76"/>
      <c r="S414" s="20"/>
    </row>
    <row r="415" spans="1:19" x14ac:dyDescent="0.25">
      <c r="A415" s="75"/>
      <c r="E415" s="76"/>
      <c r="S415" s="20"/>
    </row>
    <row r="416" spans="1:19" x14ac:dyDescent="0.25">
      <c r="A416" s="75"/>
      <c r="E416" s="76"/>
      <c r="S416" s="20"/>
    </row>
    <row r="417" spans="1:19" x14ac:dyDescent="0.25">
      <c r="A417" s="75"/>
      <c r="E417" s="76"/>
      <c r="S417" s="20"/>
    </row>
    <row r="418" spans="1:19" x14ac:dyDescent="0.25">
      <c r="A418" s="75"/>
      <c r="E418" s="76"/>
      <c r="S418" s="20"/>
    </row>
    <row r="419" spans="1:19" x14ac:dyDescent="0.25">
      <c r="A419" s="75"/>
      <c r="E419" s="76"/>
      <c r="S419" s="20"/>
    </row>
    <row r="420" spans="1:19" x14ac:dyDescent="0.25">
      <c r="A420" s="75"/>
      <c r="E420" s="76"/>
      <c r="S420" s="20"/>
    </row>
    <row r="421" spans="1:19" x14ac:dyDescent="0.25">
      <c r="A421" s="75"/>
      <c r="E421" s="76"/>
      <c r="S421" s="20"/>
    </row>
    <row r="422" spans="1:19" x14ac:dyDescent="0.25">
      <c r="A422" s="75"/>
      <c r="E422" s="76"/>
      <c r="S422" s="20"/>
    </row>
    <row r="423" spans="1:19" x14ac:dyDescent="0.25">
      <c r="A423" s="75"/>
      <c r="E423" s="76"/>
      <c r="S423" s="20"/>
    </row>
    <row r="424" spans="1:19" x14ac:dyDescent="0.25">
      <c r="A424" s="75"/>
      <c r="E424" s="76"/>
      <c r="S424" s="20"/>
    </row>
    <row r="425" spans="1:19" x14ac:dyDescent="0.25">
      <c r="A425" s="75"/>
      <c r="E425" s="76"/>
      <c r="S425" s="20"/>
    </row>
    <row r="426" spans="1:19" x14ac:dyDescent="0.25">
      <c r="A426" s="75"/>
      <c r="E426" s="76"/>
      <c r="S426" s="20"/>
    </row>
    <row r="427" spans="1:19" x14ac:dyDescent="0.25">
      <c r="A427" s="75"/>
      <c r="E427" s="76"/>
      <c r="S427" s="20"/>
    </row>
    <row r="428" spans="1:19" x14ac:dyDescent="0.25">
      <c r="A428" s="75"/>
      <c r="E428" s="76"/>
      <c r="S428" s="20"/>
    </row>
    <row r="429" spans="1:19" x14ac:dyDescent="0.25">
      <c r="A429" s="75"/>
      <c r="E429" s="76"/>
      <c r="S429" s="20"/>
    </row>
    <row r="430" spans="1:19" x14ac:dyDescent="0.25">
      <c r="A430" s="75"/>
      <c r="E430" s="76"/>
      <c r="S430" s="20"/>
    </row>
    <row r="431" spans="1:19" x14ac:dyDescent="0.25">
      <c r="A431" s="75"/>
      <c r="E431" s="76"/>
      <c r="S431" s="20"/>
    </row>
    <row r="432" spans="1:19" x14ac:dyDescent="0.25">
      <c r="A432" s="75"/>
      <c r="E432" s="76"/>
      <c r="S432" s="20"/>
    </row>
    <row r="433" spans="1:19" x14ac:dyDescent="0.25">
      <c r="A433" s="75"/>
      <c r="E433" s="76"/>
      <c r="S433" s="20"/>
    </row>
    <row r="434" spans="1:19" x14ac:dyDescent="0.25">
      <c r="A434" s="75"/>
      <c r="E434" s="76"/>
      <c r="S434" s="20"/>
    </row>
    <row r="435" spans="1:19" x14ac:dyDescent="0.25">
      <c r="A435" s="75"/>
      <c r="E435" s="76"/>
      <c r="S435" s="20"/>
    </row>
    <row r="436" spans="1:19" x14ac:dyDescent="0.25">
      <c r="A436" s="75"/>
      <c r="E436" s="76"/>
      <c r="S436" s="20"/>
    </row>
    <row r="437" spans="1:19" x14ac:dyDescent="0.25">
      <c r="A437" s="75"/>
      <c r="E437" s="76"/>
      <c r="S437" s="20"/>
    </row>
    <row r="438" spans="1:19" x14ac:dyDescent="0.25">
      <c r="A438" s="75"/>
      <c r="E438" s="76"/>
      <c r="S438" s="20"/>
    </row>
    <row r="439" spans="1:19" x14ac:dyDescent="0.25">
      <c r="A439" s="75"/>
      <c r="E439" s="76"/>
      <c r="S439" s="20"/>
    </row>
    <row r="440" spans="1:19" x14ac:dyDescent="0.25">
      <c r="A440" s="75"/>
      <c r="E440" s="76"/>
      <c r="S440" s="20"/>
    </row>
    <row r="441" spans="1:19" x14ac:dyDescent="0.25">
      <c r="A441" s="75"/>
      <c r="E441" s="76"/>
      <c r="S441" s="20"/>
    </row>
    <row r="442" spans="1:19" x14ac:dyDescent="0.25">
      <c r="A442" s="75"/>
      <c r="E442" s="76"/>
      <c r="S442" s="20"/>
    </row>
    <row r="443" spans="1:19" x14ac:dyDescent="0.25">
      <c r="A443" s="75"/>
      <c r="E443" s="76"/>
      <c r="S443" s="20"/>
    </row>
    <row r="444" spans="1:19" x14ac:dyDescent="0.25">
      <c r="A444" s="75"/>
      <c r="E444" s="76"/>
      <c r="S444" s="20"/>
    </row>
    <row r="445" spans="1:19" x14ac:dyDescent="0.25">
      <c r="A445" s="75"/>
      <c r="E445" s="76"/>
      <c r="S445" s="20"/>
    </row>
    <row r="446" spans="1:19" x14ac:dyDescent="0.25">
      <c r="A446" s="75"/>
      <c r="E446" s="76"/>
      <c r="S446" s="20"/>
    </row>
    <row r="447" spans="1:19" x14ac:dyDescent="0.25">
      <c r="A447" s="75"/>
      <c r="E447" s="76"/>
      <c r="S447" s="20"/>
    </row>
    <row r="448" spans="1:19" x14ac:dyDescent="0.25">
      <c r="A448" s="75"/>
      <c r="E448" s="76"/>
      <c r="S448" s="20"/>
    </row>
    <row r="449" spans="1:19" x14ac:dyDescent="0.25">
      <c r="A449" s="75"/>
      <c r="E449" s="76"/>
      <c r="S449" s="20"/>
    </row>
    <row r="450" spans="1:19" x14ac:dyDescent="0.25">
      <c r="A450" s="75"/>
      <c r="E450" s="76"/>
      <c r="S450" s="20"/>
    </row>
    <row r="451" spans="1:19" x14ac:dyDescent="0.25">
      <c r="A451" s="75"/>
      <c r="E451" s="76"/>
      <c r="S451" s="20"/>
    </row>
    <row r="452" spans="1:19" x14ac:dyDescent="0.25">
      <c r="A452" s="75"/>
      <c r="E452" s="76"/>
      <c r="S452" s="20"/>
    </row>
    <row r="453" spans="1:19" x14ac:dyDescent="0.25">
      <c r="A453" s="75"/>
      <c r="E453" s="76"/>
      <c r="S453" s="20"/>
    </row>
    <row r="454" spans="1:19" x14ac:dyDescent="0.25">
      <c r="A454" s="75"/>
      <c r="E454" s="76"/>
      <c r="S454" s="20"/>
    </row>
    <row r="455" spans="1:19" x14ac:dyDescent="0.25">
      <c r="A455" s="75"/>
      <c r="E455" s="76"/>
      <c r="S455" s="20"/>
    </row>
    <row r="456" spans="1:19" x14ac:dyDescent="0.25">
      <c r="A456" s="75"/>
      <c r="E456" s="76"/>
      <c r="S456" s="20"/>
    </row>
    <row r="457" spans="1:19" x14ac:dyDescent="0.25">
      <c r="A457" s="75"/>
      <c r="E457" s="76"/>
      <c r="S457" s="20"/>
    </row>
    <row r="458" spans="1:19" x14ac:dyDescent="0.25">
      <c r="A458" s="75"/>
      <c r="E458" s="76"/>
      <c r="S458" s="20"/>
    </row>
    <row r="459" spans="1:19" x14ac:dyDescent="0.25">
      <c r="A459" s="75"/>
      <c r="E459" s="76"/>
      <c r="S459" s="20"/>
    </row>
    <row r="460" spans="1:19" x14ac:dyDescent="0.25">
      <c r="A460" s="75"/>
      <c r="E460" s="76"/>
      <c r="S460" s="20"/>
    </row>
    <row r="461" spans="1:19" x14ac:dyDescent="0.25">
      <c r="A461" s="75"/>
      <c r="E461" s="76"/>
      <c r="S461" s="20"/>
    </row>
    <row r="462" spans="1:19" x14ac:dyDescent="0.25">
      <c r="A462" s="75"/>
      <c r="E462" s="76"/>
      <c r="S462" s="20"/>
    </row>
    <row r="463" spans="1:19" x14ac:dyDescent="0.25">
      <c r="A463" s="75"/>
      <c r="E463" s="76"/>
      <c r="S463" s="20"/>
    </row>
    <row r="464" spans="1:19" x14ac:dyDescent="0.25">
      <c r="A464" s="75"/>
      <c r="E464" s="76"/>
      <c r="S464" s="20"/>
    </row>
    <row r="465" spans="1:19" x14ac:dyDescent="0.25">
      <c r="A465" s="75"/>
      <c r="E465" s="76"/>
      <c r="S465" s="20"/>
    </row>
    <row r="466" spans="1:19" x14ac:dyDescent="0.25">
      <c r="A466" s="75"/>
      <c r="E466" s="76"/>
      <c r="S466" s="20"/>
    </row>
    <row r="467" spans="1:19" x14ac:dyDescent="0.25">
      <c r="A467" s="75"/>
      <c r="E467" s="76"/>
      <c r="S467" s="20"/>
    </row>
    <row r="468" spans="1:19" x14ac:dyDescent="0.25">
      <c r="A468" s="75"/>
      <c r="E468" s="76"/>
      <c r="S468" s="20"/>
    </row>
    <row r="469" spans="1:19" x14ac:dyDescent="0.25">
      <c r="A469" s="75"/>
      <c r="E469" s="76"/>
      <c r="S469" s="20"/>
    </row>
    <row r="470" spans="1:19" x14ac:dyDescent="0.25">
      <c r="A470" s="75"/>
      <c r="E470" s="76"/>
      <c r="S470" s="20"/>
    </row>
    <row r="471" spans="1:19" x14ac:dyDescent="0.25">
      <c r="A471" s="75"/>
      <c r="E471" s="76"/>
      <c r="S471" s="20"/>
    </row>
    <row r="472" spans="1:19" x14ac:dyDescent="0.25">
      <c r="A472" s="75"/>
      <c r="E472" s="76"/>
      <c r="S472" s="20"/>
    </row>
    <row r="473" spans="1:19" x14ac:dyDescent="0.25">
      <c r="A473" s="75"/>
      <c r="E473" s="76"/>
      <c r="S473" s="20"/>
    </row>
    <row r="474" spans="1:19" x14ac:dyDescent="0.25">
      <c r="A474" s="75"/>
      <c r="E474" s="76"/>
      <c r="S474" s="20"/>
    </row>
    <row r="475" spans="1:19" x14ac:dyDescent="0.25">
      <c r="A475" s="75"/>
      <c r="E475" s="76"/>
      <c r="S475" s="20"/>
    </row>
    <row r="476" spans="1:19" x14ac:dyDescent="0.25">
      <c r="A476" s="75"/>
      <c r="E476" s="76"/>
      <c r="S476" s="20"/>
    </row>
    <row r="477" spans="1:19" x14ac:dyDescent="0.25">
      <c r="A477" s="75"/>
      <c r="E477" s="76"/>
      <c r="S477" s="20"/>
    </row>
    <row r="478" spans="1:19" x14ac:dyDescent="0.25">
      <c r="A478" s="75"/>
      <c r="E478" s="76"/>
      <c r="S478" s="20"/>
    </row>
    <row r="479" spans="1:19" x14ac:dyDescent="0.25">
      <c r="A479" s="75"/>
      <c r="E479" s="76"/>
      <c r="S479" s="20"/>
    </row>
    <row r="480" spans="1:19" x14ac:dyDescent="0.25">
      <c r="A480" s="75"/>
      <c r="E480" s="76"/>
      <c r="S480" s="20"/>
    </row>
    <row r="481" spans="1:19" x14ac:dyDescent="0.25">
      <c r="A481" s="75"/>
      <c r="E481" s="76"/>
      <c r="S481" s="20"/>
    </row>
    <row r="482" spans="1:19" x14ac:dyDescent="0.25">
      <c r="A482" s="75"/>
      <c r="E482" s="76"/>
      <c r="S482" s="20"/>
    </row>
    <row r="483" spans="1:19" x14ac:dyDescent="0.25">
      <c r="A483" s="75"/>
      <c r="E483" s="76"/>
      <c r="S483" s="20"/>
    </row>
    <row r="484" spans="1:19" x14ac:dyDescent="0.25">
      <c r="A484" s="75"/>
      <c r="E484" s="76"/>
      <c r="S484" s="20"/>
    </row>
    <row r="485" spans="1:19" x14ac:dyDescent="0.25">
      <c r="A485" s="75"/>
      <c r="E485" s="76"/>
      <c r="S485" s="20"/>
    </row>
    <row r="486" spans="1:19" x14ac:dyDescent="0.25">
      <c r="A486" s="75"/>
      <c r="E486" s="76"/>
      <c r="S486" s="20"/>
    </row>
    <row r="487" spans="1:19" x14ac:dyDescent="0.25">
      <c r="A487" s="75"/>
      <c r="E487" s="76"/>
      <c r="S487" s="20"/>
    </row>
    <row r="488" spans="1:19" x14ac:dyDescent="0.25">
      <c r="A488" s="75"/>
      <c r="E488" s="76"/>
      <c r="S488" s="20"/>
    </row>
    <row r="489" spans="1:19" x14ac:dyDescent="0.25">
      <c r="A489" s="75"/>
      <c r="E489" s="76"/>
      <c r="S489" s="20"/>
    </row>
    <row r="490" spans="1:19" x14ac:dyDescent="0.25">
      <c r="A490" s="75"/>
      <c r="E490" s="76"/>
      <c r="S490" s="20"/>
    </row>
    <row r="491" spans="1:19" x14ac:dyDescent="0.25">
      <c r="A491" s="75"/>
      <c r="E491" s="76"/>
      <c r="S491" s="20"/>
    </row>
    <row r="492" spans="1:19" x14ac:dyDescent="0.25">
      <c r="A492" s="75"/>
      <c r="E492" s="76"/>
      <c r="S492" s="20"/>
    </row>
    <row r="493" spans="1:19" x14ac:dyDescent="0.25">
      <c r="A493" s="75"/>
      <c r="E493" s="76"/>
      <c r="S493" s="20"/>
    </row>
    <row r="494" spans="1:19" x14ac:dyDescent="0.25">
      <c r="A494" s="75"/>
      <c r="E494" s="76"/>
      <c r="S494" s="20"/>
    </row>
    <row r="495" spans="1:19" x14ac:dyDescent="0.25">
      <c r="A495" s="75"/>
      <c r="E495" s="76"/>
      <c r="S495" s="20"/>
    </row>
    <row r="496" spans="1:19" x14ac:dyDescent="0.25">
      <c r="A496" s="75"/>
      <c r="E496" s="76"/>
      <c r="S496" s="20"/>
    </row>
    <row r="497" spans="1:19" x14ac:dyDescent="0.25">
      <c r="A497" s="75"/>
      <c r="E497" s="76"/>
      <c r="S497" s="20"/>
    </row>
    <row r="498" spans="1:19" x14ac:dyDescent="0.25">
      <c r="A498" s="75"/>
      <c r="E498" s="76"/>
      <c r="S498" s="20"/>
    </row>
    <row r="499" spans="1:19" x14ac:dyDescent="0.25">
      <c r="A499" s="75"/>
      <c r="E499" s="76"/>
      <c r="S499" s="20"/>
    </row>
    <row r="500" spans="1:19" x14ac:dyDescent="0.25">
      <c r="A500" s="75"/>
      <c r="E500" s="76"/>
      <c r="S500" s="20"/>
    </row>
    <row r="501" spans="1:19" x14ac:dyDescent="0.25">
      <c r="A501" s="75"/>
      <c r="E501" s="76"/>
      <c r="S501" s="20"/>
    </row>
    <row r="502" spans="1:19" x14ac:dyDescent="0.25">
      <c r="A502" s="75"/>
      <c r="E502" s="76"/>
      <c r="S502" s="20"/>
    </row>
    <row r="503" spans="1:19" x14ac:dyDescent="0.25">
      <c r="A503" s="75"/>
      <c r="E503" s="76"/>
      <c r="S503" s="20"/>
    </row>
    <row r="504" spans="1:19" x14ac:dyDescent="0.25">
      <c r="A504" s="75"/>
      <c r="E504" s="76"/>
      <c r="S504" s="20"/>
    </row>
    <row r="505" spans="1:19" x14ac:dyDescent="0.25">
      <c r="A505" s="75"/>
      <c r="E505" s="76"/>
      <c r="S505" s="20"/>
    </row>
    <row r="506" spans="1:19" x14ac:dyDescent="0.25">
      <c r="A506" s="75"/>
      <c r="E506" s="76"/>
      <c r="S506" s="20"/>
    </row>
    <row r="507" spans="1:19" x14ac:dyDescent="0.25">
      <c r="A507" s="75"/>
      <c r="E507" s="76"/>
      <c r="S507" s="20"/>
    </row>
    <row r="508" spans="1:19" x14ac:dyDescent="0.25">
      <c r="A508" s="75"/>
      <c r="E508" s="76"/>
      <c r="S508" s="20"/>
    </row>
    <row r="509" spans="1:19" x14ac:dyDescent="0.25">
      <c r="A509" s="75"/>
      <c r="E509" s="76"/>
      <c r="S509" s="20"/>
    </row>
    <row r="510" spans="1:19" x14ac:dyDescent="0.25">
      <c r="A510" s="75"/>
      <c r="E510" s="76"/>
      <c r="S510" s="20"/>
    </row>
    <row r="511" spans="1:19" x14ac:dyDescent="0.25">
      <c r="A511" s="75"/>
      <c r="E511" s="76"/>
      <c r="S511" s="20"/>
    </row>
    <row r="512" spans="1:19" x14ac:dyDescent="0.25">
      <c r="A512" s="75"/>
      <c r="E512" s="76"/>
      <c r="S512" s="20"/>
    </row>
    <row r="513" spans="1:19" x14ac:dyDescent="0.25">
      <c r="A513" s="75"/>
      <c r="E513" s="76"/>
      <c r="S513" s="20"/>
    </row>
    <row r="514" spans="1:19" x14ac:dyDescent="0.25">
      <c r="A514" s="75"/>
      <c r="E514" s="76"/>
      <c r="S514" s="20"/>
    </row>
    <row r="515" spans="1:19" x14ac:dyDescent="0.25">
      <c r="A515" s="75"/>
      <c r="E515" s="76"/>
      <c r="S515" s="20"/>
    </row>
    <row r="516" spans="1:19" x14ac:dyDescent="0.25">
      <c r="A516" s="75"/>
      <c r="E516" s="76"/>
      <c r="S516" s="20"/>
    </row>
    <row r="517" spans="1:19" x14ac:dyDescent="0.25">
      <c r="A517" s="75"/>
      <c r="E517" s="76"/>
      <c r="S517" s="20"/>
    </row>
    <row r="518" spans="1:19" x14ac:dyDescent="0.25">
      <c r="A518" s="75"/>
      <c r="E518" s="76"/>
      <c r="S518" s="20"/>
    </row>
    <row r="519" spans="1:19" x14ac:dyDescent="0.25">
      <c r="A519" s="75"/>
      <c r="E519" s="76"/>
      <c r="S519" s="20"/>
    </row>
    <row r="520" spans="1:19" x14ac:dyDescent="0.25">
      <c r="A520" s="75"/>
      <c r="E520" s="76"/>
      <c r="S520" s="20"/>
    </row>
    <row r="521" spans="1:19" x14ac:dyDescent="0.25">
      <c r="A521" s="75"/>
      <c r="E521" s="76"/>
      <c r="S521" s="20"/>
    </row>
    <row r="522" spans="1:19" x14ac:dyDescent="0.25">
      <c r="A522" s="75"/>
      <c r="E522" s="76"/>
      <c r="S522" s="20"/>
    </row>
    <row r="523" spans="1:19" x14ac:dyDescent="0.25">
      <c r="A523" s="75"/>
      <c r="E523" s="76"/>
      <c r="S523" s="20"/>
    </row>
    <row r="524" spans="1:19" x14ac:dyDescent="0.25">
      <c r="A524" s="75"/>
      <c r="E524" s="76"/>
      <c r="S524" s="20"/>
    </row>
    <row r="525" spans="1:19" x14ac:dyDescent="0.25">
      <c r="A525" s="75"/>
      <c r="E525" s="76"/>
      <c r="S525" s="20"/>
    </row>
    <row r="526" spans="1:19" x14ac:dyDescent="0.25">
      <c r="A526" s="75"/>
      <c r="E526" s="76"/>
      <c r="S526" s="20"/>
    </row>
    <row r="527" spans="1:19" x14ac:dyDescent="0.25">
      <c r="A527" s="75"/>
      <c r="E527" s="76"/>
      <c r="S527" s="20"/>
    </row>
    <row r="528" spans="1:19" x14ac:dyDescent="0.25">
      <c r="A528" s="75"/>
      <c r="E528" s="76"/>
      <c r="S528" s="20"/>
    </row>
    <row r="529" spans="1:19" x14ac:dyDescent="0.25">
      <c r="A529" s="75"/>
      <c r="E529" s="76"/>
      <c r="S529" s="20"/>
    </row>
    <row r="530" spans="1:19" x14ac:dyDescent="0.25">
      <c r="A530" s="75"/>
      <c r="E530" s="76"/>
      <c r="S530" s="20"/>
    </row>
    <row r="531" spans="1:19" x14ac:dyDescent="0.25">
      <c r="A531" s="75"/>
      <c r="E531" s="76"/>
      <c r="S531" s="20"/>
    </row>
    <row r="532" spans="1:19" x14ac:dyDescent="0.25">
      <c r="A532" s="75"/>
      <c r="E532" s="76"/>
      <c r="S532" s="20"/>
    </row>
    <row r="533" spans="1:19" x14ac:dyDescent="0.25">
      <c r="A533" s="75"/>
      <c r="E533" s="76"/>
      <c r="S533" s="20"/>
    </row>
    <row r="534" spans="1:19" x14ac:dyDescent="0.25">
      <c r="A534" s="75"/>
      <c r="E534" s="76"/>
      <c r="S534" s="20"/>
    </row>
    <row r="535" spans="1:19" x14ac:dyDescent="0.25">
      <c r="A535" s="75"/>
      <c r="E535" s="76"/>
      <c r="S535" s="20"/>
    </row>
    <row r="536" spans="1:19" x14ac:dyDescent="0.25">
      <c r="A536" s="75"/>
      <c r="E536" s="76"/>
      <c r="S536" s="20"/>
    </row>
    <row r="537" spans="1:19" x14ac:dyDescent="0.25">
      <c r="A537" s="75"/>
      <c r="E537" s="76"/>
      <c r="S537" s="20"/>
    </row>
    <row r="538" spans="1:19" x14ac:dyDescent="0.25">
      <c r="A538" s="75"/>
      <c r="E538" s="76"/>
      <c r="S538" s="20"/>
    </row>
    <row r="539" spans="1:19" x14ac:dyDescent="0.25">
      <c r="A539" s="75"/>
      <c r="E539" s="76"/>
      <c r="S539" s="20"/>
    </row>
    <row r="540" spans="1:19" x14ac:dyDescent="0.25">
      <c r="A540" s="75"/>
      <c r="E540" s="76"/>
      <c r="S540" s="20"/>
    </row>
    <row r="541" spans="1:19" x14ac:dyDescent="0.25">
      <c r="A541" s="75"/>
      <c r="E541" s="76"/>
      <c r="S541" s="20"/>
    </row>
    <row r="542" spans="1:19" x14ac:dyDescent="0.25">
      <c r="A542" s="75"/>
      <c r="E542" s="76"/>
      <c r="S542" s="20"/>
    </row>
    <row r="543" spans="1:19" x14ac:dyDescent="0.25">
      <c r="A543" s="75"/>
      <c r="E543" s="76"/>
      <c r="S543" s="20"/>
    </row>
    <row r="544" spans="1:19" x14ac:dyDescent="0.25">
      <c r="A544" s="75"/>
      <c r="E544" s="76"/>
      <c r="S544" s="20"/>
    </row>
    <row r="545" spans="1:19" x14ac:dyDescent="0.25">
      <c r="A545" s="75"/>
      <c r="E545" s="76"/>
      <c r="S545" s="20"/>
    </row>
    <row r="546" spans="1:19" x14ac:dyDescent="0.25">
      <c r="A546" s="75"/>
      <c r="E546" s="76"/>
      <c r="S546" s="20"/>
    </row>
    <row r="547" spans="1:19" x14ac:dyDescent="0.25">
      <c r="A547" s="75"/>
      <c r="E547" s="76"/>
      <c r="S547" s="20"/>
    </row>
    <row r="548" spans="1:19" x14ac:dyDescent="0.25">
      <c r="A548" s="75"/>
      <c r="E548" s="76"/>
      <c r="S548" s="20"/>
    </row>
    <row r="549" spans="1:19" x14ac:dyDescent="0.25">
      <c r="A549" s="75"/>
      <c r="E549" s="76"/>
      <c r="S549" s="20"/>
    </row>
    <row r="550" spans="1:19" x14ac:dyDescent="0.25">
      <c r="A550" s="75"/>
      <c r="E550" s="76"/>
      <c r="S550" s="20"/>
    </row>
    <row r="551" spans="1:19" x14ac:dyDescent="0.25">
      <c r="A551" s="75"/>
      <c r="E551" s="76"/>
      <c r="S551" s="20"/>
    </row>
    <row r="552" spans="1:19" x14ac:dyDescent="0.25">
      <c r="A552" s="75"/>
      <c r="E552" s="76"/>
      <c r="S552" s="20"/>
    </row>
    <row r="553" spans="1:19" x14ac:dyDescent="0.25">
      <c r="A553" s="75"/>
      <c r="E553" s="76"/>
      <c r="S553" s="20"/>
    </row>
    <row r="554" spans="1:19" x14ac:dyDescent="0.25">
      <c r="A554" s="75"/>
      <c r="E554" s="76"/>
      <c r="S554" s="20"/>
    </row>
    <row r="555" spans="1:19" x14ac:dyDescent="0.25">
      <c r="A555" s="75"/>
      <c r="E555" s="76"/>
      <c r="S555" s="20"/>
    </row>
    <row r="556" spans="1:19" x14ac:dyDescent="0.25">
      <c r="A556" s="75"/>
      <c r="E556" s="76"/>
      <c r="S556" s="20"/>
    </row>
    <row r="557" spans="1:19" x14ac:dyDescent="0.25">
      <c r="A557" s="75"/>
      <c r="E557" s="76"/>
      <c r="S557" s="20"/>
    </row>
    <row r="558" spans="1:19" x14ac:dyDescent="0.25">
      <c r="A558" s="75"/>
      <c r="E558" s="76"/>
      <c r="S558" s="20"/>
    </row>
    <row r="559" spans="1:19" x14ac:dyDescent="0.25">
      <c r="A559" s="75"/>
      <c r="E559" s="76"/>
      <c r="S559" s="20"/>
    </row>
    <row r="560" spans="1:19" x14ac:dyDescent="0.25">
      <c r="A560" s="75"/>
      <c r="E560" s="76"/>
      <c r="S560" s="20"/>
    </row>
    <row r="561" spans="1:19" x14ac:dyDescent="0.25">
      <c r="A561" s="75"/>
      <c r="E561" s="76"/>
      <c r="S561" s="20"/>
    </row>
    <row r="562" spans="1:19" x14ac:dyDescent="0.25">
      <c r="A562" s="75"/>
      <c r="E562" s="76"/>
      <c r="S562" s="20"/>
    </row>
    <row r="563" spans="1:19" x14ac:dyDescent="0.25">
      <c r="A563" s="75"/>
      <c r="E563" s="76"/>
      <c r="S563" s="20"/>
    </row>
    <row r="564" spans="1:19" x14ac:dyDescent="0.25">
      <c r="A564" s="75"/>
      <c r="E564" s="76"/>
      <c r="S564" s="20"/>
    </row>
    <row r="565" spans="1:19" x14ac:dyDescent="0.25">
      <c r="A565" s="75"/>
      <c r="E565" s="76"/>
      <c r="S565" s="20"/>
    </row>
    <row r="566" spans="1:19" x14ac:dyDescent="0.25">
      <c r="A566" s="75"/>
      <c r="E566" s="76"/>
      <c r="S566" s="20"/>
    </row>
    <row r="567" spans="1:19" x14ac:dyDescent="0.25">
      <c r="A567" s="75"/>
      <c r="E567" s="76"/>
      <c r="S567" s="20"/>
    </row>
    <row r="568" spans="1:19" x14ac:dyDescent="0.25">
      <c r="A568" s="75"/>
      <c r="E568" s="76"/>
      <c r="S568" s="20"/>
    </row>
    <row r="569" spans="1:19" x14ac:dyDescent="0.25">
      <c r="A569" s="75"/>
      <c r="E569" s="76"/>
      <c r="S569" s="20"/>
    </row>
    <row r="570" spans="1:19" x14ac:dyDescent="0.25">
      <c r="A570" s="75"/>
      <c r="E570" s="76"/>
      <c r="S570" s="20"/>
    </row>
    <row r="571" spans="1:19" x14ac:dyDescent="0.25">
      <c r="A571" s="75"/>
      <c r="E571" s="76"/>
      <c r="S571" s="20"/>
    </row>
    <row r="572" spans="1:19" x14ac:dyDescent="0.25">
      <c r="A572" s="75"/>
      <c r="E572" s="76"/>
      <c r="S572" s="20"/>
    </row>
    <row r="573" spans="1:19" x14ac:dyDescent="0.25">
      <c r="A573" s="75"/>
      <c r="E573" s="76"/>
      <c r="S573" s="20"/>
    </row>
    <row r="574" spans="1:19" x14ac:dyDescent="0.25">
      <c r="A574" s="75"/>
      <c r="E574" s="76"/>
      <c r="S574" s="20"/>
    </row>
    <row r="575" spans="1:19" x14ac:dyDescent="0.25">
      <c r="A575" s="75"/>
      <c r="E575" s="76"/>
      <c r="S575" s="20"/>
    </row>
    <row r="576" spans="1:19" x14ac:dyDescent="0.25">
      <c r="A576" s="75"/>
      <c r="E576" s="76"/>
      <c r="S576" s="20"/>
    </row>
    <row r="577" spans="1:19" x14ac:dyDescent="0.25">
      <c r="A577" s="75"/>
      <c r="E577" s="76"/>
      <c r="S577" s="20"/>
    </row>
    <row r="578" spans="1:19" x14ac:dyDescent="0.25">
      <c r="A578" s="75"/>
      <c r="E578" s="76"/>
      <c r="S578" s="20"/>
    </row>
    <row r="579" spans="1:19" x14ac:dyDescent="0.25">
      <c r="A579" s="75"/>
      <c r="E579" s="76"/>
      <c r="S579" s="20"/>
    </row>
    <row r="580" spans="1:19" x14ac:dyDescent="0.25">
      <c r="A580" s="75"/>
      <c r="E580" s="76"/>
      <c r="S580" s="20"/>
    </row>
    <row r="581" spans="1:19" x14ac:dyDescent="0.25">
      <c r="A581" s="75"/>
      <c r="E581" s="76"/>
      <c r="S581" s="20"/>
    </row>
    <row r="582" spans="1:19" x14ac:dyDescent="0.25">
      <c r="A582" s="75"/>
      <c r="E582" s="76"/>
      <c r="S582" s="20"/>
    </row>
    <row r="583" spans="1:19" x14ac:dyDescent="0.25">
      <c r="A583" s="75"/>
      <c r="E583" s="76"/>
      <c r="S583" s="20"/>
    </row>
    <row r="584" spans="1:19" x14ac:dyDescent="0.25">
      <c r="A584" s="75"/>
      <c r="E584" s="76"/>
      <c r="S584" s="20"/>
    </row>
    <row r="585" spans="1:19" x14ac:dyDescent="0.25">
      <c r="A585" s="75"/>
      <c r="E585" s="76"/>
      <c r="S585" s="20"/>
    </row>
    <row r="586" spans="1:19" x14ac:dyDescent="0.25">
      <c r="A586" s="75"/>
      <c r="E586" s="76"/>
      <c r="S586" s="20"/>
    </row>
    <row r="587" spans="1:19" x14ac:dyDescent="0.25">
      <c r="A587" s="75"/>
      <c r="E587" s="76"/>
      <c r="S587" s="20"/>
    </row>
    <row r="588" spans="1:19" x14ac:dyDescent="0.25">
      <c r="A588" s="75"/>
      <c r="E588" s="76"/>
      <c r="S588" s="20"/>
    </row>
    <row r="589" spans="1:19" x14ac:dyDescent="0.25">
      <c r="A589" s="75"/>
      <c r="E589" s="76"/>
      <c r="S589" s="20"/>
    </row>
    <row r="590" spans="1:19" x14ac:dyDescent="0.25">
      <c r="A590" s="75"/>
      <c r="E590" s="76"/>
      <c r="S590" s="20"/>
    </row>
    <row r="591" spans="1:19" x14ac:dyDescent="0.25">
      <c r="A591" s="75"/>
      <c r="E591" s="76"/>
      <c r="S591" s="20"/>
    </row>
    <row r="592" spans="1:19" x14ac:dyDescent="0.25">
      <c r="A592" s="75"/>
      <c r="E592" s="76"/>
      <c r="S592" s="20"/>
    </row>
    <row r="593" spans="1:19" x14ac:dyDescent="0.25">
      <c r="A593" s="75"/>
      <c r="E593" s="76"/>
      <c r="S593" s="20"/>
    </row>
    <row r="594" spans="1:19" x14ac:dyDescent="0.25">
      <c r="A594" s="75"/>
      <c r="E594" s="76"/>
      <c r="S594" s="20"/>
    </row>
    <row r="595" spans="1:19" x14ac:dyDescent="0.25">
      <c r="A595" s="75"/>
      <c r="E595" s="76"/>
      <c r="S595" s="20"/>
    </row>
    <row r="596" spans="1:19" x14ac:dyDescent="0.25">
      <c r="A596" s="75"/>
      <c r="E596" s="76"/>
      <c r="S596" s="20"/>
    </row>
    <row r="597" spans="1:19" x14ac:dyDescent="0.25">
      <c r="A597" s="75"/>
      <c r="E597" s="76"/>
      <c r="S597" s="20"/>
    </row>
    <row r="598" spans="1:19" x14ac:dyDescent="0.25">
      <c r="A598" s="75"/>
      <c r="E598" s="76"/>
      <c r="S598" s="20"/>
    </row>
    <row r="599" spans="1:19" x14ac:dyDescent="0.25">
      <c r="A599" s="75"/>
      <c r="E599" s="76"/>
      <c r="S599" s="20"/>
    </row>
    <row r="600" spans="1:19" x14ac:dyDescent="0.25">
      <c r="A600" s="75"/>
      <c r="E600" s="76"/>
      <c r="S600" s="20"/>
    </row>
    <row r="601" spans="1:19" x14ac:dyDescent="0.25">
      <c r="A601" s="75"/>
      <c r="E601" s="76"/>
      <c r="S601" s="20"/>
    </row>
    <row r="602" spans="1:19" x14ac:dyDescent="0.25">
      <c r="A602" s="75"/>
      <c r="E602" s="76"/>
      <c r="S602" s="20"/>
    </row>
    <row r="603" spans="1:19" x14ac:dyDescent="0.25">
      <c r="A603" s="75"/>
      <c r="E603" s="76"/>
      <c r="S603" s="20"/>
    </row>
    <row r="604" spans="1:19" x14ac:dyDescent="0.25">
      <c r="A604" s="75"/>
      <c r="E604" s="76"/>
      <c r="S604" s="20"/>
    </row>
    <row r="605" spans="1:19" x14ac:dyDescent="0.25">
      <c r="A605" s="75"/>
      <c r="E605" s="76"/>
      <c r="S605" s="20"/>
    </row>
    <row r="606" spans="1:19" x14ac:dyDescent="0.25">
      <c r="A606" s="75"/>
      <c r="E606" s="76"/>
      <c r="S606" s="20"/>
    </row>
    <row r="607" spans="1:19" x14ac:dyDescent="0.25">
      <c r="A607" s="75"/>
      <c r="E607" s="76"/>
      <c r="S607" s="20"/>
    </row>
    <row r="608" spans="1:19" x14ac:dyDescent="0.25">
      <c r="A608" s="75"/>
      <c r="E608" s="76"/>
      <c r="S608" s="20"/>
    </row>
    <row r="609" spans="1:19" x14ac:dyDescent="0.25">
      <c r="A609" s="75"/>
      <c r="E609" s="76"/>
      <c r="S609" s="20"/>
    </row>
    <row r="610" spans="1:19" x14ac:dyDescent="0.25">
      <c r="A610" s="75"/>
      <c r="E610" s="76"/>
      <c r="S610" s="20"/>
    </row>
    <row r="611" spans="1:19" x14ac:dyDescent="0.25">
      <c r="A611" s="75"/>
      <c r="E611" s="76"/>
      <c r="S611" s="20"/>
    </row>
    <row r="612" spans="1:19" x14ac:dyDescent="0.25">
      <c r="A612" s="75"/>
      <c r="E612" s="76"/>
      <c r="S612" s="20"/>
    </row>
    <row r="613" spans="1:19" x14ac:dyDescent="0.25">
      <c r="A613" s="75"/>
      <c r="E613" s="76"/>
      <c r="S613" s="20"/>
    </row>
    <row r="614" spans="1:19" x14ac:dyDescent="0.25">
      <c r="A614" s="75"/>
      <c r="E614" s="76"/>
      <c r="S614" s="20"/>
    </row>
    <row r="615" spans="1:19" x14ac:dyDescent="0.25">
      <c r="A615" s="75"/>
      <c r="E615" s="76"/>
      <c r="S615" s="20"/>
    </row>
    <row r="616" spans="1:19" x14ac:dyDescent="0.25">
      <c r="A616" s="75"/>
      <c r="E616" s="76"/>
      <c r="S616" s="20"/>
    </row>
    <row r="617" spans="1:19" x14ac:dyDescent="0.25">
      <c r="A617" s="75"/>
      <c r="E617" s="76"/>
      <c r="S617" s="20"/>
    </row>
    <row r="618" spans="1:19" x14ac:dyDescent="0.25">
      <c r="A618" s="75"/>
      <c r="E618" s="76"/>
      <c r="S618" s="20"/>
    </row>
    <row r="619" spans="1:19" x14ac:dyDescent="0.25">
      <c r="A619" s="75"/>
      <c r="E619" s="76"/>
      <c r="S619" s="20"/>
    </row>
    <row r="620" spans="1:19" x14ac:dyDescent="0.25">
      <c r="A620" s="75"/>
      <c r="E620" s="76"/>
      <c r="S620" s="20"/>
    </row>
    <row r="621" spans="1:19" x14ac:dyDescent="0.25">
      <c r="A621" s="75"/>
      <c r="E621" s="76"/>
      <c r="S621" s="20"/>
    </row>
    <row r="622" spans="1:19" x14ac:dyDescent="0.25">
      <c r="A622" s="75"/>
      <c r="E622" s="76"/>
      <c r="S622" s="20"/>
    </row>
    <row r="623" spans="1:19" x14ac:dyDescent="0.25">
      <c r="A623" s="75"/>
      <c r="E623" s="76"/>
      <c r="S623" s="20"/>
    </row>
    <row r="624" spans="1:19" x14ac:dyDescent="0.25">
      <c r="A624" s="75"/>
      <c r="E624" s="76"/>
      <c r="S624" s="20"/>
    </row>
    <row r="625" spans="1:19" x14ac:dyDescent="0.25">
      <c r="A625" s="75"/>
      <c r="E625" s="76"/>
      <c r="S625" s="20"/>
    </row>
    <row r="626" spans="1:19" x14ac:dyDescent="0.25">
      <c r="A626" s="75"/>
      <c r="E626" s="76"/>
      <c r="S626" s="20"/>
    </row>
    <row r="627" spans="1:19" x14ac:dyDescent="0.25">
      <c r="A627" s="75"/>
      <c r="E627" s="76"/>
      <c r="S627" s="20"/>
    </row>
    <row r="628" spans="1:19" x14ac:dyDescent="0.25">
      <c r="A628" s="75"/>
      <c r="E628" s="76"/>
      <c r="S628" s="20"/>
    </row>
    <row r="629" spans="1:19" x14ac:dyDescent="0.25">
      <c r="A629" s="75"/>
      <c r="E629" s="76"/>
      <c r="S629" s="20"/>
    </row>
    <row r="630" spans="1:19" x14ac:dyDescent="0.25">
      <c r="A630" s="75"/>
      <c r="E630" s="76"/>
      <c r="S630" s="20"/>
    </row>
    <row r="631" spans="1:19" x14ac:dyDescent="0.25">
      <c r="A631" s="75"/>
      <c r="E631" s="76"/>
      <c r="S631" s="20"/>
    </row>
    <row r="632" spans="1:19" x14ac:dyDescent="0.25">
      <c r="A632" s="75"/>
      <c r="E632" s="76"/>
      <c r="S632" s="20"/>
    </row>
    <row r="633" spans="1:19" x14ac:dyDescent="0.25">
      <c r="A633" s="75"/>
      <c r="E633" s="76"/>
      <c r="S633" s="20"/>
    </row>
    <row r="634" spans="1:19" x14ac:dyDescent="0.25">
      <c r="A634" s="75"/>
      <c r="E634" s="76"/>
      <c r="S634" s="20"/>
    </row>
    <row r="635" spans="1:19" x14ac:dyDescent="0.25">
      <c r="A635" s="75"/>
      <c r="E635" s="76"/>
      <c r="S635" s="20"/>
    </row>
    <row r="636" spans="1:19" x14ac:dyDescent="0.25">
      <c r="A636" s="75"/>
      <c r="E636" s="76"/>
      <c r="S636" s="20"/>
    </row>
    <row r="637" spans="1:19" x14ac:dyDescent="0.25">
      <c r="A637" s="75"/>
      <c r="E637" s="76"/>
      <c r="S637" s="20"/>
    </row>
    <row r="638" spans="1:19" x14ac:dyDescent="0.25">
      <c r="A638" s="75"/>
      <c r="E638" s="76"/>
      <c r="S638" s="20"/>
    </row>
    <row r="639" spans="1:19" x14ac:dyDescent="0.25">
      <c r="A639" s="75"/>
      <c r="E639" s="76"/>
      <c r="S639" s="20"/>
    </row>
    <row r="640" spans="1:19" x14ac:dyDescent="0.25">
      <c r="A640" s="75"/>
      <c r="E640" s="76"/>
      <c r="S640" s="20"/>
    </row>
    <row r="641" spans="1:19" x14ac:dyDescent="0.25">
      <c r="A641" s="75"/>
      <c r="E641" s="76"/>
      <c r="S641" s="20"/>
    </row>
    <row r="642" spans="1:19" x14ac:dyDescent="0.25">
      <c r="A642" s="75"/>
      <c r="E642" s="76"/>
      <c r="S642" s="20"/>
    </row>
    <row r="643" spans="1:19" x14ac:dyDescent="0.25">
      <c r="A643" s="75"/>
      <c r="E643" s="76"/>
      <c r="S643" s="20"/>
    </row>
    <row r="644" spans="1:19" x14ac:dyDescent="0.25">
      <c r="A644" s="75"/>
      <c r="E644" s="76"/>
      <c r="S644" s="20"/>
    </row>
    <row r="645" spans="1:19" x14ac:dyDescent="0.25">
      <c r="A645" s="75"/>
      <c r="E645" s="76"/>
      <c r="S645" s="20"/>
    </row>
    <row r="646" spans="1:19" x14ac:dyDescent="0.25">
      <c r="A646" s="75"/>
      <c r="E646" s="76"/>
      <c r="S646" s="20"/>
    </row>
    <row r="647" spans="1:19" x14ac:dyDescent="0.25">
      <c r="A647" s="75"/>
      <c r="E647" s="76"/>
      <c r="S647" s="20"/>
    </row>
    <row r="648" spans="1:19" x14ac:dyDescent="0.25">
      <c r="A648" s="75"/>
      <c r="E648" s="76"/>
      <c r="S648" s="20"/>
    </row>
    <row r="649" spans="1:19" x14ac:dyDescent="0.25">
      <c r="A649" s="75"/>
      <c r="E649" s="76"/>
      <c r="S649" s="20"/>
    </row>
    <row r="650" spans="1:19" x14ac:dyDescent="0.25">
      <c r="A650" s="75"/>
      <c r="E650" s="76"/>
      <c r="S650" s="20"/>
    </row>
    <row r="651" spans="1:19" x14ac:dyDescent="0.25">
      <c r="A651" s="75"/>
      <c r="E651" s="76"/>
      <c r="S651" s="20"/>
    </row>
    <row r="652" spans="1:19" x14ac:dyDescent="0.25">
      <c r="A652" s="75"/>
      <c r="E652" s="76"/>
      <c r="S652" s="20"/>
    </row>
    <row r="653" spans="1:19" x14ac:dyDescent="0.25">
      <c r="A653" s="75"/>
      <c r="E653" s="76"/>
      <c r="S653" s="20"/>
    </row>
    <row r="654" spans="1:19" x14ac:dyDescent="0.25">
      <c r="A654" s="75"/>
      <c r="E654" s="76"/>
      <c r="S654" s="20"/>
    </row>
    <row r="655" spans="1:19" x14ac:dyDescent="0.25">
      <c r="A655" s="75"/>
      <c r="E655" s="76"/>
      <c r="S655" s="20"/>
    </row>
    <row r="656" spans="1:19" x14ac:dyDescent="0.25">
      <c r="A656" s="75"/>
      <c r="E656" s="76"/>
      <c r="S656" s="20"/>
    </row>
    <row r="657" spans="1:19" x14ac:dyDescent="0.25">
      <c r="A657" s="75"/>
      <c r="E657" s="76"/>
      <c r="S657" s="20"/>
    </row>
    <row r="658" spans="1:19" x14ac:dyDescent="0.25">
      <c r="A658" s="75"/>
      <c r="E658" s="76"/>
      <c r="S658" s="20"/>
    </row>
    <row r="659" spans="1:19" x14ac:dyDescent="0.25">
      <c r="A659" s="75"/>
      <c r="E659" s="76"/>
      <c r="S659" s="20"/>
    </row>
    <row r="660" spans="1:19" x14ac:dyDescent="0.25">
      <c r="A660" s="75"/>
      <c r="E660" s="76"/>
      <c r="S660" s="20"/>
    </row>
    <row r="661" spans="1:19" x14ac:dyDescent="0.25">
      <c r="A661" s="75"/>
      <c r="E661" s="76"/>
      <c r="S661" s="20"/>
    </row>
    <row r="662" spans="1:19" x14ac:dyDescent="0.25">
      <c r="A662" s="75"/>
      <c r="E662" s="76"/>
      <c r="S662" s="20"/>
    </row>
    <row r="663" spans="1:19" x14ac:dyDescent="0.25">
      <c r="A663" s="75"/>
      <c r="E663" s="76"/>
      <c r="S663" s="20"/>
    </row>
    <row r="664" spans="1:19" x14ac:dyDescent="0.25">
      <c r="A664" s="75"/>
      <c r="E664" s="76"/>
      <c r="S664" s="20"/>
    </row>
    <row r="665" spans="1:19" x14ac:dyDescent="0.25">
      <c r="A665" s="75"/>
      <c r="E665" s="76"/>
      <c r="S665" s="20"/>
    </row>
    <row r="666" spans="1:19" x14ac:dyDescent="0.25">
      <c r="A666" s="75"/>
      <c r="E666" s="76"/>
      <c r="S666" s="20"/>
    </row>
    <row r="667" spans="1:19" x14ac:dyDescent="0.25">
      <c r="A667" s="75"/>
      <c r="E667" s="76"/>
      <c r="S667" s="20"/>
    </row>
    <row r="668" spans="1:19" x14ac:dyDescent="0.25">
      <c r="A668" s="75"/>
      <c r="E668" s="76"/>
      <c r="S668" s="20"/>
    </row>
    <row r="669" spans="1:19" x14ac:dyDescent="0.25">
      <c r="A669" s="75"/>
      <c r="E669" s="76"/>
      <c r="S669" s="20"/>
    </row>
    <row r="670" spans="1:19" x14ac:dyDescent="0.25">
      <c r="A670" s="75"/>
      <c r="E670" s="76"/>
      <c r="S670" s="20"/>
    </row>
    <row r="671" spans="1:19" x14ac:dyDescent="0.25">
      <c r="A671" s="75"/>
      <c r="E671" s="76"/>
      <c r="S671" s="20"/>
    </row>
    <row r="672" spans="1:19" x14ac:dyDescent="0.25">
      <c r="A672" s="75"/>
      <c r="E672" s="76"/>
      <c r="S672" s="20"/>
    </row>
    <row r="673" spans="1:19" x14ac:dyDescent="0.25">
      <c r="A673" s="75"/>
      <c r="E673" s="76"/>
      <c r="S673" s="20"/>
    </row>
    <row r="674" spans="1:19" x14ac:dyDescent="0.25">
      <c r="A674" s="75"/>
      <c r="E674" s="76"/>
      <c r="S674" s="20"/>
    </row>
    <row r="675" spans="1:19" x14ac:dyDescent="0.25">
      <c r="A675" s="75"/>
      <c r="E675" s="76"/>
      <c r="S675" s="20"/>
    </row>
    <row r="676" spans="1:19" x14ac:dyDescent="0.25">
      <c r="A676" s="75"/>
      <c r="E676" s="76"/>
      <c r="S676" s="20"/>
    </row>
    <row r="677" spans="1:19" x14ac:dyDescent="0.25">
      <c r="A677" s="75"/>
      <c r="E677" s="76"/>
      <c r="S677" s="20"/>
    </row>
    <row r="678" spans="1:19" x14ac:dyDescent="0.25">
      <c r="A678" s="75"/>
      <c r="E678" s="76"/>
      <c r="S678" s="20"/>
    </row>
    <row r="679" spans="1:19" x14ac:dyDescent="0.25">
      <c r="A679" s="75"/>
      <c r="E679" s="76"/>
      <c r="S679" s="20"/>
    </row>
    <row r="680" spans="1:19" x14ac:dyDescent="0.25">
      <c r="A680" s="75"/>
      <c r="E680" s="76"/>
      <c r="S680" s="20"/>
    </row>
    <row r="681" spans="1:19" x14ac:dyDescent="0.25">
      <c r="A681" s="75"/>
      <c r="E681" s="76"/>
      <c r="S681" s="20"/>
    </row>
    <row r="682" spans="1:19" x14ac:dyDescent="0.25">
      <c r="A682" s="75"/>
      <c r="E682" s="76"/>
      <c r="S682" s="20"/>
    </row>
    <row r="683" spans="1:19" x14ac:dyDescent="0.25">
      <c r="A683" s="75"/>
      <c r="E683" s="76"/>
      <c r="S683" s="20"/>
    </row>
    <row r="684" spans="1:19" x14ac:dyDescent="0.25">
      <c r="A684" s="75"/>
      <c r="E684" s="76"/>
      <c r="S684" s="20"/>
    </row>
    <row r="685" spans="1:19" x14ac:dyDescent="0.25">
      <c r="A685" s="75"/>
      <c r="E685" s="76"/>
      <c r="S685" s="20"/>
    </row>
    <row r="686" spans="1:19" x14ac:dyDescent="0.25">
      <c r="A686" s="75"/>
      <c r="E686" s="76"/>
      <c r="S686" s="20"/>
    </row>
    <row r="687" spans="1:19" x14ac:dyDescent="0.25">
      <c r="A687" s="75"/>
      <c r="E687" s="76"/>
      <c r="S687" s="20"/>
    </row>
    <row r="688" spans="1:19" x14ac:dyDescent="0.25">
      <c r="A688" s="75"/>
      <c r="E688" s="76"/>
      <c r="S688" s="20"/>
    </row>
    <row r="689" spans="1:19" x14ac:dyDescent="0.25">
      <c r="A689" s="75"/>
      <c r="E689" s="76"/>
      <c r="S689" s="20"/>
    </row>
    <row r="690" spans="1:19" x14ac:dyDescent="0.25">
      <c r="A690" s="75"/>
      <c r="E690" s="76"/>
      <c r="S690" s="20"/>
    </row>
    <row r="691" spans="1:19" x14ac:dyDescent="0.25">
      <c r="A691" s="75"/>
      <c r="E691" s="76"/>
      <c r="S691" s="20"/>
    </row>
    <row r="692" spans="1:19" x14ac:dyDescent="0.25">
      <c r="A692" s="75"/>
      <c r="E692" s="76"/>
      <c r="S692" s="20"/>
    </row>
    <row r="693" spans="1:19" x14ac:dyDescent="0.25">
      <c r="A693" s="75"/>
      <c r="E693" s="76"/>
      <c r="S693" s="20"/>
    </row>
    <row r="694" spans="1:19" x14ac:dyDescent="0.25">
      <c r="A694" s="75"/>
      <c r="E694" s="76"/>
      <c r="S694" s="20"/>
    </row>
    <row r="695" spans="1:19" x14ac:dyDescent="0.25">
      <c r="A695" s="75"/>
      <c r="E695" s="76"/>
      <c r="S695" s="20"/>
    </row>
    <row r="696" spans="1:19" x14ac:dyDescent="0.25">
      <c r="A696" s="75"/>
      <c r="E696" s="76"/>
      <c r="S696" s="20"/>
    </row>
    <row r="697" spans="1:19" x14ac:dyDescent="0.25">
      <c r="A697" s="75"/>
      <c r="E697" s="76"/>
      <c r="S697" s="20"/>
    </row>
    <row r="698" spans="1:19" x14ac:dyDescent="0.25">
      <c r="A698" s="75"/>
      <c r="E698" s="76"/>
      <c r="S698" s="20"/>
    </row>
    <row r="699" spans="1:19" x14ac:dyDescent="0.25">
      <c r="A699" s="75"/>
      <c r="E699" s="76"/>
      <c r="S699" s="20"/>
    </row>
    <row r="700" spans="1:19" x14ac:dyDescent="0.25">
      <c r="A700" s="75"/>
      <c r="E700" s="76"/>
      <c r="S700" s="20"/>
    </row>
    <row r="701" spans="1:19" x14ac:dyDescent="0.25">
      <c r="A701" s="75"/>
      <c r="E701" s="76"/>
      <c r="S701" s="20"/>
    </row>
    <row r="702" spans="1:19" x14ac:dyDescent="0.25">
      <c r="A702" s="75"/>
      <c r="E702" s="76"/>
      <c r="S702" s="20"/>
    </row>
    <row r="703" spans="1:19" x14ac:dyDescent="0.25">
      <c r="A703" s="75"/>
      <c r="E703" s="76"/>
      <c r="S703" s="20"/>
    </row>
    <row r="704" spans="1:19" x14ac:dyDescent="0.25">
      <c r="A704" s="75"/>
      <c r="E704" s="76"/>
      <c r="S704" s="20"/>
    </row>
    <row r="705" spans="1:19" x14ac:dyDescent="0.25">
      <c r="A705" s="75"/>
      <c r="E705" s="76"/>
      <c r="S705" s="20"/>
    </row>
    <row r="706" spans="1:19" x14ac:dyDescent="0.25">
      <c r="A706" s="75"/>
      <c r="E706" s="76"/>
      <c r="S706" s="20"/>
    </row>
    <row r="707" spans="1:19" x14ac:dyDescent="0.25">
      <c r="A707" s="75"/>
      <c r="E707" s="76"/>
      <c r="S707" s="20"/>
    </row>
    <row r="708" spans="1:19" x14ac:dyDescent="0.25">
      <c r="A708" s="75"/>
      <c r="E708" s="76"/>
      <c r="S708" s="20"/>
    </row>
    <row r="709" spans="1:19" x14ac:dyDescent="0.25">
      <c r="A709" s="75"/>
      <c r="E709" s="76"/>
      <c r="S709" s="20"/>
    </row>
    <row r="710" spans="1:19" x14ac:dyDescent="0.25">
      <c r="A710" s="75"/>
      <c r="E710" s="76"/>
      <c r="S710" s="20"/>
    </row>
    <row r="711" spans="1:19" x14ac:dyDescent="0.25">
      <c r="A711" s="75"/>
      <c r="E711" s="76"/>
      <c r="S711" s="20"/>
    </row>
    <row r="712" spans="1:19" x14ac:dyDescent="0.25">
      <c r="A712" s="75"/>
      <c r="E712" s="76"/>
      <c r="S712" s="20"/>
    </row>
    <row r="713" spans="1:19" x14ac:dyDescent="0.25">
      <c r="A713" s="75"/>
      <c r="E713" s="76"/>
      <c r="S713" s="20"/>
    </row>
    <row r="714" spans="1:19" x14ac:dyDescent="0.25">
      <c r="A714" s="75"/>
      <c r="E714" s="76"/>
      <c r="S714" s="20"/>
    </row>
    <row r="715" spans="1:19" x14ac:dyDescent="0.25">
      <c r="A715" s="75"/>
      <c r="E715" s="76"/>
      <c r="S715" s="20"/>
    </row>
    <row r="716" spans="1:19" x14ac:dyDescent="0.25">
      <c r="A716" s="75"/>
      <c r="E716" s="76"/>
      <c r="S716" s="20"/>
    </row>
    <row r="717" spans="1:19" x14ac:dyDescent="0.25">
      <c r="A717" s="75"/>
      <c r="E717" s="76"/>
      <c r="S717" s="20"/>
    </row>
    <row r="718" spans="1:19" x14ac:dyDescent="0.25">
      <c r="A718" s="75"/>
      <c r="E718" s="76"/>
      <c r="S718" s="20"/>
    </row>
    <row r="719" spans="1:19" x14ac:dyDescent="0.25">
      <c r="A719" s="75"/>
      <c r="E719" s="76"/>
      <c r="S719" s="20"/>
    </row>
    <row r="720" spans="1:19" x14ac:dyDescent="0.25">
      <c r="A720" s="75"/>
      <c r="E720" s="76"/>
      <c r="S720" s="20"/>
    </row>
    <row r="721" spans="1:19" x14ac:dyDescent="0.25">
      <c r="A721" s="75"/>
      <c r="E721" s="76"/>
      <c r="S721" s="20"/>
    </row>
    <row r="722" spans="1:19" x14ac:dyDescent="0.25">
      <c r="A722" s="75"/>
      <c r="E722" s="76"/>
      <c r="S722" s="20"/>
    </row>
    <row r="723" spans="1:19" x14ac:dyDescent="0.25">
      <c r="A723" s="75"/>
      <c r="E723" s="76"/>
      <c r="S723" s="20"/>
    </row>
    <row r="724" spans="1:19" x14ac:dyDescent="0.25">
      <c r="A724" s="75"/>
      <c r="E724" s="76"/>
      <c r="S724" s="20"/>
    </row>
    <row r="725" spans="1:19" x14ac:dyDescent="0.25">
      <c r="A725" s="75"/>
      <c r="E725" s="76"/>
      <c r="S725" s="20"/>
    </row>
    <row r="726" spans="1:19" x14ac:dyDescent="0.25">
      <c r="A726" s="75"/>
      <c r="E726" s="76"/>
      <c r="S726" s="20"/>
    </row>
    <row r="727" spans="1:19" x14ac:dyDescent="0.25">
      <c r="A727" s="75"/>
      <c r="E727" s="76"/>
      <c r="S727" s="20"/>
    </row>
    <row r="728" spans="1:19" x14ac:dyDescent="0.25">
      <c r="A728" s="75"/>
      <c r="E728" s="76"/>
      <c r="S728" s="20"/>
    </row>
    <row r="729" spans="1:19" x14ac:dyDescent="0.25">
      <c r="A729" s="75"/>
      <c r="E729" s="76"/>
      <c r="S729" s="20"/>
    </row>
    <row r="730" spans="1:19" x14ac:dyDescent="0.25">
      <c r="A730" s="75"/>
      <c r="E730" s="76"/>
      <c r="S730" s="20"/>
    </row>
    <row r="731" spans="1:19" x14ac:dyDescent="0.25">
      <c r="A731" s="75"/>
      <c r="E731" s="76"/>
      <c r="S731" s="20"/>
    </row>
    <row r="732" spans="1:19" x14ac:dyDescent="0.25">
      <c r="A732" s="75"/>
      <c r="E732" s="76"/>
      <c r="S732" s="20"/>
    </row>
    <row r="733" spans="1:19" x14ac:dyDescent="0.25">
      <c r="A733" s="75"/>
      <c r="E733" s="76"/>
      <c r="S733" s="20"/>
    </row>
    <row r="734" spans="1:19" x14ac:dyDescent="0.25">
      <c r="A734" s="75"/>
      <c r="E734" s="76"/>
      <c r="S734" s="20"/>
    </row>
    <row r="735" spans="1:19" x14ac:dyDescent="0.25">
      <c r="A735" s="75"/>
      <c r="E735" s="76"/>
      <c r="S735" s="20"/>
    </row>
    <row r="736" spans="1:19" x14ac:dyDescent="0.25">
      <c r="A736" s="75"/>
      <c r="E736" s="76"/>
      <c r="S736" s="20"/>
    </row>
    <row r="737" spans="1:19" x14ac:dyDescent="0.25">
      <c r="A737" s="75"/>
      <c r="E737" s="76"/>
      <c r="S737" s="20"/>
    </row>
    <row r="738" spans="1:19" x14ac:dyDescent="0.25">
      <c r="A738" s="75"/>
      <c r="E738" s="76"/>
      <c r="S738" s="20"/>
    </row>
  </sheetData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C380-51AA-4E34-9AA2-B820D2B56D68}">
  <sheetPr codeName="Tabelle21">
    <tabColor rgb="FFCA9CFF"/>
    <pageSetUpPr fitToPage="1"/>
  </sheetPr>
  <dimension ref="A1:FT33"/>
  <sheetViews>
    <sheetView zoomScale="80" zoomScaleNormal="80" workbookViewId="0">
      <pane ySplit="1" topLeftCell="A2" activePane="bottomLeft" state="frozen"/>
      <selection pane="bottomLeft" activeCell="D50" sqref="D50"/>
    </sheetView>
  </sheetViews>
  <sheetFormatPr baseColWidth="10" defaultRowHeight="15" x14ac:dyDescent="0.25"/>
  <cols>
    <col min="1" max="1" width="11" style="58" customWidth="1"/>
    <col min="2" max="2" width="10.42578125" style="58" bestFit="1" customWidth="1"/>
    <col min="3" max="3" width="5.28515625" style="58" bestFit="1" customWidth="1"/>
    <col min="4" max="4" width="10" style="58" bestFit="1" customWidth="1"/>
    <col min="5" max="5" width="5.28515625" style="58" bestFit="1" customWidth="1"/>
    <col min="6" max="6" width="8.7109375" style="20" bestFit="1" customWidth="1"/>
    <col min="7" max="7" width="5.28515625" style="20" bestFit="1" customWidth="1"/>
    <col min="8" max="8" width="7.7109375" style="58" bestFit="1" customWidth="1"/>
    <col min="9" max="9" width="5.5703125" style="58" bestFit="1" customWidth="1"/>
    <col min="10" max="10" width="8.42578125" style="58" bestFit="1" customWidth="1"/>
    <col min="11" max="11" width="5.85546875" style="58" bestFit="1" customWidth="1"/>
    <col min="12" max="12" width="9.140625" style="58" bestFit="1" customWidth="1"/>
    <col min="13" max="13" width="5.85546875" style="58" bestFit="1" customWidth="1"/>
    <col min="14" max="14" width="9.7109375" style="58" bestFit="1" customWidth="1"/>
    <col min="15" max="15" width="5.140625" style="58" bestFit="1" customWidth="1"/>
    <col min="16" max="16" width="8.28515625" style="58" bestFit="1" customWidth="1"/>
    <col min="17" max="17" width="5.140625" style="58" bestFit="1" customWidth="1"/>
    <col min="18" max="18" width="11.28515625" style="58" bestFit="1" customWidth="1"/>
    <col min="19" max="19" width="5.140625" style="5" bestFit="1" customWidth="1"/>
    <col min="20" max="20" width="12.7109375" style="58" bestFit="1" customWidth="1"/>
    <col min="21" max="21" width="5.140625" style="58" bestFit="1" customWidth="1"/>
    <col min="22" max="22" width="1.140625" style="92" customWidth="1"/>
    <col min="23" max="23" width="11.5703125" bestFit="1" customWidth="1"/>
    <col min="24" max="24" width="8.28515625" bestFit="1" customWidth="1"/>
    <col min="25" max="25" width="5.28515625" bestFit="1" customWidth="1"/>
    <col min="26" max="26" width="9.5703125" bestFit="1" customWidth="1"/>
    <col min="27" max="27" width="5.85546875" bestFit="1" customWidth="1"/>
    <col min="28" max="28" width="8.7109375" bestFit="1" customWidth="1"/>
    <col min="29" max="29" width="5.140625" bestFit="1" customWidth="1"/>
    <col min="30" max="30" width="9.42578125" bestFit="1" customWidth="1"/>
    <col min="31" max="31" width="5.140625" bestFit="1" customWidth="1"/>
    <col min="32" max="32" width="8.42578125" bestFit="1" customWidth="1"/>
    <col min="33" max="33" width="5.28515625" bestFit="1" customWidth="1"/>
    <col min="34" max="34" width="15" bestFit="1" customWidth="1"/>
    <col min="35" max="35" width="5.140625" bestFit="1" customWidth="1"/>
    <col min="36" max="36" width="1.140625" style="92" customWidth="1"/>
    <col min="37" max="37" width="11.28515625" bestFit="1" customWidth="1"/>
    <col min="38" max="38" width="8.140625" bestFit="1" customWidth="1"/>
    <col min="39" max="39" width="5.28515625" bestFit="1" customWidth="1"/>
    <col min="40" max="40" width="9.42578125" bestFit="1" customWidth="1"/>
    <col min="41" max="41" width="5.85546875" bestFit="1" customWidth="1"/>
    <col min="42" max="42" width="8.5703125" bestFit="1" customWidth="1"/>
    <col min="43" max="43" width="5.140625" bestFit="1" customWidth="1"/>
    <col min="44" max="44" width="9.28515625" bestFit="1" customWidth="1"/>
    <col min="45" max="45" width="5.140625" bestFit="1" customWidth="1"/>
    <col min="46" max="46" width="8.140625" bestFit="1" customWidth="1"/>
    <col min="47" max="47" width="5.28515625" bestFit="1" customWidth="1"/>
    <col min="48" max="48" width="15" bestFit="1" customWidth="1"/>
    <col min="49" max="49" width="5.140625" bestFit="1" customWidth="1"/>
    <col min="50" max="50" width="1.5703125" customWidth="1"/>
    <col min="51" max="99" width="3.140625" bestFit="1" customWidth="1"/>
    <col min="100" max="100" width="4.140625" style="5" bestFit="1" customWidth="1"/>
    <col min="101" max="176" width="4.140625" bestFit="1" customWidth="1"/>
  </cols>
  <sheetData>
    <row r="1" spans="1:176" x14ac:dyDescent="0.25">
      <c r="A1" s="84" t="s">
        <v>174</v>
      </c>
      <c r="B1" s="80" t="s">
        <v>620</v>
      </c>
      <c r="C1" s="81"/>
      <c r="D1" s="82" t="s">
        <v>621</v>
      </c>
      <c r="E1" s="82"/>
      <c r="F1" s="83" t="s">
        <v>637</v>
      </c>
      <c r="G1" s="83"/>
      <c r="H1" s="86" t="s">
        <v>638</v>
      </c>
      <c r="I1" s="86"/>
      <c r="J1" s="87" t="s">
        <v>639</v>
      </c>
      <c r="K1" s="87"/>
      <c r="L1" s="82" t="s">
        <v>640</v>
      </c>
      <c r="M1" s="82"/>
      <c r="N1" s="88" t="s">
        <v>641</v>
      </c>
      <c r="O1" s="78"/>
      <c r="P1" s="82" t="s">
        <v>682</v>
      </c>
      <c r="Q1" s="82"/>
      <c r="R1" s="89" t="s">
        <v>691</v>
      </c>
      <c r="S1" s="89"/>
      <c r="T1" s="90" t="s">
        <v>642</v>
      </c>
      <c r="U1" s="90"/>
      <c r="W1" s="90" t="s">
        <v>494</v>
      </c>
      <c r="X1" s="80" t="s">
        <v>700</v>
      </c>
      <c r="Y1" s="81"/>
      <c r="Z1" s="82" t="s">
        <v>702</v>
      </c>
      <c r="AA1" s="82"/>
      <c r="AB1" s="83" t="s">
        <v>703</v>
      </c>
      <c r="AC1" s="83"/>
      <c r="AD1" s="86" t="s">
        <v>704</v>
      </c>
      <c r="AE1" s="86"/>
      <c r="AF1" s="87" t="s">
        <v>701</v>
      </c>
      <c r="AG1" s="87"/>
      <c r="AH1" s="82" t="s">
        <v>705</v>
      </c>
      <c r="AI1" s="82"/>
      <c r="AK1" s="93" t="s">
        <v>495</v>
      </c>
      <c r="AL1" s="80" t="s">
        <v>712</v>
      </c>
      <c r="AM1" s="81"/>
      <c r="AN1" s="82" t="s">
        <v>713</v>
      </c>
      <c r="AO1" s="82"/>
      <c r="AP1" s="83" t="s">
        <v>714</v>
      </c>
      <c r="AQ1" s="83"/>
      <c r="AR1" s="86" t="s">
        <v>715</v>
      </c>
      <c r="AS1" s="86"/>
      <c r="AT1" s="87" t="s">
        <v>716</v>
      </c>
      <c r="AU1" s="87"/>
      <c r="AV1" s="82" t="s">
        <v>717</v>
      </c>
      <c r="AW1" s="82"/>
      <c r="AY1">
        <f>COLUMN()</f>
        <v>51</v>
      </c>
      <c r="AZ1">
        <f>COLUMN()</f>
        <v>52</v>
      </c>
      <c r="BA1">
        <f>COLUMN()</f>
        <v>53</v>
      </c>
      <c r="BB1">
        <f>COLUMN()</f>
        <v>54</v>
      </c>
      <c r="BC1">
        <f>COLUMN()</f>
        <v>55</v>
      </c>
      <c r="BD1">
        <f>COLUMN()</f>
        <v>56</v>
      </c>
      <c r="BE1">
        <f>COLUMN()</f>
        <v>57</v>
      </c>
      <c r="BF1">
        <f>COLUMN()</f>
        <v>58</v>
      </c>
      <c r="BG1">
        <f>COLUMN()</f>
        <v>59</v>
      </c>
      <c r="BH1">
        <f>COLUMN()</f>
        <v>60</v>
      </c>
      <c r="BI1">
        <f>COLUMN()</f>
        <v>61</v>
      </c>
      <c r="BJ1">
        <f>COLUMN()</f>
        <v>62</v>
      </c>
      <c r="BK1">
        <f>COLUMN()</f>
        <v>63</v>
      </c>
      <c r="BL1">
        <f>COLUMN()</f>
        <v>64</v>
      </c>
      <c r="BM1">
        <f>COLUMN()</f>
        <v>65</v>
      </c>
      <c r="BN1">
        <f>COLUMN()</f>
        <v>66</v>
      </c>
      <c r="BO1">
        <f>COLUMN()</f>
        <v>67</v>
      </c>
      <c r="BP1">
        <f>COLUMN()</f>
        <v>68</v>
      </c>
      <c r="BQ1">
        <f>COLUMN()</f>
        <v>69</v>
      </c>
      <c r="BR1">
        <f>COLUMN()</f>
        <v>70</v>
      </c>
      <c r="BS1">
        <f>COLUMN()</f>
        <v>71</v>
      </c>
      <c r="BT1">
        <f>COLUMN()</f>
        <v>72</v>
      </c>
      <c r="BU1">
        <f>COLUMN()</f>
        <v>73</v>
      </c>
      <c r="BV1">
        <f>COLUMN()</f>
        <v>74</v>
      </c>
      <c r="BW1">
        <f>COLUMN()</f>
        <v>75</v>
      </c>
      <c r="BX1">
        <f>COLUMN()</f>
        <v>76</v>
      </c>
      <c r="BY1">
        <f>COLUMN()</f>
        <v>77</v>
      </c>
      <c r="BZ1">
        <f>COLUMN()</f>
        <v>78</v>
      </c>
      <c r="CA1">
        <f>COLUMN()</f>
        <v>79</v>
      </c>
      <c r="CB1">
        <f>COLUMN()</f>
        <v>80</v>
      </c>
      <c r="CC1">
        <f>COLUMN()</f>
        <v>81</v>
      </c>
      <c r="CD1">
        <f>COLUMN()</f>
        <v>82</v>
      </c>
      <c r="CE1">
        <f>COLUMN()</f>
        <v>83</v>
      </c>
      <c r="CF1">
        <f>COLUMN()</f>
        <v>84</v>
      </c>
      <c r="CG1">
        <f>COLUMN()</f>
        <v>85</v>
      </c>
      <c r="CH1">
        <f>COLUMN()</f>
        <v>86</v>
      </c>
      <c r="CI1">
        <f>COLUMN()</f>
        <v>87</v>
      </c>
      <c r="CJ1">
        <f>COLUMN()</f>
        <v>88</v>
      </c>
      <c r="CK1">
        <f>COLUMN()</f>
        <v>89</v>
      </c>
      <c r="CL1">
        <f>COLUMN()</f>
        <v>90</v>
      </c>
      <c r="CM1">
        <f>COLUMN()</f>
        <v>91</v>
      </c>
      <c r="CN1">
        <f>COLUMN()</f>
        <v>92</v>
      </c>
      <c r="CO1">
        <f>COLUMN()</f>
        <v>93</v>
      </c>
      <c r="CP1">
        <f>COLUMN()</f>
        <v>94</v>
      </c>
      <c r="CQ1">
        <f>COLUMN()</f>
        <v>95</v>
      </c>
      <c r="CR1">
        <f>COLUMN()</f>
        <v>96</v>
      </c>
      <c r="CS1">
        <f>COLUMN()</f>
        <v>97</v>
      </c>
      <c r="CT1">
        <f>COLUMN()</f>
        <v>98</v>
      </c>
      <c r="CU1">
        <f>COLUMN()</f>
        <v>99</v>
      </c>
      <c r="CV1" s="5">
        <f>COLUMN()</f>
        <v>100</v>
      </c>
      <c r="CW1">
        <f>COLUMN()</f>
        <v>101</v>
      </c>
      <c r="CX1">
        <f>COLUMN()</f>
        <v>102</v>
      </c>
      <c r="CY1">
        <f>COLUMN()</f>
        <v>103</v>
      </c>
      <c r="CZ1">
        <f>COLUMN()</f>
        <v>104</v>
      </c>
      <c r="DA1">
        <f>COLUMN()</f>
        <v>105</v>
      </c>
      <c r="DB1">
        <f>COLUMN()</f>
        <v>106</v>
      </c>
      <c r="DC1">
        <f>COLUMN()</f>
        <v>107</v>
      </c>
      <c r="DD1">
        <f>COLUMN()</f>
        <v>108</v>
      </c>
      <c r="DE1">
        <f>COLUMN()</f>
        <v>109</v>
      </c>
      <c r="DF1">
        <f>COLUMN()</f>
        <v>110</v>
      </c>
      <c r="DG1">
        <f>COLUMN()</f>
        <v>111</v>
      </c>
      <c r="DH1">
        <f>COLUMN()</f>
        <v>112</v>
      </c>
      <c r="DI1">
        <f>COLUMN()</f>
        <v>113</v>
      </c>
      <c r="DJ1">
        <f>COLUMN()</f>
        <v>114</v>
      </c>
      <c r="DK1">
        <f>COLUMN()</f>
        <v>115</v>
      </c>
      <c r="DL1">
        <f>COLUMN()</f>
        <v>116</v>
      </c>
      <c r="DM1">
        <f>COLUMN()</f>
        <v>117</v>
      </c>
      <c r="DN1">
        <f>COLUMN()</f>
        <v>118</v>
      </c>
      <c r="DO1">
        <f>COLUMN()</f>
        <v>119</v>
      </c>
      <c r="DP1">
        <f>COLUMN()</f>
        <v>120</v>
      </c>
      <c r="DQ1">
        <f>COLUMN()</f>
        <v>121</v>
      </c>
      <c r="DR1">
        <f>COLUMN()</f>
        <v>122</v>
      </c>
      <c r="DS1">
        <f>COLUMN()</f>
        <v>123</v>
      </c>
      <c r="DT1">
        <f>COLUMN()</f>
        <v>124</v>
      </c>
      <c r="DU1">
        <f>COLUMN()</f>
        <v>125</v>
      </c>
      <c r="DV1">
        <f>COLUMN()</f>
        <v>126</v>
      </c>
      <c r="DW1">
        <f>COLUMN()</f>
        <v>127</v>
      </c>
      <c r="DX1">
        <f>COLUMN()</f>
        <v>128</v>
      </c>
      <c r="DY1">
        <f>COLUMN()</f>
        <v>129</v>
      </c>
      <c r="DZ1">
        <f>COLUMN()</f>
        <v>130</v>
      </c>
      <c r="EA1">
        <f>COLUMN()</f>
        <v>131</v>
      </c>
      <c r="EB1">
        <f>COLUMN()</f>
        <v>132</v>
      </c>
      <c r="EC1">
        <f>COLUMN()</f>
        <v>133</v>
      </c>
      <c r="ED1">
        <f>COLUMN()</f>
        <v>134</v>
      </c>
      <c r="EE1">
        <f>COLUMN()</f>
        <v>135</v>
      </c>
      <c r="EF1">
        <f>COLUMN()</f>
        <v>136</v>
      </c>
      <c r="EG1">
        <f>COLUMN()</f>
        <v>137</v>
      </c>
      <c r="EH1">
        <f>COLUMN()</f>
        <v>138</v>
      </c>
      <c r="EI1">
        <f>COLUMN()</f>
        <v>139</v>
      </c>
      <c r="EJ1">
        <f>COLUMN()</f>
        <v>140</v>
      </c>
      <c r="EK1">
        <f>COLUMN()</f>
        <v>141</v>
      </c>
      <c r="EL1">
        <f>COLUMN()</f>
        <v>142</v>
      </c>
      <c r="EM1">
        <f>COLUMN()</f>
        <v>143</v>
      </c>
      <c r="EN1">
        <f>COLUMN()</f>
        <v>144</v>
      </c>
      <c r="EO1">
        <f>COLUMN()</f>
        <v>145</v>
      </c>
      <c r="EP1">
        <f>COLUMN()</f>
        <v>146</v>
      </c>
      <c r="EQ1">
        <f>COLUMN()</f>
        <v>147</v>
      </c>
      <c r="ER1">
        <f>COLUMN()</f>
        <v>148</v>
      </c>
      <c r="ES1">
        <f>COLUMN()</f>
        <v>149</v>
      </c>
      <c r="ET1">
        <f>COLUMN()</f>
        <v>150</v>
      </c>
      <c r="EU1">
        <f>COLUMN()</f>
        <v>151</v>
      </c>
      <c r="EV1">
        <f>COLUMN()</f>
        <v>152</v>
      </c>
      <c r="EW1">
        <f>COLUMN()</f>
        <v>153</v>
      </c>
      <c r="EX1">
        <f>COLUMN()</f>
        <v>154</v>
      </c>
      <c r="EY1">
        <f>COLUMN()</f>
        <v>155</v>
      </c>
      <c r="EZ1">
        <f>COLUMN()</f>
        <v>156</v>
      </c>
      <c r="FA1">
        <f>COLUMN()</f>
        <v>157</v>
      </c>
      <c r="FB1">
        <f>COLUMN()</f>
        <v>158</v>
      </c>
      <c r="FC1">
        <f>COLUMN()</f>
        <v>159</v>
      </c>
      <c r="FD1">
        <f>COLUMN()</f>
        <v>160</v>
      </c>
      <c r="FE1">
        <f>COLUMN()</f>
        <v>161</v>
      </c>
      <c r="FF1">
        <f>COLUMN()</f>
        <v>162</v>
      </c>
      <c r="FG1">
        <f>COLUMN()</f>
        <v>163</v>
      </c>
      <c r="FH1">
        <f>COLUMN()</f>
        <v>164</v>
      </c>
      <c r="FI1">
        <f>COLUMN()</f>
        <v>165</v>
      </c>
      <c r="FJ1">
        <f>COLUMN()</f>
        <v>166</v>
      </c>
      <c r="FK1">
        <f>COLUMN()</f>
        <v>167</v>
      </c>
      <c r="FL1">
        <f>COLUMN()</f>
        <v>168</v>
      </c>
      <c r="FM1">
        <f>COLUMN()</f>
        <v>169</v>
      </c>
      <c r="FN1">
        <f>COLUMN()</f>
        <v>170</v>
      </c>
      <c r="FO1">
        <f>COLUMN()</f>
        <v>171</v>
      </c>
      <c r="FP1">
        <f>COLUMN()</f>
        <v>172</v>
      </c>
      <c r="FQ1">
        <f>COLUMN()</f>
        <v>173</v>
      </c>
      <c r="FR1">
        <f>COLUMN()</f>
        <v>174</v>
      </c>
      <c r="FS1">
        <f>COLUMN()</f>
        <v>175</v>
      </c>
      <c r="FT1">
        <f>COLUMN()</f>
        <v>176</v>
      </c>
    </row>
    <row r="2" spans="1:176" x14ac:dyDescent="0.25">
      <c r="A2" s="85" t="s">
        <v>620</v>
      </c>
      <c r="B2" s="58" t="s">
        <v>607</v>
      </c>
      <c r="C2" s="58" t="s">
        <v>499</v>
      </c>
      <c r="D2" s="58" t="s">
        <v>622</v>
      </c>
      <c r="E2" s="58" t="s">
        <v>581</v>
      </c>
      <c r="F2" s="58" t="s">
        <v>643</v>
      </c>
      <c r="G2" s="58" t="s">
        <v>602</v>
      </c>
      <c r="H2" s="58" t="s">
        <v>670</v>
      </c>
      <c r="I2" s="58" t="s">
        <v>491</v>
      </c>
      <c r="J2" s="58" t="s">
        <v>672</v>
      </c>
      <c r="K2" s="58" t="s">
        <v>489</v>
      </c>
      <c r="L2" s="58" t="s">
        <v>674</v>
      </c>
      <c r="M2" s="58" t="s">
        <v>493</v>
      </c>
      <c r="N2" s="58" t="s">
        <v>679</v>
      </c>
      <c r="O2" s="58" t="s">
        <v>496</v>
      </c>
      <c r="P2" s="58" t="s">
        <v>683</v>
      </c>
      <c r="Q2" s="58" t="s">
        <v>510</v>
      </c>
      <c r="R2" s="58" t="s">
        <v>688</v>
      </c>
      <c r="S2" s="58" t="s">
        <v>497</v>
      </c>
      <c r="T2" s="58" t="s">
        <v>698</v>
      </c>
      <c r="U2" s="58" t="s">
        <v>563</v>
      </c>
      <c r="W2" s="77" t="s">
        <v>700</v>
      </c>
      <c r="X2" s="58" t="s">
        <v>577</v>
      </c>
      <c r="Y2" s="58" t="s">
        <v>499</v>
      </c>
      <c r="Z2" s="58" t="s">
        <v>577</v>
      </c>
      <c r="AA2" s="58" t="s">
        <v>489</v>
      </c>
      <c r="AB2" s="58" t="s">
        <v>577</v>
      </c>
      <c r="AC2" s="58" t="s">
        <v>510</v>
      </c>
      <c r="AD2" s="58" t="s">
        <v>577</v>
      </c>
      <c r="AE2" s="58" t="s">
        <v>535</v>
      </c>
      <c r="AF2" s="58" t="s">
        <v>577</v>
      </c>
      <c r="AG2" s="58" t="s">
        <v>602</v>
      </c>
      <c r="AH2" s="58" t="s">
        <v>706</v>
      </c>
      <c r="AI2" s="58" t="s">
        <v>497</v>
      </c>
      <c r="AK2" s="94" t="s">
        <v>712</v>
      </c>
      <c r="AL2" s="58" t="s">
        <v>577</v>
      </c>
      <c r="AM2" s="58" t="s">
        <v>499</v>
      </c>
      <c r="AN2" s="58" t="s">
        <v>577</v>
      </c>
      <c r="AO2" s="58" t="s">
        <v>489</v>
      </c>
      <c r="AP2" s="58" t="s">
        <v>577</v>
      </c>
      <c r="AQ2" s="58" t="s">
        <v>510</v>
      </c>
      <c r="AR2" s="58" t="s">
        <v>577</v>
      </c>
      <c r="AS2" s="58" t="s">
        <v>535</v>
      </c>
      <c r="AT2" s="58" t="s">
        <v>577</v>
      </c>
      <c r="AU2" s="58" t="s">
        <v>602</v>
      </c>
      <c r="AV2" s="58" t="s">
        <v>706</v>
      </c>
      <c r="AW2" s="58" t="s">
        <v>497</v>
      </c>
    </row>
    <row r="3" spans="1:176" x14ac:dyDescent="0.25">
      <c r="A3" s="85" t="s">
        <v>621</v>
      </c>
      <c r="B3" s="58" t="s">
        <v>613</v>
      </c>
      <c r="C3" s="58" t="s">
        <v>500</v>
      </c>
      <c r="D3" s="58" t="s">
        <v>623</v>
      </c>
      <c r="E3" s="58" t="s">
        <v>582</v>
      </c>
      <c r="F3" s="58" t="s">
        <v>644</v>
      </c>
      <c r="G3" s="58" t="s">
        <v>603</v>
      </c>
      <c r="H3" s="58" t="s">
        <v>671</v>
      </c>
      <c r="I3" s="58" t="s">
        <v>492</v>
      </c>
      <c r="J3" s="58" t="s">
        <v>673</v>
      </c>
      <c r="K3" s="58" t="s">
        <v>490</v>
      </c>
      <c r="L3" s="58" t="s">
        <v>675</v>
      </c>
      <c r="M3" s="58" t="s">
        <v>562</v>
      </c>
      <c r="N3" s="58" t="s">
        <v>678</v>
      </c>
      <c r="O3" s="58" t="s">
        <v>516</v>
      </c>
      <c r="P3" s="58" t="s">
        <v>684</v>
      </c>
      <c r="Q3" s="58" t="s">
        <v>512</v>
      </c>
      <c r="R3" s="58" t="s">
        <v>689</v>
      </c>
      <c r="S3" s="58" t="s">
        <v>498</v>
      </c>
      <c r="T3" s="58" t="s">
        <v>699</v>
      </c>
      <c r="U3" s="58" t="s">
        <v>598</v>
      </c>
      <c r="W3" s="77" t="s">
        <v>702</v>
      </c>
      <c r="X3" s="58" t="s">
        <v>578</v>
      </c>
      <c r="Y3" s="58" t="s">
        <v>500</v>
      </c>
      <c r="Z3" s="58" t="s">
        <v>578</v>
      </c>
      <c r="AA3" s="58" t="s">
        <v>490</v>
      </c>
      <c r="AB3" s="58" t="s">
        <v>578</v>
      </c>
      <c r="AC3" s="58" t="s">
        <v>512</v>
      </c>
      <c r="AD3" s="58" t="s">
        <v>578</v>
      </c>
      <c r="AE3" s="58" t="s">
        <v>538</v>
      </c>
      <c r="AF3" s="58" t="s">
        <v>578</v>
      </c>
      <c r="AG3" s="58" t="s">
        <v>603</v>
      </c>
      <c r="AH3" s="58" t="s">
        <v>707</v>
      </c>
      <c r="AI3" s="58" t="s">
        <v>498</v>
      </c>
      <c r="AK3" s="94" t="s">
        <v>713</v>
      </c>
      <c r="AL3" s="58" t="s">
        <v>578</v>
      </c>
      <c r="AM3" s="58" t="s">
        <v>500</v>
      </c>
      <c r="AN3" s="58" t="s">
        <v>578</v>
      </c>
      <c r="AO3" s="58" t="s">
        <v>490</v>
      </c>
      <c r="AP3" s="58" t="s">
        <v>578</v>
      </c>
      <c r="AQ3" s="58" t="s">
        <v>512</v>
      </c>
      <c r="AR3" s="58" t="s">
        <v>578</v>
      </c>
      <c r="AS3" s="58" t="s">
        <v>538</v>
      </c>
      <c r="AT3" s="58" t="s">
        <v>578</v>
      </c>
      <c r="AU3" s="58" t="s">
        <v>603</v>
      </c>
      <c r="AV3" s="58" t="s">
        <v>707</v>
      </c>
      <c r="AW3" s="58" t="s">
        <v>498</v>
      </c>
    </row>
    <row r="4" spans="1:176" x14ac:dyDescent="0.25">
      <c r="A4" s="85" t="s">
        <v>637</v>
      </c>
      <c r="B4" s="58" t="s">
        <v>614</v>
      </c>
      <c r="C4" s="58" t="s">
        <v>501</v>
      </c>
      <c r="D4" s="58" t="s">
        <v>624</v>
      </c>
      <c r="E4" s="58" t="s">
        <v>583</v>
      </c>
      <c r="F4" s="58" t="s">
        <v>645</v>
      </c>
      <c r="G4" s="58" t="s">
        <v>604</v>
      </c>
      <c r="J4" s="58" t="s">
        <v>779</v>
      </c>
      <c r="K4" s="58" t="s">
        <v>780</v>
      </c>
      <c r="L4" s="58" t="s">
        <v>676</v>
      </c>
      <c r="M4" s="58" t="s">
        <v>561</v>
      </c>
      <c r="N4" s="58" t="s">
        <v>677</v>
      </c>
      <c r="O4" s="58" t="s">
        <v>564</v>
      </c>
      <c r="P4" s="58" t="s">
        <v>685</v>
      </c>
      <c r="Q4" s="58" t="s">
        <v>511</v>
      </c>
      <c r="R4" s="58" t="s">
        <v>690</v>
      </c>
      <c r="S4" s="58" t="s">
        <v>513</v>
      </c>
      <c r="T4" s="58" t="s">
        <v>697</v>
      </c>
      <c r="U4" s="58" t="s">
        <v>599</v>
      </c>
      <c r="W4" s="77" t="s">
        <v>703</v>
      </c>
      <c r="X4" s="58" t="s">
        <v>579</v>
      </c>
      <c r="Y4" s="58" t="s">
        <v>501</v>
      </c>
      <c r="Z4" s="58" t="s">
        <v>579</v>
      </c>
      <c r="AA4" s="58" t="s">
        <v>493</v>
      </c>
      <c r="AB4" s="58" t="s">
        <v>579</v>
      </c>
      <c r="AC4" s="58" t="s">
        <v>511</v>
      </c>
      <c r="AD4" s="58" t="s">
        <v>579</v>
      </c>
      <c r="AE4" s="58" t="s">
        <v>531</v>
      </c>
      <c r="AF4" s="58" t="s">
        <v>579</v>
      </c>
      <c r="AG4" s="58" t="s">
        <v>604</v>
      </c>
      <c r="AH4" s="58" t="s">
        <v>708</v>
      </c>
      <c r="AI4" s="58" t="s">
        <v>513</v>
      </c>
      <c r="AK4" s="94" t="s">
        <v>714</v>
      </c>
      <c r="AL4" s="58" t="s">
        <v>579</v>
      </c>
      <c r="AM4" s="58" t="s">
        <v>501</v>
      </c>
      <c r="AN4" s="58" t="s">
        <v>579</v>
      </c>
      <c r="AO4" s="58" t="s">
        <v>493</v>
      </c>
      <c r="AP4" s="58" t="s">
        <v>579</v>
      </c>
      <c r="AQ4" s="58" t="s">
        <v>511</v>
      </c>
      <c r="AR4" s="58" t="s">
        <v>579</v>
      </c>
      <c r="AS4" s="58" t="s">
        <v>531</v>
      </c>
      <c r="AT4" s="58" t="s">
        <v>579</v>
      </c>
      <c r="AU4" s="58" t="s">
        <v>604</v>
      </c>
      <c r="AV4" s="58" t="s">
        <v>708</v>
      </c>
      <c r="AW4" s="58" t="s">
        <v>513</v>
      </c>
    </row>
    <row r="5" spans="1:176" x14ac:dyDescent="0.25">
      <c r="A5" s="85" t="s">
        <v>638</v>
      </c>
      <c r="B5" s="58" t="s">
        <v>619</v>
      </c>
      <c r="C5" s="58" t="s">
        <v>502</v>
      </c>
      <c r="D5" s="58" t="s">
        <v>625</v>
      </c>
      <c r="E5" s="58" t="s">
        <v>584</v>
      </c>
      <c r="F5" s="58" t="s">
        <v>646</v>
      </c>
      <c r="G5" s="58" t="s">
        <v>600</v>
      </c>
      <c r="J5" s="58" t="s">
        <v>777</v>
      </c>
      <c r="K5" s="58" t="s">
        <v>778</v>
      </c>
      <c r="N5" s="58" t="s">
        <v>680</v>
      </c>
      <c r="O5" s="58" t="s">
        <v>572</v>
      </c>
      <c r="P5" s="58" t="s">
        <v>686</v>
      </c>
      <c r="Q5" s="58" t="s">
        <v>532</v>
      </c>
      <c r="S5" s="58"/>
      <c r="W5" s="77" t="s">
        <v>704</v>
      </c>
      <c r="X5" s="58" t="s">
        <v>580</v>
      </c>
      <c r="Y5" s="58" t="s">
        <v>502</v>
      </c>
      <c r="Z5" s="58" t="s">
        <v>580</v>
      </c>
      <c r="AA5" s="58" t="s">
        <v>562</v>
      </c>
      <c r="AB5" s="58" t="s">
        <v>580</v>
      </c>
      <c r="AC5" s="58" t="s">
        <v>532</v>
      </c>
      <c r="AD5" s="58" t="s">
        <v>580</v>
      </c>
      <c r="AE5" s="58" t="s">
        <v>540</v>
      </c>
      <c r="AF5" s="58" t="s">
        <v>580</v>
      </c>
      <c r="AG5" s="58" t="s">
        <v>600</v>
      </c>
      <c r="AH5" s="58" t="s">
        <v>709</v>
      </c>
      <c r="AI5" s="58" t="s">
        <v>563</v>
      </c>
      <c r="AK5" s="94" t="s">
        <v>715</v>
      </c>
      <c r="AL5" s="58" t="s">
        <v>580</v>
      </c>
      <c r="AM5" s="58" t="s">
        <v>502</v>
      </c>
      <c r="AN5" s="58" t="s">
        <v>580</v>
      </c>
      <c r="AO5" s="58" t="s">
        <v>562</v>
      </c>
      <c r="AP5" s="58" t="s">
        <v>580</v>
      </c>
      <c r="AQ5" s="58" t="s">
        <v>532</v>
      </c>
      <c r="AR5" s="58" t="s">
        <v>580</v>
      </c>
      <c r="AS5" s="58" t="s">
        <v>540</v>
      </c>
      <c r="AT5" s="58" t="s">
        <v>580</v>
      </c>
      <c r="AU5" s="58" t="s">
        <v>600</v>
      </c>
      <c r="AV5" s="58" t="s">
        <v>709</v>
      </c>
      <c r="AW5" s="58" t="s">
        <v>563</v>
      </c>
    </row>
    <row r="6" spans="1:176" x14ac:dyDescent="0.25">
      <c r="A6" s="85" t="s">
        <v>639</v>
      </c>
      <c r="B6" s="58" t="s">
        <v>605</v>
      </c>
      <c r="C6" s="58" t="s">
        <v>503</v>
      </c>
      <c r="D6" s="58" t="s">
        <v>626</v>
      </c>
      <c r="E6" s="58" t="s">
        <v>585</v>
      </c>
      <c r="F6" s="58" t="s">
        <v>647</v>
      </c>
      <c r="G6" s="58" t="s">
        <v>601</v>
      </c>
      <c r="N6" s="58" t="s">
        <v>681</v>
      </c>
      <c r="O6" s="58" t="s">
        <v>573</v>
      </c>
      <c r="P6" s="58" t="s">
        <v>687</v>
      </c>
      <c r="Q6" s="58" t="s">
        <v>533</v>
      </c>
      <c r="S6" s="58"/>
      <c r="W6" s="77" t="s">
        <v>701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8" t="s">
        <v>710</v>
      </c>
      <c r="AI6" s="58" t="s">
        <v>598</v>
      </c>
      <c r="AK6" s="94" t="s">
        <v>716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8" t="s">
        <v>710</v>
      </c>
      <c r="AW6" s="58" t="s">
        <v>598</v>
      </c>
    </row>
    <row r="7" spans="1:176" x14ac:dyDescent="0.25">
      <c r="A7" s="85" t="s">
        <v>640</v>
      </c>
      <c r="B7" s="58" t="s">
        <v>606</v>
      </c>
      <c r="C7" s="58" t="s">
        <v>504</v>
      </c>
      <c r="D7" s="58" t="s">
        <v>627</v>
      </c>
      <c r="E7" s="58" t="s">
        <v>586</v>
      </c>
      <c r="F7" s="58" t="s">
        <v>648</v>
      </c>
      <c r="G7" s="58" t="s">
        <v>658</v>
      </c>
      <c r="N7" s="58" t="s">
        <v>696</v>
      </c>
      <c r="O7" s="58" t="s">
        <v>574</v>
      </c>
      <c r="W7" s="77" t="s">
        <v>705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58" t="s">
        <v>711</v>
      </c>
      <c r="AI7" s="58" t="s">
        <v>599</v>
      </c>
      <c r="AK7" s="94" t="s">
        <v>717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8" t="s">
        <v>711</v>
      </c>
      <c r="AW7" s="58" t="s">
        <v>599</v>
      </c>
    </row>
    <row r="8" spans="1:176" x14ac:dyDescent="0.25">
      <c r="A8" s="85" t="s">
        <v>682</v>
      </c>
      <c r="B8" s="58" t="s">
        <v>608</v>
      </c>
      <c r="C8" s="58" t="s">
        <v>505</v>
      </c>
      <c r="D8" s="58" t="s">
        <v>628</v>
      </c>
      <c r="E8" s="58" t="s">
        <v>587</v>
      </c>
      <c r="F8" s="58" t="s">
        <v>649</v>
      </c>
      <c r="G8" s="58" t="s">
        <v>659</v>
      </c>
      <c r="N8" s="58" t="s">
        <v>692</v>
      </c>
      <c r="O8" s="58" t="s">
        <v>534</v>
      </c>
      <c r="W8" s="77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K8" s="27"/>
    </row>
    <row r="9" spans="1:176" x14ac:dyDescent="0.25">
      <c r="A9" s="85" t="s">
        <v>641</v>
      </c>
      <c r="B9" s="58" t="s">
        <v>610</v>
      </c>
      <c r="C9" s="58" t="s">
        <v>506</v>
      </c>
      <c r="D9" s="58" t="s">
        <v>629</v>
      </c>
      <c r="E9" s="58" t="s">
        <v>588</v>
      </c>
      <c r="F9" s="58" t="s">
        <v>650</v>
      </c>
      <c r="G9" s="58" t="s">
        <v>660</v>
      </c>
      <c r="N9" s="58" t="s">
        <v>693</v>
      </c>
      <c r="O9" s="58" t="s">
        <v>537</v>
      </c>
      <c r="S9" s="58"/>
      <c r="W9" s="91"/>
      <c r="AK9" s="27"/>
    </row>
    <row r="10" spans="1:176" x14ac:dyDescent="0.25">
      <c r="A10" s="85" t="s">
        <v>691</v>
      </c>
      <c r="B10" s="58" t="s">
        <v>609</v>
      </c>
      <c r="C10" s="58" t="s">
        <v>507</v>
      </c>
      <c r="D10" s="58" t="s">
        <v>630</v>
      </c>
      <c r="E10" s="58" t="s">
        <v>589</v>
      </c>
      <c r="F10" s="58" t="s">
        <v>651</v>
      </c>
      <c r="G10" s="58" t="s">
        <v>661</v>
      </c>
      <c r="N10" s="58" t="s">
        <v>694</v>
      </c>
      <c r="O10" s="58" t="s">
        <v>539</v>
      </c>
      <c r="W10" s="91"/>
      <c r="AK10" s="27"/>
    </row>
    <row r="11" spans="1:176" x14ac:dyDescent="0.25">
      <c r="A11" s="85" t="s">
        <v>642</v>
      </c>
      <c r="B11" s="58" t="s">
        <v>612</v>
      </c>
      <c r="C11" s="58" t="s">
        <v>508</v>
      </c>
      <c r="D11" s="58" t="s">
        <v>631</v>
      </c>
      <c r="E11" s="58" t="s">
        <v>590</v>
      </c>
      <c r="F11" s="58" t="s">
        <v>652</v>
      </c>
      <c r="G11" s="58" t="s">
        <v>662</v>
      </c>
      <c r="N11" s="58" t="s">
        <v>695</v>
      </c>
      <c r="O11" s="58" t="s">
        <v>536</v>
      </c>
      <c r="S11" s="58"/>
      <c r="W11" s="91"/>
      <c r="AK11" s="27"/>
    </row>
    <row r="12" spans="1:176" x14ac:dyDescent="0.25">
      <c r="A12" s="85" t="s">
        <v>1336</v>
      </c>
      <c r="B12" s="58" t="s">
        <v>611</v>
      </c>
      <c r="C12" s="58" t="s">
        <v>565</v>
      </c>
      <c r="D12" s="58" t="s">
        <v>632</v>
      </c>
      <c r="E12" s="58" t="s">
        <v>591</v>
      </c>
      <c r="F12" s="58" t="s">
        <v>653</v>
      </c>
      <c r="G12" s="58" t="s">
        <v>663</v>
      </c>
      <c r="W12" s="91"/>
      <c r="AK12" s="27"/>
    </row>
    <row r="13" spans="1:176" x14ac:dyDescent="0.25">
      <c r="A13" s="85"/>
      <c r="B13" s="58" t="s">
        <v>575</v>
      </c>
      <c r="C13" s="58" t="s">
        <v>566</v>
      </c>
      <c r="D13" s="58" t="s">
        <v>575</v>
      </c>
      <c r="E13" s="58" t="s">
        <v>592</v>
      </c>
      <c r="F13" s="58" t="s">
        <v>575</v>
      </c>
      <c r="G13" s="58" t="s">
        <v>664</v>
      </c>
      <c r="S13" s="58"/>
      <c r="W13" s="91"/>
      <c r="AK13" s="27"/>
    </row>
    <row r="14" spans="1:176" x14ac:dyDescent="0.25">
      <c r="A14" s="85"/>
      <c r="B14" s="58" t="s">
        <v>576</v>
      </c>
      <c r="C14" s="58" t="s">
        <v>567</v>
      </c>
      <c r="D14" s="58" t="s">
        <v>576</v>
      </c>
      <c r="E14" s="58" t="s">
        <v>593</v>
      </c>
      <c r="F14" s="58" t="s">
        <v>576</v>
      </c>
      <c r="G14" s="58" t="s">
        <v>665</v>
      </c>
      <c r="S14" s="58"/>
      <c r="W14" s="91"/>
      <c r="AK14" s="27"/>
    </row>
    <row r="15" spans="1:176" x14ac:dyDescent="0.25">
      <c r="A15" s="85"/>
      <c r="B15" s="58" t="s">
        <v>616</v>
      </c>
      <c r="C15" s="58" t="s">
        <v>568</v>
      </c>
      <c r="D15" s="58" t="s">
        <v>633</v>
      </c>
      <c r="E15" s="58" t="s">
        <v>594</v>
      </c>
      <c r="F15" s="58" t="s">
        <v>654</v>
      </c>
      <c r="G15" s="58" t="s">
        <v>666</v>
      </c>
      <c r="W15" s="91"/>
      <c r="AK15" s="27"/>
    </row>
    <row r="16" spans="1:176" x14ac:dyDescent="0.25">
      <c r="A16" s="85"/>
      <c r="B16" s="58" t="s">
        <v>615</v>
      </c>
      <c r="C16" s="58" t="s">
        <v>569</v>
      </c>
      <c r="D16" s="58" t="s">
        <v>634</v>
      </c>
      <c r="E16" s="58" t="s">
        <v>595</v>
      </c>
      <c r="F16" s="58" t="s">
        <v>655</v>
      </c>
      <c r="G16" s="58" t="s">
        <v>667</v>
      </c>
      <c r="W16" s="91"/>
      <c r="AK16" s="27"/>
    </row>
    <row r="17" spans="1:38" x14ac:dyDescent="0.25">
      <c r="A17" s="85"/>
      <c r="B17" s="58" t="s">
        <v>618</v>
      </c>
      <c r="C17" s="58" t="s">
        <v>570</v>
      </c>
      <c r="D17" s="58" t="s">
        <v>635</v>
      </c>
      <c r="E17" s="58" t="s">
        <v>596</v>
      </c>
      <c r="F17" s="58" t="s">
        <v>656</v>
      </c>
      <c r="G17" s="58" t="s">
        <v>668</v>
      </c>
      <c r="W17" s="91"/>
      <c r="AK17" s="27"/>
    </row>
    <row r="18" spans="1:38" x14ac:dyDescent="0.25">
      <c r="A18" s="85"/>
      <c r="B18" s="58" t="s">
        <v>617</v>
      </c>
      <c r="C18" s="58" t="s">
        <v>571</v>
      </c>
      <c r="D18" s="58" t="s">
        <v>636</v>
      </c>
      <c r="E18" s="58" t="s">
        <v>597</v>
      </c>
      <c r="F18" s="58" t="s">
        <v>657</v>
      </c>
      <c r="G18" s="58" t="s">
        <v>669</v>
      </c>
      <c r="W18" s="91"/>
      <c r="AK18" s="27"/>
    </row>
    <row r="19" spans="1:38" x14ac:dyDescent="0.25">
      <c r="A19" s="85"/>
      <c r="B19" s="58" t="s">
        <v>718</v>
      </c>
      <c r="C19" s="58" t="s">
        <v>728</v>
      </c>
      <c r="D19" s="58" t="s">
        <v>737</v>
      </c>
      <c r="E19" s="58" t="s">
        <v>747</v>
      </c>
      <c r="G19" s="58"/>
      <c r="W19" s="91"/>
      <c r="X19" s="58"/>
      <c r="Y19" s="58"/>
      <c r="Z19" s="58"/>
      <c r="AA19" s="58"/>
      <c r="AD19" s="58"/>
      <c r="AE19" s="58"/>
      <c r="AH19" s="58"/>
      <c r="AI19" s="58"/>
      <c r="AK19" s="94"/>
      <c r="AL19" s="58"/>
    </row>
    <row r="20" spans="1:38" x14ac:dyDescent="0.25">
      <c r="A20" s="85"/>
      <c r="B20" s="58" t="s">
        <v>719</v>
      </c>
      <c r="C20" s="58" t="s">
        <v>729</v>
      </c>
      <c r="D20" s="58" t="s">
        <v>738</v>
      </c>
      <c r="E20" s="58" t="s">
        <v>748</v>
      </c>
      <c r="G20" s="58"/>
      <c r="W20" s="91"/>
      <c r="X20" s="58"/>
      <c r="Y20" s="58"/>
      <c r="Z20" s="58"/>
      <c r="AA20" s="58"/>
      <c r="AD20" s="58"/>
      <c r="AE20" s="58"/>
      <c r="AH20" s="58"/>
      <c r="AI20" s="58"/>
      <c r="AK20" s="94"/>
      <c r="AL20" s="58"/>
    </row>
    <row r="21" spans="1:38" x14ac:dyDescent="0.25">
      <c r="A21" s="85"/>
      <c r="B21" s="58" t="s">
        <v>720</v>
      </c>
      <c r="C21" s="58" t="s">
        <v>509</v>
      </c>
      <c r="D21" s="58" t="s">
        <v>739</v>
      </c>
      <c r="E21" s="58" t="s">
        <v>749</v>
      </c>
      <c r="G21" s="58"/>
      <c r="W21" s="91"/>
      <c r="X21" s="58"/>
      <c r="Y21" s="58"/>
      <c r="Z21" s="58"/>
      <c r="AA21" s="58"/>
      <c r="AD21" s="58"/>
      <c r="AE21" s="58"/>
      <c r="AH21" s="58"/>
      <c r="AI21" s="58"/>
      <c r="AK21" s="94"/>
      <c r="AL21" s="58"/>
    </row>
    <row r="22" spans="1:38" x14ac:dyDescent="0.25">
      <c r="A22" s="85"/>
      <c r="B22" s="58" t="s">
        <v>721</v>
      </c>
      <c r="C22" s="58" t="s">
        <v>730</v>
      </c>
      <c r="D22" s="58" t="s">
        <v>740</v>
      </c>
      <c r="E22" s="58" t="s">
        <v>750</v>
      </c>
      <c r="G22" s="58"/>
      <c r="W22" s="91"/>
      <c r="X22" s="58"/>
      <c r="Y22" s="58"/>
      <c r="Z22" s="58"/>
      <c r="AA22" s="58"/>
      <c r="AD22" s="58"/>
      <c r="AE22" s="58"/>
      <c r="AF22" s="58"/>
      <c r="AH22" s="58"/>
      <c r="AI22" s="58"/>
      <c r="AK22" s="94"/>
      <c r="AL22" s="58"/>
    </row>
    <row r="23" spans="1:38" x14ac:dyDescent="0.25">
      <c r="A23" s="85"/>
      <c r="B23" s="58" t="s">
        <v>722</v>
      </c>
      <c r="C23" s="58" t="s">
        <v>731</v>
      </c>
      <c r="D23" s="58" t="s">
        <v>741</v>
      </c>
      <c r="E23" s="58" t="s">
        <v>751</v>
      </c>
      <c r="W23" s="91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K23" s="94"/>
      <c r="AL23" s="58"/>
    </row>
    <row r="24" spans="1:38" x14ac:dyDescent="0.25">
      <c r="A24" s="85"/>
      <c r="B24" s="58" t="s">
        <v>723</v>
      </c>
      <c r="C24" s="58" t="s">
        <v>732</v>
      </c>
      <c r="D24" s="58" t="s">
        <v>742</v>
      </c>
      <c r="E24" s="58" t="s">
        <v>752</v>
      </c>
      <c r="W24" s="91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K24" s="94"/>
      <c r="AL24" s="58"/>
    </row>
    <row r="25" spans="1:38" x14ac:dyDescent="0.25">
      <c r="A25" s="85"/>
      <c r="B25" s="58" t="s">
        <v>724</v>
      </c>
      <c r="C25" s="58" t="s">
        <v>733</v>
      </c>
      <c r="D25" s="58" t="s">
        <v>743</v>
      </c>
      <c r="E25" s="58" t="s">
        <v>753</v>
      </c>
      <c r="W25" s="91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K25" s="94"/>
      <c r="AL25" s="58"/>
    </row>
    <row r="26" spans="1:38" x14ac:dyDescent="0.25">
      <c r="A26" s="85"/>
      <c r="B26" s="58" t="s">
        <v>725</v>
      </c>
      <c r="C26" s="58" t="s">
        <v>734</v>
      </c>
      <c r="D26" s="58" t="s">
        <v>744</v>
      </c>
      <c r="E26" s="58" t="s">
        <v>754</v>
      </c>
      <c r="W26" s="91"/>
      <c r="X26" s="58"/>
      <c r="Y26" s="58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K26" s="94"/>
      <c r="AL26" s="58"/>
    </row>
    <row r="27" spans="1:38" x14ac:dyDescent="0.25">
      <c r="A27" s="85"/>
      <c r="B27" s="58" t="s">
        <v>726</v>
      </c>
      <c r="C27" s="58" t="s">
        <v>735</v>
      </c>
      <c r="D27" s="58" t="s">
        <v>745</v>
      </c>
      <c r="E27" s="58" t="s">
        <v>755</v>
      </c>
      <c r="W27" s="91"/>
      <c r="X27" s="58"/>
      <c r="Y27" s="58"/>
      <c r="Z27" s="58"/>
      <c r="AA27" s="58"/>
      <c r="AD27" s="58"/>
      <c r="AE27" s="58"/>
      <c r="AF27" s="58"/>
      <c r="AG27" s="58"/>
      <c r="AH27" s="58"/>
      <c r="AI27" s="58"/>
      <c r="AK27" s="94"/>
      <c r="AL27" s="58"/>
    </row>
    <row r="28" spans="1:38" x14ac:dyDescent="0.25">
      <c r="A28" s="85"/>
      <c r="B28" s="58" t="s">
        <v>727</v>
      </c>
      <c r="C28" s="58" t="s">
        <v>736</v>
      </c>
      <c r="D28" s="58" t="s">
        <v>746</v>
      </c>
      <c r="E28" s="58" t="s">
        <v>756</v>
      </c>
      <c r="W28" s="91"/>
      <c r="X28" s="58"/>
      <c r="Y28" s="58"/>
      <c r="Z28" s="58"/>
      <c r="AA28" s="58"/>
      <c r="AD28" s="58"/>
      <c r="AE28" s="58"/>
      <c r="AF28" s="58"/>
      <c r="AG28" s="58"/>
      <c r="AH28" s="58"/>
      <c r="AI28" s="58"/>
      <c r="AK28" s="94"/>
      <c r="AL28" s="58"/>
    </row>
    <row r="29" spans="1:38" x14ac:dyDescent="0.25">
      <c r="A29" s="85"/>
      <c r="B29" s="58" t="s">
        <v>757</v>
      </c>
      <c r="C29" s="58" t="s">
        <v>762</v>
      </c>
      <c r="D29" s="58" t="s">
        <v>763</v>
      </c>
      <c r="E29" s="58" t="s">
        <v>764</v>
      </c>
      <c r="W29" s="91"/>
      <c r="X29" s="58"/>
      <c r="Y29" s="58"/>
      <c r="Z29" s="58"/>
      <c r="AA29" s="58"/>
      <c r="AD29" s="58"/>
      <c r="AE29" s="58"/>
      <c r="AF29" s="58"/>
      <c r="AG29" s="58"/>
      <c r="AH29" s="58"/>
      <c r="AI29" s="58"/>
      <c r="AK29" s="94"/>
      <c r="AL29" s="58"/>
    </row>
    <row r="30" spans="1:38" x14ac:dyDescent="0.25">
      <c r="A30" s="85"/>
      <c r="B30" s="58" t="s">
        <v>758</v>
      </c>
      <c r="C30" s="58" t="s">
        <v>765</v>
      </c>
      <c r="D30" s="58" t="s">
        <v>766</v>
      </c>
      <c r="E30" s="58" t="s">
        <v>767</v>
      </c>
      <c r="W30" s="91"/>
      <c r="X30" s="58"/>
      <c r="Y30" s="58"/>
      <c r="Z30" s="58"/>
      <c r="AA30" s="58"/>
      <c r="AD30" s="58"/>
      <c r="AE30" s="58"/>
      <c r="AF30" s="58"/>
      <c r="AG30" s="58"/>
      <c r="AH30" s="58"/>
      <c r="AI30" s="58"/>
      <c r="AK30" s="94"/>
      <c r="AL30" s="58"/>
    </row>
    <row r="31" spans="1:38" x14ac:dyDescent="0.25">
      <c r="A31" s="85"/>
      <c r="B31" s="58" t="s">
        <v>759</v>
      </c>
      <c r="C31" s="58" t="s">
        <v>768</v>
      </c>
      <c r="D31" s="58" t="s">
        <v>769</v>
      </c>
      <c r="E31" s="58" t="s">
        <v>770</v>
      </c>
      <c r="W31" s="91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K31" s="94"/>
      <c r="AL31" s="58"/>
    </row>
    <row r="32" spans="1:38" x14ac:dyDescent="0.25">
      <c r="A32" s="85"/>
      <c r="B32" s="58" t="s">
        <v>760</v>
      </c>
      <c r="C32" s="58" t="s">
        <v>771</v>
      </c>
      <c r="D32" s="58" t="s">
        <v>772</v>
      </c>
      <c r="E32" s="58" t="s">
        <v>773</v>
      </c>
      <c r="W32" s="91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K32" s="94"/>
      <c r="AL32" s="58"/>
    </row>
    <row r="33" spans="1:38" x14ac:dyDescent="0.25">
      <c r="A33" s="85"/>
      <c r="B33" s="58" t="s">
        <v>761</v>
      </c>
      <c r="C33" s="58" t="s">
        <v>774</v>
      </c>
      <c r="D33" s="58" t="s">
        <v>775</v>
      </c>
      <c r="E33" s="58" t="s">
        <v>776</v>
      </c>
      <c r="W33" s="91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K33" s="94"/>
      <c r="AL33" s="58"/>
    </row>
  </sheetData>
  <sortState xmlns:xlrd2="http://schemas.microsoft.com/office/spreadsheetml/2017/richdata2" ref="D2:E36">
    <sortCondition ref="E2:E36"/>
  </sortState>
  <phoneticPr fontId="18" type="noConversion"/>
  <pageMargins left="0.7" right="0.7" top="0.78740157499999996" bottom="0.78740157499999996" header="0.3" footer="0.3"/>
  <pageSetup paperSize="8" scale="5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CA9CFF"/>
  </sheetPr>
  <dimension ref="A1:T49"/>
  <sheetViews>
    <sheetView workbookViewId="0">
      <selection activeCell="A16" sqref="A16"/>
    </sheetView>
  </sheetViews>
  <sheetFormatPr baseColWidth="10" defaultRowHeight="15" x14ac:dyDescent="0.25"/>
  <cols>
    <col min="2" max="2" width="18.5703125" customWidth="1"/>
    <col min="4" max="4" width="1.85546875" customWidth="1"/>
    <col min="5" max="5" width="14.7109375" customWidth="1"/>
    <col min="6" max="6" width="11.140625" style="20" bestFit="1" customWidth="1"/>
    <col min="7" max="14" width="1.85546875" customWidth="1"/>
    <col min="15" max="15" width="3.28515625" customWidth="1"/>
    <col min="16" max="16" width="3.28515625" style="4" customWidth="1"/>
    <col min="17" max="17" width="18" customWidth="1"/>
    <col min="18" max="18" width="15.42578125" customWidth="1"/>
    <col min="19" max="19" width="40.85546875" customWidth="1"/>
  </cols>
  <sheetData>
    <row r="1" spans="1:20" ht="14.45" customHeight="1" x14ac:dyDescent="0.25">
      <c r="A1" t="s">
        <v>0</v>
      </c>
      <c r="B1" t="s">
        <v>5</v>
      </c>
      <c r="C1" t="s">
        <v>49</v>
      </c>
      <c r="E1" s="7" t="s">
        <v>480</v>
      </c>
      <c r="F1" s="7" t="s">
        <v>479</v>
      </c>
      <c r="S1" s="2"/>
      <c r="T1" s="2"/>
    </row>
    <row r="2" spans="1:20" x14ac:dyDescent="0.25">
      <c r="A2" t="s">
        <v>484</v>
      </c>
      <c r="B2" t="s">
        <v>5</v>
      </c>
      <c r="C2" t="s">
        <v>49</v>
      </c>
      <c r="E2" t="s">
        <v>481</v>
      </c>
      <c r="F2" s="20">
        <v>4</v>
      </c>
      <c r="S2" s="2"/>
      <c r="T2" s="2"/>
    </row>
    <row r="3" spans="1:20" x14ac:dyDescent="0.25">
      <c r="A3" t="s">
        <v>1</v>
      </c>
      <c r="B3" t="s">
        <v>4</v>
      </c>
      <c r="C3" t="s">
        <v>49</v>
      </c>
      <c r="E3" t="s">
        <v>477</v>
      </c>
      <c r="F3" s="20">
        <v>4</v>
      </c>
      <c r="S3" s="2"/>
      <c r="T3" s="2"/>
    </row>
    <row r="4" spans="1:20" x14ac:dyDescent="0.25">
      <c r="A4" t="s">
        <v>3</v>
      </c>
      <c r="B4" t="s">
        <v>7</v>
      </c>
      <c r="C4" t="s">
        <v>50</v>
      </c>
      <c r="E4" t="s">
        <v>478</v>
      </c>
      <c r="F4" s="20">
        <v>4</v>
      </c>
      <c r="S4" s="2"/>
      <c r="T4" s="2"/>
    </row>
    <row r="5" spans="1:20" x14ac:dyDescent="0.25">
      <c r="A5" t="s">
        <v>2</v>
      </c>
      <c r="B5" t="s">
        <v>6</v>
      </c>
      <c r="C5" t="s">
        <v>50</v>
      </c>
      <c r="E5" t="s">
        <v>483</v>
      </c>
      <c r="F5" s="20">
        <v>2</v>
      </c>
      <c r="S5" s="2"/>
      <c r="T5" s="2"/>
    </row>
    <row r="6" spans="1:20" x14ac:dyDescent="0.25">
      <c r="A6" t="s">
        <v>485</v>
      </c>
      <c r="B6" t="s">
        <v>6</v>
      </c>
      <c r="C6" t="s">
        <v>50</v>
      </c>
      <c r="S6" s="2"/>
      <c r="T6" s="2"/>
    </row>
    <row r="7" spans="1:20" x14ac:dyDescent="0.25">
      <c r="A7" t="s">
        <v>44</v>
      </c>
      <c r="B7" t="s">
        <v>45</v>
      </c>
      <c r="S7" s="2"/>
      <c r="T7" s="2"/>
    </row>
    <row r="8" spans="1:20" x14ac:dyDescent="0.25">
      <c r="A8" t="s">
        <v>857</v>
      </c>
      <c r="B8" t="s">
        <v>45</v>
      </c>
      <c r="S8" s="2"/>
      <c r="T8" s="2"/>
    </row>
    <row r="9" spans="1:20" x14ac:dyDescent="0.25">
      <c r="S9" s="2"/>
      <c r="T9" s="2"/>
    </row>
    <row r="17" ht="14.45" customHeight="1" x14ac:dyDescent="0.25"/>
    <row r="33" ht="14.45" customHeight="1" x14ac:dyDescent="0.25"/>
    <row r="49" ht="14.45" customHeight="1" x14ac:dyDescent="0.25"/>
  </sheetData>
  <sortState xmlns:xlrd2="http://schemas.microsoft.com/office/spreadsheetml/2017/richdata2" ref="A1:C49">
    <sortCondition ref="A1"/>
  </sortState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>
    <tabColor rgb="FFCA9CFF"/>
  </sheetPr>
  <dimension ref="A1:P9"/>
  <sheetViews>
    <sheetView showFormulas="1" zoomScale="130" zoomScaleNormal="130" workbookViewId="0">
      <selection activeCell="A2" sqref="A2:A8"/>
    </sheetView>
  </sheetViews>
  <sheetFormatPr baseColWidth="10" defaultRowHeight="15" x14ac:dyDescent="0.25"/>
  <cols>
    <col min="1" max="1" width="5.28515625" style="2" customWidth="1"/>
    <col min="2" max="2" width="3.28515625" style="4" bestFit="1" customWidth="1"/>
    <col min="3" max="3" width="6.42578125" customWidth="1"/>
    <col min="4" max="4" width="3.28515625" style="4" bestFit="1" customWidth="1"/>
    <col min="5" max="5" width="4.42578125" bestFit="1" customWidth="1"/>
    <col min="6" max="6" width="4.42578125" style="4" customWidth="1"/>
    <col min="7" max="7" width="4.5703125" bestFit="1" customWidth="1"/>
    <col min="8" max="8" width="4.5703125" style="4" customWidth="1"/>
    <col min="9" max="9" width="6.140625" bestFit="1" customWidth="1"/>
    <col min="10" max="10" width="9.28515625" style="4" bestFit="1" customWidth="1"/>
    <col min="11" max="11" width="7.42578125" bestFit="1" customWidth="1"/>
    <col min="12" max="12" width="7.5703125" style="4" bestFit="1" customWidth="1"/>
    <col min="13" max="13" width="4.28515625" bestFit="1" customWidth="1"/>
    <col min="14" max="14" width="1" style="4" customWidth="1"/>
    <col min="15" max="15" width="4.5703125" bestFit="1" customWidth="1"/>
    <col min="16" max="16" width="1.140625" style="4" customWidth="1"/>
  </cols>
  <sheetData>
    <row r="1" spans="1:16" s="7" customFormat="1" x14ac:dyDescent="0.25">
      <c r="A1" s="3" t="s">
        <v>151</v>
      </c>
      <c r="B1" s="9"/>
      <c r="C1" s="7" t="s">
        <v>152</v>
      </c>
      <c r="D1" s="9"/>
      <c r="E1" s="7" t="s">
        <v>153</v>
      </c>
      <c r="F1" s="9"/>
      <c r="G1" s="7" t="s">
        <v>154</v>
      </c>
      <c r="H1" s="9"/>
      <c r="I1" s="7" t="s">
        <v>155</v>
      </c>
      <c r="J1" s="9"/>
      <c r="K1" s="7" t="s">
        <v>156</v>
      </c>
      <c r="L1" s="9"/>
      <c r="M1" s="7" t="s">
        <v>157</v>
      </c>
      <c r="N1" s="9"/>
      <c r="O1" s="7" t="s">
        <v>173</v>
      </c>
      <c r="P1" s="9"/>
    </row>
    <row r="2" spans="1:16" x14ac:dyDescent="0.25">
      <c r="A2" s="2" t="s">
        <v>145</v>
      </c>
      <c r="B2" s="4" t="s">
        <v>167</v>
      </c>
      <c r="C2" t="s">
        <v>145</v>
      </c>
      <c r="D2" s="4" t="s">
        <v>161</v>
      </c>
      <c r="E2" t="s">
        <v>150</v>
      </c>
      <c r="F2" s="4" t="s">
        <v>161</v>
      </c>
      <c r="G2" t="s">
        <v>158</v>
      </c>
      <c r="I2" t="s">
        <v>163</v>
      </c>
      <c r="J2" s="4" t="s">
        <v>164</v>
      </c>
      <c r="K2" t="s">
        <v>168</v>
      </c>
      <c r="L2" s="4" t="s">
        <v>167</v>
      </c>
      <c r="O2" s="7"/>
    </row>
    <row r="3" spans="1:16" x14ac:dyDescent="0.25">
      <c r="A3" s="2" t="s">
        <v>146</v>
      </c>
      <c r="B3" s="4" t="s">
        <v>161</v>
      </c>
      <c r="C3" t="s">
        <v>146</v>
      </c>
      <c r="D3" s="4" t="s">
        <v>161</v>
      </c>
      <c r="I3" t="s">
        <v>165</v>
      </c>
      <c r="J3" s="4" t="s">
        <v>166</v>
      </c>
      <c r="K3" t="s">
        <v>169</v>
      </c>
      <c r="L3" s="4" t="s">
        <v>161</v>
      </c>
      <c r="O3" s="7"/>
    </row>
    <row r="4" spans="1:16" x14ac:dyDescent="0.25">
      <c r="A4" s="2" t="s">
        <v>147</v>
      </c>
      <c r="B4" s="4" t="s">
        <v>161</v>
      </c>
      <c r="C4" t="s">
        <v>147</v>
      </c>
      <c r="D4" s="4" t="s">
        <v>161</v>
      </c>
      <c r="I4" t="s">
        <v>147</v>
      </c>
      <c r="J4" s="4" t="s">
        <v>161</v>
      </c>
      <c r="K4" t="s">
        <v>170</v>
      </c>
      <c r="L4" s="4" t="s">
        <v>161</v>
      </c>
      <c r="O4" s="7"/>
    </row>
    <row r="5" spans="1:16" x14ac:dyDescent="0.25">
      <c r="A5" s="2" t="s">
        <v>148</v>
      </c>
      <c r="B5" s="4" t="s">
        <v>161</v>
      </c>
      <c r="C5" t="s">
        <v>148</v>
      </c>
      <c r="D5" s="4" t="s">
        <v>161</v>
      </c>
      <c r="I5" t="s">
        <v>146</v>
      </c>
      <c r="J5" s="4" t="s">
        <v>161</v>
      </c>
      <c r="K5" t="s">
        <v>147</v>
      </c>
      <c r="L5" s="4" t="s">
        <v>161</v>
      </c>
      <c r="O5" s="7"/>
    </row>
    <row r="6" spans="1:16" x14ac:dyDescent="0.25">
      <c r="A6" s="2" t="s">
        <v>149</v>
      </c>
      <c r="B6" s="4" t="s">
        <v>161</v>
      </c>
      <c r="C6" t="s">
        <v>149</v>
      </c>
      <c r="D6" s="4" t="s">
        <v>161</v>
      </c>
      <c r="K6" t="s">
        <v>146</v>
      </c>
      <c r="L6" s="4" t="s">
        <v>161</v>
      </c>
      <c r="O6" s="7"/>
    </row>
    <row r="7" spans="1:16" x14ac:dyDescent="0.25">
      <c r="A7" s="2" t="s">
        <v>150</v>
      </c>
      <c r="B7" s="4" t="s">
        <v>161</v>
      </c>
      <c r="C7" t="s">
        <v>150</v>
      </c>
      <c r="D7" s="4" t="s">
        <v>161</v>
      </c>
      <c r="K7" t="s">
        <v>171</v>
      </c>
      <c r="L7" s="4" t="s">
        <v>172</v>
      </c>
    </row>
    <row r="8" spans="1:16" x14ac:dyDescent="0.25">
      <c r="A8" s="2" t="s">
        <v>162</v>
      </c>
      <c r="B8" s="4" t="s">
        <v>161</v>
      </c>
      <c r="C8" t="s">
        <v>159</v>
      </c>
      <c r="D8" s="4" t="s">
        <v>161</v>
      </c>
    </row>
    <row r="9" spans="1:16" x14ac:dyDescent="0.25">
      <c r="C9" s="2" t="s">
        <v>162</v>
      </c>
      <c r="D9" s="4" t="s">
        <v>161</v>
      </c>
    </row>
  </sheetData>
  <dataValidations count="1">
    <dataValidation type="list" allowBlank="1" showInputMessage="1" showErrorMessage="1" sqref="P2" xr:uid="{00000000-0002-0000-0300-000000000000}">
      <formula1>INDIRECT($O$2)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4748-D2BD-44FF-AD7B-E9D11FA70228}">
  <sheetPr codeName="Tabelle16">
    <tabColor rgb="FFFF00FF"/>
  </sheetPr>
  <dimension ref="C4:D10"/>
  <sheetViews>
    <sheetView workbookViewId="0">
      <selection activeCell="C52" sqref="C52"/>
    </sheetView>
  </sheetViews>
  <sheetFormatPr baseColWidth="10" defaultRowHeight="15" x14ac:dyDescent="0.25"/>
  <cols>
    <col min="3" max="3" width="110.28515625" bestFit="1" customWidth="1"/>
  </cols>
  <sheetData>
    <row r="4" spans="3:4" x14ac:dyDescent="0.25">
      <c r="C4" s="5" t="s">
        <v>486</v>
      </c>
    </row>
    <row r="7" spans="3:4" x14ac:dyDescent="0.25">
      <c r="D7" s="33" t="s">
        <v>488</v>
      </c>
    </row>
    <row r="10" spans="3:4" x14ac:dyDescent="0.25">
      <c r="C10" s="34" t="s">
        <v>487</v>
      </c>
    </row>
  </sheetData>
  <hyperlinks>
    <hyperlink ref="D7" r:id="rId1" xr:uid="{89E28494-9665-42CC-90D6-FA2253B24122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6">
    <tabColor rgb="FF01FFFF"/>
  </sheetPr>
  <dimension ref="A1:B32"/>
  <sheetViews>
    <sheetView workbookViewId="0">
      <selection activeCell="G30" sqref="G30"/>
    </sheetView>
  </sheetViews>
  <sheetFormatPr baseColWidth="10" defaultRowHeight="15" x14ac:dyDescent="0.25"/>
  <cols>
    <col min="1" max="1" width="56.7109375" customWidth="1"/>
    <col min="2" max="2" width="49.28515625" customWidth="1"/>
    <col min="17" max="17" width="18" customWidth="1"/>
  </cols>
  <sheetData>
    <row r="1" spans="1:2" x14ac:dyDescent="0.25">
      <c r="A1" t="s">
        <v>63</v>
      </c>
      <c r="B1" t="s">
        <v>94</v>
      </c>
    </row>
    <row r="2" spans="1:2" x14ac:dyDescent="0.25">
      <c r="A2" t="s">
        <v>64</v>
      </c>
      <c r="B2" t="s">
        <v>95</v>
      </c>
    </row>
    <row r="3" spans="1:2" x14ac:dyDescent="0.25">
      <c r="A3" t="s">
        <v>65</v>
      </c>
      <c r="B3" t="s">
        <v>96</v>
      </c>
    </row>
    <row r="4" spans="1:2" x14ac:dyDescent="0.25">
      <c r="A4" t="s">
        <v>66</v>
      </c>
      <c r="B4" t="s">
        <v>97</v>
      </c>
    </row>
    <row r="5" spans="1:2" x14ac:dyDescent="0.25">
      <c r="A5" t="s">
        <v>67</v>
      </c>
      <c r="B5" t="s">
        <v>98</v>
      </c>
    </row>
    <row r="6" spans="1:2" x14ac:dyDescent="0.25">
      <c r="A6" t="s">
        <v>68</v>
      </c>
      <c r="B6" t="s">
        <v>99</v>
      </c>
    </row>
    <row r="7" spans="1:2" x14ac:dyDescent="0.25">
      <c r="A7" t="s">
        <v>69</v>
      </c>
      <c r="B7" t="s">
        <v>100</v>
      </c>
    </row>
    <row r="8" spans="1:2" x14ac:dyDescent="0.25">
      <c r="A8" t="s">
        <v>70</v>
      </c>
      <c r="B8" t="s">
        <v>101</v>
      </c>
    </row>
    <row r="9" spans="1:2" x14ac:dyDescent="0.25">
      <c r="A9" t="s">
        <v>71</v>
      </c>
      <c r="B9" t="s">
        <v>102</v>
      </c>
    </row>
    <row r="10" spans="1:2" x14ac:dyDescent="0.25">
      <c r="A10" t="s">
        <v>72</v>
      </c>
      <c r="B10" t="s">
        <v>103</v>
      </c>
    </row>
    <row r="11" spans="1:2" x14ac:dyDescent="0.25">
      <c r="A11" t="s">
        <v>73</v>
      </c>
      <c r="B11" t="s">
        <v>104</v>
      </c>
    </row>
    <row r="12" spans="1:2" x14ac:dyDescent="0.25">
      <c r="A12" t="s">
        <v>75</v>
      </c>
      <c r="B12" t="s">
        <v>105</v>
      </c>
    </row>
    <row r="13" spans="1:2" x14ac:dyDescent="0.25">
      <c r="A13" t="s">
        <v>76</v>
      </c>
      <c r="B13" t="s">
        <v>106</v>
      </c>
    </row>
    <row r="14" spans="1:2" x14ac:dyDescent="0.25">
      <c r="A14" t="s">
        <v>77</v>
      </c>
      <c r="B14" t="s">
        <v>107</v>
      </c>
    </row>
    <row r="15" spans="1:2" x14ac:dyDescent="0.25">
      <c r="A15" t="s">
        <v>78</v>
      </c>
      <c r="B15" t="s">
        <v>108</v>
      </c>
    </row>
    <row r="16" spans="1:2" x14ac:dyDescent="0.25">
      <c r="A16" t="s">
        <v>79</v>
      </c>
      <c r="B16" t="s">
        <v>109</v>
      </c>
    </row>
    <row r="17" spans="1:2" x14ac:dyDescent="0.25">
      <c r="A17" t="s">
        <v>74</v>
      </c>
      <c r="B17" t="s">
        <v>125</v>
      </c>
    </row>
    <row r="18" spans="1:2" x14ac:dyDescent="0.25">
      <c r="A18" t="s">
        <v>80</v>
      </c>
      <c r="B18" t="s">
        <v>110</v>
      </c>
    </row>
    <row r="19" spans="1:2" x14ac:dyDescent="0.25">
      <c r="A19" t="s">
        <v>81</v>
      </c>
      <c r="B19" t="s">
        <v>111</v>
      </c>
    </row>
    <row r="20" spans="1:2" x14ac:dyDescent="0.25">
      <c r="A20" t="s">
        <v>92</v>
      </c>
      <c r="B20" t="s">
        <v>112</v>
      </c>
    </row>
    <row r="21" spans="1:2" x14ac:dyDescent="0.25">
      <c r="A21" t="s">
        <v>93</v>
      </c>
      <c r="B21" t="s">
        <v>113</v>
      </c>
    </row>
    <row r="22" spans="1:2" x14ac:dyDescent="0.25">
      <c r="A22" t="s">
        <v>82</v>
      </c>
      <c r="B22" t="s">
        <v>114</v>
      </c>
    </row>
    <row r="23" spans="1:2" x14ac:dyDescent="0.25">
      <c r="A23" t="s">
        <v>83</v>
      </c>
      <c r="B23" t="s">
        <v>115</v>
      </c>
    </row>
    <row r="24" spans="1:2" x14ac:dyDescent="0.25">
      <c r="A24" t="s">
        <v>84</v>
      </c>
      <c r="B24" t="s">
        <v>116</v>
      </c>
    </row>
    <row r="25" spans="1:2" x14ac:dyDescent="0.25">
      <c r="A25" t="s">
        <v>85</v>
      </c>
      <c r="B25" t="s">
        <v>117</v>
      </c>
    </row>
    <row r="26" spans="1:2" x14ac:dyDescent="0.25">
      <c r="A26" t="s">
        <v>89</v>
      </c>
      <c r="B26" t="s">
        <v>118</v>
      </c>
    </row>
    <row r="27" spans="1:2" x14ac:dyDescent="0.25">
      <c r="A27" t="s">
        <v>90</v>
      </c>
      <c r="B27" t="s">
        <v>119</v>
      </c>
    </row>
    <row r="28" spans="1:2" x14ac:dyDescent="0.25">
      <c r="A28" t="s">
        <v>86</v>
      </c>
      <c r="B28" t="s">
        <v>120</v>
      </c>
    </row>
    <row r="29" spans="1:2" x14ac:dyDescent="0.25">
      <c r="A29" t="s">
        <v>87</v>
      </c>
      <c r="B29" t="s">
        <v>121</v>
      </c>
    </row>
    <row r="30" spans="1:2" x14ac:dyDescent="0.25">
      <c r="A30" t="s">
        <v>88</v>
      </c>
      <c r="B30" t="s">
        <v>122</v>
      </c>
    </row>
    <row r="31" spans="1:2" x14ac:dyDescent="0.25">
      <c r="A31" t="s">
        <v>91</v>
      </c>
      <c r="B31" t="s">
        <v>123</v>
      </c>
    </row>
    <row r="32" spans="1:2" x14ac:dyDescent="0.25">
      <c r="A32" t="s">
        <v>62</v>
      </c>
      <c r="B32" t="s">
        <v>124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78F1-4EF3-417D-95E2-A302F059CB9D}">
  <sheetPr codeName="Tabelle19">
    <tabColor rgb="FF01FF01"/>
  </sheetPr>
  <dimension ref="A1:AX100"/>
  <sheetViews>
    <sheetView workbookViewId="0">
      <selection activeCell="I34" sqref="I34"/>
    </sheetView>
  </sheetViews>
  <sheetFormatPr baseColWidth="10" defaultRowHeight="15" x14ac:dyDescent="0.25"/>
  <cols>
    <col min="1" max="1" width="19.85546875" bestFit="1" customWidth="1"/>
    <col min="2" max="3" width="3" bestFit="1" customWidth="1"/>
    <col min="4" max="4" width="6.85546875" customWidth="1"/>
    <col min="5" max="8" width="2" bestFit="1" customWidth="1"/>
    <col min="9" max="9" width="16.140625" bestFit="1" customWidth="1"/>
    <col min="10" max="10" width="14.28515625" customWidth="1"/>
    <col min="11" max="18" width="3" bestFit="1" customWidth="1"/>
    <col min="19" max="19" width="16.140625" bestFit="1" customWidth="1"/>
    <col min="20" max="29" width="3" bestFit="1" customWidth="1"/>
    <col min="30" max="30" width="6" bestFit="1" customWidth="1"/>
    <col min="31" max="39" width="3" bestFit="1" customWidth="1"/>
    <col min="40" max="40" width="15.42578125" bestFit="1" customWidth="1"/>
    <col min="41" max="41" width="26.28515625" customWidth="1"/>
    <col min="42" max="42" width="20.28515625" bestFit="1" customWidth="1"/>
    <col min="43" max="43" width="10.7109375" customWidth="1"/>
    <col min="44" max="44" width="8.28515625" customWidth="1"/>
  </cols>
  <sheetData>
    <row r="1" spans="1:43" x14ac:dyDescent="0.25">
      <c r="A1" t="s">
        <v>1017</v>
      </c>
      <c r="B1" s="531" t="s">
        <v>553</v>
      </c>
      <c r="C1" s="531"/>
      <c r="D1" s="531"/>
      <c r="E1" s="531"/>
      <c r="F1" s="531"/>
      <c r="G1" s="531"/>
      <c r="H1" s="531"/>
      <c r="I1" s="531"/>
      <c r="J1" t="s">
        <v>1335</v>
      </c>
      <c r="K1" s="532" t="s">
        <v>554</v>
      </c>
      <c r="L1" s="532"/>
      <c r="M1" s="532"/>
      <c r="N1" s="532"/>
      <c r="O1" s="532"/>
      <c r="P1" s="532"/>
      <c r="Q1" s="532"/>
      <c r="R1" s="532"/>
      <c r="S1" s="532"/>
      <c r="AD1" t="s">
        <v>541</v>
      </c>
      <c r="AN1" t="s">
        <v>1337</v>
      </c>
      <c r="AO1">
        <v>130817</v>
      </c>
      <c r="AP1" t="s">
        <v>1345</v>
      </c>
      <c r="AQ1" t="b">
        <v>1</v>
      </c>
    </row>
    <row r="2" spans="1:43" x14ac:dyDescent="0.25">
      <c r="B2" s="73">
        <v>18</v>
      </c>
      <c r="C2" s="72">
        <v>19</v>
      </c>
      <c r="I2" t="s">
        <v>210</v>
      </c>
      <c r="K2" s="73">
        <v>4</v>
      </c>
      <c r="L2" s="72">
        <v>5</v>
      </c>
      <c r="S2" t="s">
        <v>210</v>
      </c>
      <c r="AD2">
        <v>9</v>
      </c>
      <c r="AN2" t="s">
        <v>1338</v>
      </c>
      <c r="AO2">
        <v>16777132</v>
      </c>
      <c r="AP2" t="s">
        <v>1346</v>
      </c>
      <c r="AQ2" t="b">
        <v>0</v>
      </c>
    </row>
    <row r="3" spans="1:43" x14ac:dyDescent="0.25">
      <c r="A3" t="b">
        <v>1</v>
      </c>
      <c r="B3" s="73">
        <v>4</v>
      </c>
      <c r="C3" s="72">
        <v>5</v>
      </c>
      <c r="I3" t="s">
        <v>555</v>
      </c>
      <c r="K3" s="73">
        <v>5</v>
      </c>
      <c r="L3" s="72">
        <v>6</v>
      </c>
      <c r="S3" t="s">
        <v>555</v>
      </c>
      <c r="AN3" t="s">
        <v>1339</v>
      </c>
      <c r="AO3">
        <v>16448250</v>
      </c>
      <c r="AP3" t="s">
        <v>1347</v>
      </c>
      <c r="AQ3" t="b">
        <v>0</v>
      </c>
    </row>
    <row r="4" spans="1:43" x14ac:dyDescent="0.25">
      <c r="A4" t="b">
        <v>0</v>
      </c>
      <c r="B4" s="73">
        <v>6</v>
      </c>
      <c r="C4" s="72">
        <v>7</v>
      </c>
      <c r="I4" t="s">
        <v>556</v>
      </c>
      <c r="K4" s="73"/>
      <c r="L4" s="72"/>
      <c r="AN4" t="s">
        <v>1340</v>
      </c>
      <c r="AO4">
        <v>16751818</v>
      </c>
      <c r="AP4" t="s">
        <v>1348</v>
      </c>
      <c r="AQ4" t="b">
        <v>0</v>
      </c>
    </row>
    <row r="5" spans="1:43" x14ac:dyDescent="0.25">
      <c r="A5" t="b">
        <v>1</v>
      </c>
      <c r="B5">
        <v>7</v>
      </c>
      <c r="C5">
        <v>8</v>
      </c>
      <c r="I5" t="s">
        <v>546</v>
      </c>
      <c r="K5">
        <v>6</v>
      </c>
      <c r="L5">
        <v>7</v>
      </c>
      <c r="S5" t="s">
        <v>546</v>
      </c>
      <c r="AN5" t="s">
        <v>1341</v>
      </c>
      <c r="AO5">
        <v>16754688</v>
      </c>
      <c r="AP5" t="s">
        <v>1349</v>
      </c>
      <c r="AQ5" t="b">
        <v>1</v>
      </c>
    </row>
    <row r="6" spans="1:43" x14ac:dyDescent="0.25">
      <c r="A6" t="b">
        <v>1</v>
      </c>
      <c r="B6">
        <v>8</v>
      </c>
      <c r="C6">
        <v>9</v>
      </c>
      <c r="I6" t="s">
        <v>547</v>
      </c>
      <c r="K6">
        <v>7</v>
      </c>
      <c r="L6">
        <v>8</v>
      </c>
      <c r="S6" t="s">
        <v>547</v>
      </c>
      <c r="AN6" t="s">
        <v>1342</v>
      </c>
      <c r="AO6">
        <v>57855</v>
      </c>
      <c r="AP6" t="s">
        <v>1350</v>
      </c>
      <c r="AQ6" t="b">
        <v>1</v>
      </c>
    </row>
    <row r="7" spans="1:43" x14ac:dyDescent="0.25">
      <c r="A7" t="b">
        <v>1</v>
      </c>
      <c r="B7">
        <v>9</v>
      </c>
      <c r="C7">
        <v>10</v>
      </c>
      <c r="I7" t="s">
        <v>548</v>
      </c>
      <c r="K7">
        <v>8</v>
      </c>
      <c r="L7">
        <v>9</v>
      </c>
      <c r="S7" t="s">
        <v>548</v>
      </c>
      <c r="AN7" t="s">
        <v>1343</v>
      </c>
      <c r="AO7">
        <v>16711935</v>
      </c>
      <c r="AP7" t="s">
        <v>1351</v>
      </c>
      <c r="AQ7" t="b">
        <v>0</v>
      </c>
    </row>
    <row r="8" spans="1:43" x14ac:dyDescent="0.25">
      <c r="A8" t="b">
        <v>1</v>
      </c>
      <c r="B8">
        <v>10</v>
      </c>
      <c r="C8">
        <v>11</v>
      </c>
      <c r="I8" t="s">
        <v>549</v>
      </c>
      <c r="K8">
        <v>9</v>
      </c>
      <c r="L8">
        <v>10</v>
      </c>
      <c r="S8" t="s">
        <v>549</v>
      </c>
      <c r="AN8" t="s">
        <v>1344</v>
      </c>
      <c r="AO8">
        <v>65791</v>
      </c>
      <c r="AP8" t="s">
        <v>1352</v>
      </c>
      <c r="AQ8" t="b">
        <v>0</v>
      </c>
    </row>
    <row r="9" spans="1:43" x14ac:dyDescent="0.25">
      <c r="A9" t="b">
        <v>1</v>
      </c>
      <c r="B9">
        <v>11</v>
      </c>
      <c r="C9">
        <v>12</v>
      </c>
      <c r="I9" t="s">
        <v>550</v>
      </c>
      <c r="K9">
        <v>10</v>
      </c>
      <c r="L9">
        <v>11</v>
      </c>
      <c r="S9" t="s">
        <v>550</v>
      </c>
      <c r="AN9" t="s">
        <v>1353</v>
      </c>
      <c r="AO9">
        <v>16776961</v>
      </c>
      <c r="AP9" t="s">
        <v>1354</v>
      </c>
      <c r="AQ9" t="b">
        <v>0</v>
      </c>
    </row>
    <row r="10" spans="1:43" x14ac:dyDescent="0.25">
      <c r="A10" t="b">
        <v>0</v>
      </c>
      <c r="B10">
        <v>12</v>
      </c>
      <c r="C10">
        <v>13</v>
      </c>
      <c r="I10" t="s">
        <v>557</v>
      </c>
      <c r="K10">
        <v>11</v>
      </c>
      <c r="L10">
        <v>12</v>
      </c>
      <c r="S10" t="s">
        <v>557</v>
      </c>
    </row>
    <row r="11" spans="1:43" x14ac:dyDescent="0.25">
      <c r="B11">
        <v>2</v>
      </c>
    </row>
    <row r="20" spans="1:50" x14ac:dyDescent="0.25">
      <c r="A20">
        <f>COLUMN()</f>
        <v>1</v>
      </c>
      <c r="B20">
        <f>COLUMN()</f>
        <v>2</v>
      </c>
      <c r="C20">
        <f>COLUMN()</f>
        <v>3</v>
      </c>
      <c r="D20">
        <f>COLUMN()</f>
        <v>4</v>
      </c>
      <c r="E20">
        <f>COLUMN()</f>
        <v>5</v>
      </c>
      <c r="F20">
        <f>COLUMN()</f>
        <v>6</v>
      </c>
      <c r="G20">
        <f>COLUMN()</f>
        <v>7</v>
      </c>
      <c r="H20">
        <f>COLUMN()</f>
        <v>8</v>
      </c>
      <c r="I20">
        <f>COLUMN()</f>
        <v>9</v>
      </c>
      <c r="J20">
        <f>COLUMN()</f>
        <v>10</v>
      </c>
      <c r="K20">
        <f>COLUMN()</f>
        <v>11</v>
      </c>
      <c r="L20">
        <f>COLUMN()</f>
        <v>12</v>
      </c>
      <c r="M20">
        <f>COLUMN()</f>
        <v>13</v>
      </c>
      <c r="N20">
        <f>COLUMN()</f>
        <v>14</v>
      </c>
      <c r="O20">
        <f>COLUMN()</f>
        <v>15</v>
      </c>
      <c r="P20">
        <f>COLUMN()</f>
        <v>16</v>
      </c>
      <c r="Q20">
        <f>COLUMN()</f>
        <v>17</v>
      </c>
      <c r="R20">
        <f>COLUMN()</f>
        <v>18</v>
      </c>
      <c r="S20">
        <f>COLUMN()</f>
        <v>19</v>
      </c>
      <c r="T20">
        <f>COLUMN()</f>
        <v>20</v>
      </c>
      <c r="U20">
        <f>COLUMN()</f>
        <v>21</v>
      </c>
      <c r="V20">
        <f>COLUMN()</f>
        <v>22</v>
      </c>
      <c r="W20">
        <f>COLUMN()</f>
        <v>23</v>
      </c>
      <c r="X20">
        <f>COLUMN()</f>
        <v>24</v>
      </c>
      <c r="Y20">
        <f>COLUMN()</f>
        <v>25</v>
      </c>
      <c r="Z20">
        <f>COLUMN()</f>
        <v>26</v>
      </c>
      <c r="AA20">
        <f>COLUMN()</f>
        <v>27</v>
      </c>
      <c r="AB20">
        <f>COLUMN()</f>
        <v>28</v>
      </c>
      <c r="AC20">
        <f>COLUMN()</f>
        <v>29</v>
      </c>
      <c r="AD20">
        <f>COLUMN()</f>
        <v>30</v>
      </c>
      <c r="AE20">
        <f>COLUMN()</f>
        <v>31</v>
      </c>
      <c r="AF20">
        <f>COLUMN()</f>
        <v>32</v>
      </c>
      <c r="AG20">
        <f>COLUMN()</f>
        <v>33</v>
      </c>
      <c r="AH20">
        <f>COLUMN()</f>
        <v>34</v>
      </c>
      <c r="AI20">
        <f>COLUMN()</f>
        <v>35</v>
      </c>
      <c r="AJ20">
        <f>COLUMN()</f>
        <v>36</v>
      </c>
      <c r="AK20">
        <f>COLUMN()</f>
        <v>37</v>
      </c>
      <c r="AL20">
        <f>COLUMN()</f>
        <v>38</v>
      </c>
      <c r="AM20">
        <f>COLUMN()</f>
        <v>39</v>
      </c>
      <c r="AN20">
        <f>COLUMN()</f>
        <v>40</v>
      </c>
      <c r="AO20">
        <f>COLUMN()</f>
        <v>41</v>
      </c>
      <c r="AP20">
        <f>COLUMN()</f>
        <v>42</v>
      </c>
      <c r="AQ20">
        <f>COLUMN()</f>
        <v>43</v>
      </c>
      <c r="AR20">
        <f>COLUMN()</f>
        <v>44</v>
      </c>
      <c r="AS20">
        <f>COLUMN()</f>
        <v>45</v>
      </c>
      <c r="AT20">
        <f>COLUMN()</f>
        <v>46</v>
      </c>
      <c r="AU20">
        <f>COLUMN()</f>
        <v>47</v>
      </c>
      <c r="AV20">
        <f>COLUMN()</f>
        <v>48</v>
      </c>
      <c r="AW20">
        <f>COLUMN()</f>
        <v>49</v>
      </c>
      <c r="AX20">
        <f>COLUMN()</f>
        <v>50</v>
      </c>
    </row>
    <row r="100" spans="50:50" x14ac:dyDescent="0.25">
      <c r="AX100" t="s">
        <v>1495</v>
      </c>
    </row>
  </sheetData>
  <mergeCells count="2">
    <mergeCell ref="B1:I1"/>
    <mergeCell ref="K1:S1"/>
  </mergeCells>
  <phoneticPr fontId="18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7">
    <tabColor rgb="FFFF0000"/>
  </sheetPr>
  <dimension ref="A1:BL52"/>
  <sheetViews>
    <sheetView topLeftCell="AF7" workbookViewId="0">
      <selection activeCell="AJ25" sqref="AJ25"/>
    </sheetView>
  </sheetViews>
  <sheetFormatPr baseColWidth="10" defaultRowHeight="15" x14ac:dyDescent="0.25"/>
  <cols>
    <col min="1" max="1" width="22.28515625" bestFit="1" customWidth="1"/>
    <col min="2" max="10" width="8.5703125" bestFit="1" customWidth="1"/>
    <col min="11" max="25" width="9.5703125" bestFit="1" customWidth="1"/>
    <col min="26" max="26" width="11.85546875" bestFit="1" customWidth="1"/>
    <col min="27" max="29" width="9.5703125" bestFit="1" customWidth="1"/>
    <col min="30" max="30" width="38.28515625" bestFit="1" customWidth="1"/>
    <col min="31" max="31" width="12.42578125" bestFit="1" customWidth="1"/>
    <col min="32" max="32" width="29.42578125" bestFit="1" customWidth="1"/>
    <col min="33" max="33" width="25.5703125" bestFit="1" customWidth="1"/>
    <col min="34" max="34" width="20" bestFit="1" customWidth="1"/>
    <col min="35" max="35" width="18.42578125" bestFit="1" customWidth="1"/>
    <col min="36" max="36" width="26" bestFit="1" customWidth="1"/>
    <col min="37" max="37" width="22.42578125" bestFit="1" customWidth="1"/>
    <col min="38" max="38" width="31.7109375" bestFit="1" customWidth="1"/>
    <col min="39" max="39" width="20" bestFit="1" customWidth="1"/>
    <col min="40" max="40" width="24.28515625" bestFit="1" customWidth="1"/>
    <col min="41" max="41" width="27.7109375" bestFit="1" customWidth="1"/>
    <col min="42" max="42" width="13.28515625" bestFit="1" customWidth="1"/>
    <col min="43" max="43" width="11.140625" bestFit="1" customWidth="1"/>
    <col min="44" max="44" width="15" bestFit="1" customWidth="1"/>
    <col min="45" max="45" width="17.42578125" bestFit="1" customWidth="1"/>
    <col min="46" max="46" width="15.42578125" bestFit="1" customWidth="1"/>
    <col min="47" max="47" width="27.140625" bestFit="1" customWidth="1"/>
    <col min="48" max="48" width="20.140625" bestFit="1" customWidth="1"/>
    <col min="49" max="49" width="21.42578125" bestFit="1" customWidth="1"/>
    <col min="50" max="50" width="33.140625" bestFit="1" customWidth="1"/>
    <col min="51" max="51" width="10.85546875" bestFit="1" customWidth="1"/>
    <col min="52" max="52" width="33" bestFit="1" customWidth="1"/>
    <col min="53" max="53" width="14.42578125" bestFit="1" customWidth="1"/>
    <col min="54" max="54" width="19.5703125" bestFit="1" customWidth="1"/>
    <col min="55" max="55" width="25.42578125" bestFit="1" customWidth="1"/>
    <col min="56" max="56" width="16.42578125" bestFit="1" customWidth="1"/>
    <col min="57" max="57" width="25.28515625" bestFit="1" customWidth="1"/>
    <col min="58" max="58" width="15" bestFit="1" customWidth="1"/>
    <col min="59" max="59" width="21.42578125" bestFit="1" customWidth="1"/>
    <col min="60" max="60" width="15.28515625" bestFit="1" customWidth="1"/>
    <col min="61" max="61" width="19.7109375" bestFit="1" customWidth="1"/>
    <col min="62" max="62" width="16.140625" bestFit="1" customWidth="1"/>
    <col min="63" max="63" width="33.140625" bestFit="1" customWidth="1"/>
    <col min="64" max="64" width="14" bestFit="1" customWidth="1"/>
  </cols>
  <sheetData>
    <row r="1" spans="1:64" s="26" customFormat="1" x14ac:dyDescent="0.25">
      <c r="A1" s="26" t="s">
        <v>1779</v>
      </c>
      <c r="B1" s="26" t="s">
        <v>1498</v>
      </c>
      <c r="C1" s="26" t="s">
        <v>1499</v>
      </c>
      <c r="D1" s="26" t="s">
        <v>1500</v>
      </c>
      <c r="E1" s="26" t="s">
        <v>1501</v>
      </c>
      <c r="F1" s="26" t="s">
        <v>1502</v>
      </c>
      <c r="G1" s="26" t="s">
        <v>1503</v>
      </c>
      <c r="H1" s="26" t="s">
        <v>1504</v>
      </c>
      <c r="I1" s="26" t="s">
        <v>1505</v>
      </c>
      <c r="J1" s="26" t="s">
        <v>1506</v>
      </c>
      <c r="K1" s="26" t="s">
        <v>1507</v>
      </c>
      <c r="L1" s="26" t="s">
        <v>1508</v>
      </c>
      <c r="M1" s="26" t="s">
        <v>1509</v>
      </c>
      <c r="N1" s="26" t="s">
        <v>1510</v>
      </c>
      <c r="O1" s="26" t="s">
        <v>1511</v>
      </c>
      <c r="P1" s="26" t="s">
        <v>1512</v>
      </c>
      <c r="Q1" s="26" t="s">
        <v>1513</v>
      </c>
      <c r="R1" s="26" t="s">
        <v>1514</v>
      </c>
      <c r="S1" s="26" t="s">
        <v>1515</v>
      </c>
      <c r="T1" s="26" t="s">
        <v>1516</v>
      </c>
      <c r="U1" s="26" t="s">
        <v>1517</v>
      </c>
      <c r="V1" s="26" t="s">
        <v>1518</v>
      </c>
      <c r="W1" s="26" t="s">
        <v>1519</v>
      </c>
      <c r="X1" s="26" t="s">
        <v>1520</v>
      </c>
      <c r="Y1" s="26" t="s">
        <v>1521</v>
      </c>
      <c r="Z1" s="26" t="s">
        <v>1522</v>
      </c>
      <c r="AA1" s="26" t="s">
        <v>1525</v>
      </c>
      <c r="AB1" s="26" t="s">
        <v>1526</v>
      </c>
      <c r="AC1" s="26" t="s">
        <v>1527</v>
      </c>
      <c r="AD1" s="26" t="s">
        <v>1528</v>
      </c>
      <c r="AE1" s="26" t="s">
        <v>1580</v>
      </c>
      <c r="AF1" s="26" t="s">
        <v>1582</v>
      </c>
      <c r="AG1" s="26" t="s">
        <v>1605</v>
      </c>
      <c r="AH1" s="26" t="s">
        <v>1622</v>
      </c>
      <c r="AI1" s="26" t="s">
        <v>1624</v>
      </c>
      <c r="AJ1" s="26" t="s">
        <v>1626</v>
      </c>
      <c r="AK1" s="26" t="s">
        <v>1630</v>
      </c>
      <c r="AL1" s="26" t="s">
        <v>1634</v>
      </c>
      <c r="AM1" s="26" t="s">
        <v>1646</v>
      </c>
      <c r="AN1" s="26" t="s">
        <v>1650</v>
      </c>
      <c r="AO1" s="26" t="s">
        <v>1654</v>
      </c>
      <c r="AP1" s="26" t="s">
        <v>1659</v>
      </c>
      <c r="AQ1" s="26" t="s">
        <v>1660</v>
      </c>
      <c r="AR1" s="26" t="s">
        <v>1342</v>
      </c>
      <c r="AS1" s="26" t="s">
        <v>1664</v>
      </c>
      <c r="AT1" s="26" t="s">
        <v>1667</v>
      </c>
      <c r="AU1" s="26" t="s">
        <v>1669</v>
      </c>
      <c r="AV1" s="26" t="s">
        <v>1673</v>
      </c>
      <c r="AW1" s="26" t="s">
        <v>1676</v>
      </c>
      <c r="AX1" s="26" t="s">
        <v>1683</v>
      </c>
      <c r="AY1" s="26" t="s">
        <v>1687</v>
      </c>
      <c r="AZ1" s="26" t="s">
        <v>1689</v>
      </c>
      <c r="BA1" s="26" t="s">
        <v>1711</v>
      </c>
      <c r="BB1" s="26" t="s">
        <v>1714</v>
      </c>
      <c r="BC1" s="26" t="s">
        <v>1716</v>
      </c>
      <c r="BD1" s="26" t="s">
        <v>1729</v>
      </c>
      <c r="BE1" s="26" t="s">
        <v>1732</v>
      </c>
      <c r="BF1" s="26" t="s">
        <v>1735</v>
      </c>
      <c r="BG1" s="26" t="s">
        <v>1737</v>
      </c>
      <c r="BH1" s="26" t="s">
        <v>1740</v>
      </c>
      <c r="BI1" s="26" t="s">
        <v>1743</v>
      </c>
      <c r="BJ1" s="26" t="s">
        <v>1745</v>
      </c>
      <c r="BK1" s="26" t="s">
        <v>1748</v>
      </c>
      <c r="BL1" s="26" t="s">
        <v>1778</v>
      </c>
    </row>
    <row r="2" spans="1:64" x14ac:dyDescent="0.25">
      <c r="A2" t="s">
        <v>1496</v>
      </c>
      <c r="Z2" t="s">
        <v>1523</v>
      </c>
      <c r="AD2" t="s">
        <v>1529</v>
      </c>
      <c r="AE2" t="s">
        <v>1581</v>
      </c>
      <c r="AF2" t="s">
        <v>1583</v>
      </c>
      <c r="AG2" t="s">
        <v>1606</v>
      </c>
      <c r="AH2" t="s">
        <v>1586</v>
      </c>
      <c r="AI2" t="s">
        <v>1586</v>
      </c>
      <c r="AJ2" t="s">
        <v>1627</v>
      </c>
      <c r="AK2" t="s">
        <v>1586</v>
      </c>
      <c r="AL2" t="s">
        <v>1635</v>
      </c>
      <c r="AM2" t="s">
        <v>1647</v>
      </c>
      <c r="AN2" t="s">
        <v>1651</v>
      </c>
      <c r="AO2" t="s">
        <v>1586</v>
      </c>
      <c r="AQ2" t="s">
        <v>1661</v>
      </c>
      <c r="AR2" t="s">
        <v>1662</v>
      </c>
      <c r="AS2" t="s">
        <v>1665</v>
      </c>
      <c r="AT2" t="s">
        <v>1668</v>
      </c>
      <c r="AU2" t="s">
        <v>1670</v>
      </c>
      <c r="AV2" t="s">
        <v>1674</v>
      </c>
      <c r="AW2" t="s">
        <v>1677</v>
      </c>
      <c r="AX2" t="s">
        <v>1684</v>
      </c>
      <c r="AY2" t="s">
        <v>1688</v>
      </c>
      <c r="AZ2" t="s">
        <v>1690</v>
      </c>
      <c r="BA2" t="s">
        <v>1712</v>
      </c>
      <c r="BB2" t="s">
        <v>1715</v>
      </c>
      <c r="BC2" t="s">
        <v>1717</v>
      </c>
      <c r="BD2" t="s">
        <v>1730</v>
      </c>
      <c r="BE2" t="s">
        <v>1733</v>
      </c>
      <c r="BF2" t="s">
        <v>1736</v>
      </c>
      <c r="BG2" t="s">
        <v>1738</v>
      </c>
      <c r="BH2" t="s">
        <v>1741</v>
      </c>
      <c r="BI2" t="s">
        <v>1744</v>
      </c>
      <c r="BJ2" t="s">
        <v>1746</v>
      </c>
      <c r="BK2" t="s">
        <v>1749</v>
      </c>
    </row>
    <row r="3" spans="1:64" x14ac:dyDescent="0.25">
      <c r="A3" t="s">
        <v>1497</v>
      </c>
      <c r="Z3" t="s">
        <v>1524</v>
      </c>
      <c r="AD3" t="s">
        <v>1530</v>
      </c>
      <c r="AF3" t="s">
        <v>1584</v>
      </c>
      <c r="AG3" t="s">
        <v>1607</v>
      </c>
      <c r="AH3" t="s">
        <v>1623</v>
      </c>
      <c r="AI3" t="s">
        <v>1625</v>
      </c>
      <c r="AJ3" t="s">
        <v>1586</v>
      </c>
      <c r="AK3" t="s">
        <v>1588</v>
      </c>
      <c r="AL3" t="s">
        <v>1636</v>
      </c>
      <c r="AM3" t="s">
        <v>1648</v>
      </c>
      <c r="AN3" t="s">
        <v>1652</v>
      </c>
      <c r="AO3" t="s">
        <v>1655</v>
      </c>
      <c r="AR3" t="s">
        <v>1663</v>
      </c>
      <c r="AS3" t="s">
        <v>1666</v>
      </c>
      <c r="AU3" t="s">
        <v>1671</v>
      </c>
      <c r="AV3" t="s">
        <v>1675</v>
      </c>
      <c r="AW3" t="s">
        <v>1678</v>
      </c>
      <c r="AX3" t="s">
        <v>1685</v>
      </c>
      <c r="AZ3" t="s">
        <v>1691</v>
      </c>
      <c r="BA3" t="s">
        <v>1713</v>
      </c>
      <c r="BC3" t="s">
        <v>1718</v>
      </c>
      <c r="BD3" t="s">
        <v>1731</v>
      </c>
      <c r="BE3" t="s">
        <v>1734</v>
      </c>
      <c r="BG3" t="s">
        <v>1739</v>
      </c>
      <c r="BH3" t="s">
        <v>1742</v>
      </c>
      <c r="BJ3" t="s">
        <v>1747</v>
      </c>
      <c r="BK3" t="s">
        <v>1750</v>
      </c>
    </row>
    <row r="4" spans="1:64" x14ac:dyDescent="0.25">
      <c r="AD4" t="s">
        <v>1531</v>
      </c>
      <c r="AF4" t="s">
        <v>1585</v>
      </c>
      <c r="AG4" t="s">
        <v>1608</v>
      </c>
      <c r="AH4" t="s">
        <v>1604</v>
      </c>
      <c r="AI4" t="s">
        <v>1604</v>
      </c>
      <c r="AJ4" t="s">
        <v>1628</v>
      </c>
      <c r="AK4" t="s">
        <v>1631</v>
      </c>
      <c r="AL4" t="s">
        <v>1637</v>
      </c>
      <c r="AM4" t="s">
        <v>1586</v>
      </c>
      <c r="AN4" t="s">
        <v>1653</v>
      </c>
      <c r="AO4" t="s">
        <v>1656</v>
      </c>
      <c r="AU4" t="s">
        <v>1672</v>
      </c>
      <c r="AW4" t="s">
        <v>1679</v>
      </c>
      <c r="AX4" t="s">
        <v>1686</v>
      </c>
      <c r="AZ4" t="s">
        <v>1692</v>
      </c>
      <c r="BC4" t="s">
        <v>1719</v>
      </c>
      <c r="BJ4" t="s">
        <v>1643</v>
      </c>
      <c r="BK4" t="s">
        <v>1751</v>
      </c>
    </row>
    <row r="5" spans="1:64" x14ac:dyDescent="0.25">
      <c r="AD5" t="s">
        <v>1532</v>
      </c>
      <c r="AF5" t="s">
        <v>1586</v>
      </c>
      <c r="AG5" t="s">
        <v>1609</v>
      </c>
      <c r="AJ5" t="s">
        <v>1629</v>
      </c>
      <c r="AK5" t="s">
        <v>1590</v>
      </c>
      <c r="AL5" t="s">
        <v>1586</v>
      </c>
      <c r="AM5" t="s">
        <v>1649</v>
      </c>
      <c r="AN5" t="s">
        <v>1597</v>
      </c>
      <c r="AO5" t="s">
        <v>1657</v>
      </c>
      <c r="AW5" t="s">
        <v>1680</v>
      </c>
      <c r="AZ5" t="s">
        <v>1693</v>
      </c>
      <c r="BC5" t="s">
        <v>1720</v>
      </c>
      <c r="BK5" t="s">
        <v>1752</v>
      </c>
    </row>
    <row r="6" spans="1:64" x14ac:dyDescent="0.25">
      <c r="AD6" t="s">
        <v>1533</v>
      </c>
      <c r="AF6" t="s">
        <v>1587</v>
      </c>
      <c r="AG6" t="s">
        <v>1588</v>
      </c>
      <c r="AJ6" t="s">
        <v>1604</v>
      </c>
      <c r="AK6" t="s">
        <v>1592</v>
      </c>
      <c r="AL6" t="s">
        <v>1590</v>
      </c>
      <c r="AM6" t="s">
        <v>1604</v>
      </c>
      <c r="AN6" t="s">
        <v>1604</v>
      </c>
      <c r="AO6" t="s">
        <v>1658</v>
      </c>
      <c r="AW6" t="s">
        <v>1681</v>
      </c>
      <c r="AZ6" t="s">
        <v>1694</v>
      </c>
      <c r="BC6" t="s">
        <v>1721</v>
      </c>
      <c r="BK6" t="s">
        <v>1753</v>
      </c>
    </row>
    <row r="7" spans="1:64" x14ac:dyDescent="0.25">
      <c r="AD7" t="s">
        <v>1534</v>
      </c>
      <c r="AF7" t="s">
        <v>1588</v>
      </c>
      <c r="AG7" t="s">
        <v>1610</v>
      </c>
      <c r="AK7" t="s">
        <v>1632</v>
      </c>
      <c r="AL7" t="s">
        <v>1638</v>
      </c>
      <c r="AO7" t="s">
        <v>1604</v>
      </c>
      <c r="AW7" t="s">
        <v>1682</v>
      </c>
      <c r="AZ7" t="s">
        <v>1695</v>
      </c>
      <c r="BC7" t="s">
        <v>1722</v>
      </c>
      <c r="BK7" t="s">
        <v>1754</v>
      </c>
    </row>
    <row r="8" spans="1:64" x14ac:dyDescent="0.25">
      <c r="AD8" t="s">
        <v>1535</v>
      </c>
      <c r="AF8" t="s">
        <v>1589</v>
      </c>
      <c r="AG8" t="s">
        <v>1611</v>
      </c>
      <c r="AK8" t="s">
        <v>1633</v>
      </c>
      <c r="AL8" t="s">
        <v>1639</v>
      </c>
      <c r="AZ8" t="s">
        <v>1696</v>
      </c>
      <c r="BC8" t="s">
        <v>1665</v>
      </c>
      <c r="BK8" t="s">
        <v>1755</v>
      </c>
    </row>
    <row r="9" spans="1:64" x14ac:dyDescent="0.25">
      <c r="AD9" t="s">
        <v>1536</v>
      </c>
      <c r="AF9" t="s">
        <v>1590</v>
      </c>
      <c r="AG9" t="s">
        <v>1612</v>
      </c>
      <c r="AK9" t="s">
        <v>1604</v>
      </c>
      <c r="AL9" t="s">
        <v>1640</v>
      </c>
      <c r="AZ9" t="s">
        <v>1697</v>
      </c>
      <c r="BC9" t="s">
        <v>1723</v>
      </c>
      <c r="BK9" t="s">
        <v>1756</v>
      </c>
    </row>
    <row r="10" spans="1:64" x14ac:dyDescent="0.25">
      <c r="AD10" t="s">
        <v>1537</v>
      </c>
      <c r="AF10" t="s">
        <v>1591</v>
      </c>
      <c r="AG10" t="s">
        <v>1613</v>
      </c>
      <c r="AL10" t="s">
        <v>1641</v>
      </c>
      <c r="AZ10" t="s">
        <v>1698</v>
      </c>
      <c r="BC10" t="s">
        <v>1724</v>
      </c>
      <c r="BK10" t="s">
        <v>1586</v>
      </c>
    </row>
    <row r="11" spans="1:64" x14ac:dyDescent="0.25">
      <c r="AD11" t="s">
        <v>1538</v>
      </c>
      <c r="AF11" t="s">
        <v>1592</v>
      </c>
      <c r="AG11" t="s">
        <v>1614</v>
      </c>
      <c r="AL11" t="s">
        <v>1642</v>
      </c>
      <c r="AZ11" t="s">
        <v>1699</v>
      </c>
      <c r="BC11" t="s">
        <v>1725</v>
      </c>
      <c r="BK11" t="s">
        <v>1757</v>
      </c>
    </row>
    <row r="12" spans="1:64" x14ac:dyDescent="0.25">
      <c r="AD12" t="s">
        <v>1539</v>
      </c>
      <c r="AF12" t="s">
        <v>1593</v>
      </c>
      <c r="AG12" t="s">
        <v>1615</v>
      </c>
      <c r="AL12" t="s">
        <v>1604</v>
      </c>
      <c r="AZ12" t="s">
        <v>1700</v>
      </c>
      <c r="BC12" t="s">
        <v>1726</v>
      </c>
      <c r="BK12" t="s">
        <v>1758</v>
      </c>
    </row>
    <row r="13" spans="1:64" x14ac:dyDescent="0.25">
      <c r="AD13" t="s">
        <v>1540</v>
      </c>
      <c r="AF13" t="s">
        <v>1594</v>
      </c>
      <c r="AG13" t="s">
        <v>1616</v>
      </c>
      <c r="AL13" t="s">
        <v>1643</v>
      </c>
      <c r="AZ13" t="s">
        <v>1701</v>
      </c>
      <c r="BC13" t="s">
        <v>1727</v>
      </c>
      <c r="BK13" t="s">
        <v>1759</v>
      </c>
    </row>
    <row r="14" spans="1:64" x14ac:dyDescent="0.25">
      <c r="AD14" t="s">
        <v>1541</v>
      </c>
      <c r="AF14" t="s">
        <v>1595</v>
      </c>
      <c r="AG14" t="s">
        <v>1617</v>
      </c>
      <c r="AL14" t="s">
        <v>1644</v>
      </c>
      <c r="AZ14" t="s">
        <v>1702</v>
      </c>
      <c r="BC14" t="s">
        <v>1728</v>
      </c>
      <c r="BK14" t="s">
        <v>1760</v>
      </c>
    </row>
    <row r="15" spans="1:64" x14ac:dyDescent="0.25">
      <c r="AD15" t="s">
        <v>1542</v>
      </c>
      <c r="AF15" t="s">
        <v>1596</v>
      </c>
      <c r="AG15" t="s">
        <v>1618</v>
      </c>
      <c r="AL15" t="s">
        <v>1645</v>
      </c>
      <c r="AZ15" t="s">
        <v>1703</v>
      </c>
      <c r="BK15" t="s">
        <v>1761</v>
      </c>
    </row>
    <row r="16" spans="1:64" x14ac:dyDescent="0.25">
      <c r="AD16" t="s">
        <v>1543</v>
      </c>
      <c r="AF16" t="s">
        <v>1597</v>
      </c>
      <c r="AG16" t="s">
        <v>1619</v>
      </c>
      <c r="AZ16" t="s">
        <v>1704</v>
      </c>
      <c r="BK16" t="s">
        <v>1762</v>
      </c>
    </row>
    <row r="17" spans="30:63" x14ac:dyDescent="0.25">
      <c r="AD17" t="s">
        <v>1544</v>
      </c>
      <c r="AF17" t="s">
        <v>1598</v>
      </c>
      <c r="AG17" t="s">
        <v>1620</v>
      </c>
      <c r="AZ17" t="s">
        <v>1705</v>
      </c>
      <c r="BK17" t="s">
        <v>1763</v>
      </c>
    </row>
    <row r="18" spans="30:63" x14ac:dyDescent="0.25">
      <c r="AD18" t="s">
        <v>1545</v>
      </c>
      <c r="AF18" t="s">
        <v>1599</v>
      </c>
      <c r="AG18" t="s">
        <v>1621</v>
      </c>
      <c r="AZ18" t="s">
        <v>1706</v>
      </c>
      <c r="BK18" t="s">
        <v>1764</v>
      </c>
    </row>
    <row r="19" spans="30:63" x14ac:dyDescent="0.25">
      <c r="AD19" t="s">
        <v>1546</v>
      </c>
      <c r="AF19" t="s">
        <v>1600</v>
      </c>
      <c r="AG19" t="s">
        <v>1604</v>
      </c>
      <c r="AZ19" t="s">
        <v>1707</v>
      </c>
      <c r="BK19" t="s">
        <v>1765</v>
      </c>
    </row>
    <row r="20" spans="30:63" x14ac:dyDescent="0.25">
      <c r="AD20" t="s">
        <v>1547</v>
      </c>
      <c r="AF20" t="s">
        <v>1601</v>
      </c>
      <c r="AG20" t="s">
        <v>1586</v>
      </c>
      <c r="AZ20" t="s">
        <v>1708</v>
      </c>
      <c r="BK20" t="s">
        <v>1766</v>
      </c>
    </row>
    <row r="21" spans="30:63" x14ac:dyDescent="0.25">
      <c r="AD21" t="s">
        <v>1548</v>
      </c>
      <c r="AF21" t="s">
        <v>1602</v>
      </c>
      <c r="AZ21" t="s">
        <v>1709</v>
      </c>
      <c r="BK21" t="s">
        <v>1767</v>
      </c>
    </row>
    <row r="22" spans="30:63" x14ac:dyDescent="0.25">
      <c r="AD22" t="s">
        <v>1549</v>
      </c>
      <c r="AF22" t="s">
        <v>1603</v>
      </c>
      <c r="AZ22" t="s">
        <v>1710</v>
      </c>
      <c r="BK22" t="s">
        <v>1768</v>
      </c>
    </row>
    <row r="23" spans="30:63" x14ac:dyDescent="0.25">
      <c r="AD23" t="s">
        <v>1550</v>
      </c>
      <c r="AF23" t="s">
        <v>1604</v>
      </c>
      <c r="BK23" t="s">
        <v>1769</v>
      </c>
    </row>
    <row r="24" spans="30:63" x14ac:dyDescent="0.25">
      <c r="AD24" t="s">
        <v>1551</v>
      </c>
      <c r="BK24" t="s">
        <v>1770</v>
      </c>
    </row>
    <row r="25" spans="30:63" x14ac:dyDescent="0.25">
      <c r="AD25" t="s">
        <v>1552</v>
      </c>
      <c r="BK25" t="s">
        <v>1771</v>
      </c>
    </row>
    <row r="26" spans="30:63" x14ac:dyDescent="0.25">
      <c r="AD26" t="s">
        <v>1553</v>
      </c>
      <c r="BK26" t="s">
        <v>1772</v>
      </c>
    </row>
    <row r="27" spans="30:63" x14ac:dyDescent="0.25">
      <c r="AD27" t="s">
        <v>1554</v>
      </c>
      <c r="BK27" t="s">
        <v>1773</v>
      </c>
    </row>
    <row r="28" spans="30:63" x14ac:dyDescent="0.25">
      <c r="AD28" t="s">
        <v>1555</v>
      </c>
      <c r="BK28" t="s">
        <v>1774</v>
      </c>
    </row>
    <row r="29" spans="30:63" x14ac:dyDescent="0.25">
      <c r="AD29" t="s">
        <v>1556</v>
      </c>
      <c r="BK29" t="s">
        <v>1775</v>
      </c>
    </row>
    <row r="30" spans="30:63" x14ac:dyDescent="0.25">
      <c r="AD30" t="s">
        <v>1557</v>
      </c>
      <c r="BK30" t="s">
        <v>1776</v>
      </c>
    </row>
    <row r="31" spans="30:63" x14ac:dyDescent="0.25">
      <c r="AD31" t="s">
        <v>1558</v>
      </c>
      <c r="BK31" t="s">
        <v>1604</v>
      </c>
    </row>
    <row r="32" spans="30:63" x14ac:dyDescent="0.25">
      <c r="AD32" t="s">
        <v>1559</v>
      </c>
      <c r="BK32" t="s">
        <v>1777</v>
      </c>
    </row>
    <row r="33" spans="30:30" x14ac:dyDescent="0.25">
      <c r="AD33" t="s">
        <v>1560</v>
      </c>
    </row>
    <row r="34" spans="30:30" x14ac:dyDescent="0.25">
      <c r="AD34" t="s">
        <v>1561</v>
      </c>
    </row>
    <row r="35" spans="30:30" x14ac:dyDescent="0.25">
      <c r="AD35" t="s">
        <v>1562</v>
      </c>
    </row>
    <row r="36" spans="30:30" x14ac:dyDescent="0.25">
      <c r="AD36" t="s">
        <v>1563</v>
      </c>
    </row>
    <row r="37" spans="30:30" x14ac:dyDescent="0.25">
      <c r="AD37" t="s">
        <v>1564</v>
      </c>
    </row>
    <row r="38" spans="30:30" x14ac:dyDescent="0.25">
      <c r="AD38" t="s">
        <v>1565</v>
      </c>
    </row>
    <row r="39" spans="30:30" x14ac:dyDescent="0.25">
      <c r="AD39" t="s">
        <v>1566</v>
      </c>
    </row>
    <row r="40" spans="30:30" x14ac:dyDescent="0.25">
      <c r="AD40" t="s">
        <v>1567</v>
      </c>
    </row>
    <row r="41" spans="30:30" x14ac:dyDescent="0.25">
      <c r="AD41" t="s">
        <v>1568</v>
      </c>
    </row>
    <row r="42" spans="30:30" x14ac:dyDescent="0.25">
      <c r="AD42" t="s">
        <v>1569</v>
      </c>
    </row>
    <row r="43" spans="30:30" x14ac:dyDescent="0.25">
      <c r="AD43" t="s">
        <v>1570</v>
      </c>
    </row>
    <row r="44" spans="30:30" x14ac:dyDescent="0.25">
      <c r="AD44" t="s">
        <v>1571</v>
      </c>
    </row>
    <row r="45" spans="30:30" x14ac:dyDescent="0.25">
      <c r="AD45" t="s">
        <v>1572</v>
      </c>
    </row>
    <row r="46" spans="30:30" x14ac:dyDescent="0.25">
      <c r="AD46" t="s">
        <v>1573</v>
      </c>
    </row>
    <row r="47" spans="30:30" x14ac:dyDescent="0.25">
      <c r="AD47" t="s">
        <v>1574</v>
      </c>
    </row>
    <row r="48" spans="30:30" x14ac:dyDescent="0.25">
      <c r="AD48" t="s">
        <v>1575</v>
      </c>
    </row>
    <row r="49" spans="30:30" x14ac:dyDescent="0.25">
      <c r="AD49" t="s">
        <v>1576</v>
      </c>
    </row>
    <row r="50" spans="30:30" x14ac:dyDescent="0.25">
      <c r="AD50" t="s">
        <v>1577</v>
      </c>
    </row>
    <row r="51" spans="30:30" x14ac:dyDescent="0.25">
      <c r="AD51" t="s">
        <v>1578</v>
      </c>
    </row>
    <row r="52" spans="30:30" x14ac:dyDescent="0.25">
      <c r="AD52" t="s">
        <v>1579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64C9C-F1C9-41D7-A027-315FA3AB152D}">
  <sheetPr codeName="Tabelle20">
    <tabColor rgb="FFFF0000"/>
  </sheetPr>
  <dimension ref="B1:C2"/>
  <sheetViews>
    <sheetView workbookViewId="0">
      <selection activeCell="C1" sqref="C1:C1048576"/>
    </sheetView>
  </sheetViews>
  <sheetFormatPr baseColWidth="10" defaultRowHeight="15" x14ac:dyDescent="0.25"/>
  <cols>
    <col min="1" max="1" width="14.42578125" bestFit="1" customWidth="1"/>
    <col min="2" max="2" width="27.85546875" customWidth="1"/>
  </cols>
  <sheetData>
    <row r="1" spans="2:3" x14ac:dyDescent="0.25">
      <c r="B1" t="s">
        <v>1477</v>
      </c>
      <c r="C1" t="s">
        <v>1477</v>
      </c>
    </row>
    <row r="2" spans="2:3" x14ac:dyDescent="0.25">
      <c r="C2" t="s">
        <v>1476</v>
      </c>
    </row>
  </sheetData>
  <sortState xmlns:xlrd2="http://schemas.microsoft.com/office/spreadsheetml/2017/richdata2" ref="C1:C2">
    <sortCondition ref="C1:C200"/>
  </sortState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6888-6E2A-4DD8-84BA-2F582A32E328}">
  <sheetPr codeName="Tabelle22">
    <tabColor rgb="FFFF0000"/>
  </sheetPr>
  <dimension ref="A1:E1"/>
  <sheetViews>
    <sheetView zoomScale="145" zoomScaleNormal="145" workbookViewId="0">
      <selection activeCell="L16" sqref="L16"/>
    </sheetView>
  </sheetViews>
  <sheetFormatPr baseColWidth="10" defaultRowHeight="15" x14ac:dyDescent="0.25"/>
  <cols>
    <col min="1" max="1" width="2.85546875" bestFit="1" customWidth="1"/>
    <col min="2" max="2" width="10.28515625" customWidth="1"/>
    <col min="3" max="3" width="11" customWidth="1"/>
  </cols>
  <sheetData>
    <row r="1" spans="1:5" x14ac:dyDescent="0.25">
      <c r="A1" t="s">
        <v>174</v>
      </c>
      <c r="B1" t="s">
        <v>637</v>
      </c>
      <c r="C1" s="79" t="s">
        <v>646</v>
      </c>
      <c r="D1" s="79"/>
      <c r="E1" s="79"/>
    </row>
  </sheetData>
  <dataValidations count="2">
    <dataValidation type="list" allowBlank="1" showInputMessage="1" showErrorMessage="1" sqref="B1" xr:uid="{9E4DFC0A-E528-4DAA-A0CB-35F31D5DC00A}">
      <formula1>INDIRECT($A$1)</formula1>
    </dataValidation>
    <dataValidation type="list" allowBlank="1" showInputMessage="1" showErrorMessage="1" sqref="C1" xr:uid="{C015D64B-114F-410F-A59D-AB546421494C}">
      <formula1>INDIRECT(B1)</formula1>
    </dataValidation>
  </dataValidation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3A681-C4F4-4D48-926C-6670B3E52FE9}">
  <sheetPr codeName="Tabelle27">
    <tabColor rgb="FF00A8FF"/>
  </sheetPr>
  <dimension ref="A1:D7"/>
  <sheetViews>
    <sheetView workbookViewId="0">
      <selection activeCell="B20" sqref="B20"/>
    </sheetView>
  </sheetViews>
  <sheetFormatPr baseColWidth="10" defaultRowHeight="15" x14ac:dyDescent="0.25"/>
  <cols>
    <col min="1" max="1" width="58" bestFit="1" customWidth="1"/>
    <col min="2" max="2" width="34.85546875" bestFit="1" customWidth="1"/>
    <col min="3" max="3" width="7.42578125" bestFit="1" customWidth="1"/>
    <col min="4" max="4" width="23.42578125" bestFit="1" customWidth="1"/>
  </cols>
  <sheetData>
    <row r="1" spans="1:4" s="26" customFormat="1" x14ac:dyDescent="0.25">
      <c r="A1" s="26" t="s">
        <v>54</v>
      </c>
      <c r="B1" s="26" t="s">
        <v>53</v>
      </c>
      <c r="C1" s="26" t="s">
        <v>52</v>
      </c>
      <c r="D1" s="26" t="s">
        <v>158</v>
      </c>
    </row>
    <row r="2" spans="1:4" x14ac:dyDescent="0.25">
      <c r="A2" t="s">
        <v>1018</v>
      </c>
      <c r="B2" t="s">
        <v>1478</v>
      </c>
      <c r="C2" t="s">
        <v>51</v>
      </c>
      <c r="D2" t="s">
        <v>1479</v>
      </c>
    </row>
    <row r="3" spans="1:4" x14ac:dyDescent="0.25">
      <c r="A3" t="s">
        <v>1019</v>
      </c>
      <c r="B3" t="s">
        <v>1480</v>
      </c>
      <c r="C3" t="s">
        <v>51</v>
      </c>
      <c r="D3" t="s">
        <v>1481</v>
      </c>
    </row>
    <row r="4" spans="1:4" x14ac:dyDescent="0.25">
      <c r="A4" t="s">
        <v>1020</v>
      </c>
      <c r="B4" t="s">
        <v>1482</v>
      </c>
      <c r="C4" t="s">
        <v>51</v>
      </c>
      <c r="D4" t="s">
        <v>1483</v>
      </c>
    </row>
    <row r="5" spans="1:4" x14ac:dyDescent="0.25">
      <c r="A5" t="s">
        <v>1021</v>
      </c>
      <c r="B5" t="s">
        <v>1484</v>
      </c>
      <c r="C5" t="s">
        <v>51</v>
      </c>
      <c r="D5" t="s">
        <v>1485</v>
      </c>
    </row>
    <row r="6" spans="1:4" x14ac:dyDescent="0.25">
      <c r="A6" t="s">
        <v>1023</v>
      </c>
      <c r="B6" t="s">
        <v>1486</v>
      </c>
      <c r="C6" t="s">
        <v>51</v>
      </c>
      <c r="D6" t="s">
        <v>1487</v>
      </c>
    </row>
    <row r="7" spans="1:4" x14ac:dyDescent="0.25">
      <c r="A7" t="s">
        <v>1024</v>
      </c>
      <c r="B7" t="s">
        <v>1488</v>
      </c>
      <c r="C7" t="s">
        <v>51</v>
      </c>
      <c r="D7" t="s">
        <v>1489</v>
      </c>
    </row>
  </sheetData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E2A-CA9E-43DF-9A40-E60302FF2AB3}">
  <sheetPr codeName="Tabelle28">
    <tabColor rgb="FF00A8FF"/>
  </sheetPr>
  <dimension ref="A1:K2"/>
  <sheetViews>
    <sheetView workbookViewId="0">
      <selection activeCell="E18" sqref="E18"/>
    </sheetView>
  </sheetViews>
  <sheetFormatPr baseColWidth="10" defaultRowHeight="15" x14ac:dyDescent="0.25"/>
  <cols>
    <col min="1" max="1" width="42.5703125" bestFit="1" customWidth="1"/>
    <col min="2" max="2" width="36.42578125" bestFit="1" customWidth="1"/>
  </cols>
  <sheetData>
    <row r="1" spans="1:11" x14ac:dyDescent="0.25">
      <c r="A1" t="s">
        <v>54</v>
      </c>
      <c r="B1" t="s">
        <v>53</v>
      </c>
      <c r="C1" t="s">
        <v>52</v>
      </c>
      <c r="D1" t="s">
        <v>145</v>
      </c>
      <c r="E1" t="s">
        <v>146</v>
      </c>
      <c r="F1" t="s">
        <v>147</v>
      </c>
      <c r="G1" t="s">
        <v>148</v>
      </c>
      <c r="H1" t="s">
        <v>149</v>
      </c>
      <c r="I1" t="s">
        <v>150</v>
      </c>
      <c r="J1" t="s">
        <v>159</v>
      </c>
      <c r="K1" t="s">
        <v>162</v>
      </c>
    </row>
    <row r="2" spans="1:11" x14ac:dyDescent="0.25">
      <c r="A2" t="s">
        <v>1045</v>
      </c>
      <c r="B2" t="s">
        <v>1494</v>
      </c>
      <c r="C2" t="s">
        <v>55</v>
      </c>
      <c r="D2" t="s">
        <v>161</v>
      </c>
      <c r="E2" t="s">
        <v>161</v>
      </c>
      <c r="F2" t="s">
        <v>161</v>
      </c>
      <c r="G2" t="s">
        <v>1491</v>
      </c>
      <c r="H2" t="s">
        <v>161</v>
      </c>
      <c r="I2" t="s">
        <v>1492</v>
      </c>
      <c r="J2" t="s">
        <v>161</v>
      </c>
      <c r="K2" t="s">
        <v>1490</v>
      </c>
    </row>
  </sheetData>
  <pageMargins left="0.7" right="0.7" top="0.78740157499999996" bottom="0.78740157499999996" header="0.3" footer="0.3"/>
</worksheet>
</file>

<file path=customUI/customUI.xml><?xml version="1.0" encoding="utf-8"?>
<customUI xmlns="http://schemas.microsoft.com/office/2006/01/customui">
  <ribbon>
    <tabs>
      <tab id="TabDatenpunktliste" label="Datenpunktliste">
        <group id="grpFilter" label="Filter">
          <button id="btnFilter10" label="Refresh Tabelle" size="normal" onAction="btnFilter10_click" imageMso="TableSharePointListsRefreshList"/>
          <button id="btnFilter20" label="Filter aufheben" size="normal" onAction="btnFilter20_click" imageMso="FilterClear"/>
          <button id="btnFilter30" label="PG5 Filter" size="normal" onAction="btnFilter30_click" imageMso="AutoFilterProject"/>
          <button id="btnFilter40" label="AKS BMKZ Filter" size="normal" onAction="btnFilter40_click" imageMso="AutoFilterProject"/>
          <button id="btnFilter50" label="PromosNT AKS" size="normal" onAction="btnFilter50_click" imageMso="AutoFilterProject"/>
          <button id="btnFilter60" label="PromosNT Objekte" size="normal" onAction="btnFilter60_click" imageMso="AutoFilterProject"/>
          <button id="btnFilter70" label="Inbetriebnahme" size="normal" onAction="btnFilter70_click" imageMso="AutoFilterProject"/>
        </group>
        <group id="grpEinstellungen" label="Einstellungen">
          <button id="btnEinstellungen10" label="Slotbelegung" size="normal" onAction="btnEinstellungen10_click" imageMso="GalInsertAspNet"/>
          <button id="btnEinstellungen20" label="Import Menue" size="normal" onAction="btnEinstellungen20_click" imageMso="ConnectionSettings"/>
          <button id="btnEinstellungen30" label="PromosNT Menue" size="normal" onAction="btnEinstellungen30_click" imageMso="DataFromRESTWebService"/>
          <button id="btnEinstellungen40" label="BMKZ" size="normal" onAction="btnEinstellungen40_click" imageMso="TableSharePointListsModifyColumnsAndSettings"/>
          <button id="btnEinstellungen50" label="Blattmanager" size="normal" onAction="btnEinstellungen50_click" imageMso="BorderMoreColorsDialog"/>
          <button id="btnEinstellungen60" label="Projekteinstellungen" size="normal" onAction="btnEinstellungen60_click" imageMso="CurrentViewSettings"/>
        </group>
        <group id="grpAusfuehren" label="Ausfuehren">
          <button id="btnAusfuehren10" label="AKS Abgleich" size="normal" onAction="btnAusfuehren10_click" imageMso="DatabaseEncodeDecode"/>
          <button id="btnAusfuehren20" label="Direkt Import!" size="normal" onAction="btnAusfuehren20_click" imageMso="GroupTableConvert"/>
          <button id="btnAusfuehren30" label="Neu Zeichnen" size="normal" onAction="btnAusfuehren30_click" imageMso="ControlWizards"/>
          <button id="btnAusfuehren40" label="BMKZ Sychronisieren" size="normal" onAction="btnAusfuehren40_click" imageMso="DatabaseAccessBackEnd"/>
          <button id="btnAusfuehren50" label="E-Schema Einmischen" size="normal" onAction="btnAusfuehren50_click" imageMso="PageRelayoutGallery"/>
          <button id="btnAusfuehren60" label="E-Schema Loeschen" size="normal" onAction="btnAusfuehren60_click" imageMso="DeleteTable"/>
        </group>
        <group id="grpBerichte" label="Berichte">
          <button id="btnBerichte10" label="Inbetriebnahme" size="normal" onAction="btnBerichte10_click" imageMso="PasteExcelTableDestinationTableStyle"/>
        </group>
        <group id="grpSystem" label="System">
          <button id="btnSystem10" label="Update" size="normal" onAction="btnSystem10_click" imageMso="SearchCalendarsOnline"/>
          <button id="btnSystem20" label="Menu Update" size="normal" onAction="btnSystem20_click" imageMso="FillDow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46</vt:i4>
      </vt:variant>
    </vt:vector>
  </HeadingPairs>
  <TitlesOfParts>
    <vt:vector size="74" baseType="lpstr">
      <vt:lpstr>PSDUS0202</vt:lpstr>
      <vt:lpstr>MR-DO4</vt:lpstr>
      <vt:lpstr>MR-AO4</vt:lpstr>
      <vt:lpstr>EscoModul</vt:lpstr>
      <vt:lpstr>Modulliste</vt:lpstr>
      <vt:lpstr>Erweiterungen</vt:lpstr>
      <vt:lpstr>DOKU</vt:lpstr>
      <vt:lpstr>Objektliste</vt:lpstr>
      <vt:lpstr>promos</vt:lpstr>
      <vt:lpstr>Name_aus_PList</vt:lpstr>
      <vt:lpstr>DMS</vt:lpstr>
      <vt:lpstr>InbetriebnahmeProtokoll</vt:lpstr>
      <vt:lpstr>alte_Datenpunktliste</vt:lpstr>
      <vt:lpstr>Visio_Import</vt:lpstr>
      <vt:lpstr>Visio_Export</vt:lpstr>
      <vt:lpstr>Visio_Export (2)</vt:lpstr>
      <vt:lpstr>Kabelzugliste</vt:lpstr>
      <vt:lpstr>BMKZ-Belegung</vt:lpstr>
      <vt:lpstr>DB</vt:lpstr>
      <vt:lpstr>DB2</vt:lpstr>
      <vt:lpstr>NI1000TK5</vt:lpstr>
      <vt:lpstr>Arbeitsblatt</vt:lpstr>
      <vt:lpstr>Import_CFG</vt:lpstr>
      <vt:lpstr>tmp</vt:lpstr>
      <vt:lpstr>Namen_cfg</vt:lpstr>
      <vt:lpstr>Test</vt:lpstr>
      <vt:lpstr>MES01</vt:lpstr>
      <vt:lpstr>MOT10</vt:lpstr>
      <vt:lpstr>_ANA01_</vt:lpstr>
      <vt:lpstr>_DIG01_</vt:lpstr>
      <vt:lpstr>_MEL01_</vt:lpstr>
      <vt:lpstr>_MES01_</vt:lpstr>
      <vt:lpstr>_MOT01_</vt:lpstr>
      <vt:lpstr>_MOT10_</vt:lpstr>
      <vt:lpstr>_VEN01_</vt:lpstr>
      <vt:lpstr>_VEN02_</vt:lpstr>
      <vt:lpstr>DMS_1</vt:lpstr>
      <vt:lpstr>'BMKZ-Belegung'!Druckbereich</vt:lpstr>
      <vt:lpstr>InbetriebnahmeProtokoll!Druckbereich</vt:lpstr>
      <vt:lpstr>PSDUS0202!Druckbereich</vt:lpstr>
      <vt:lpstr>InbetriebnahmeProtokoll!Drucktitel</vt:lpstr>
      <vt:lpstr>Endungen</vt:lpstr>
      <vt:lpstr>Erweiterungsmodul</vt:lpstr>
      <vt:lpstr>Gewerk</vt:lpstr>
      <vt:lpstr>H_</vt:lpstr>
      <vt:lpstr>H_Druck</vt:lpstr>
      <vt:lpstr>H_Klappe</vt:lpstr>
      <vt:lpstr>H_Meldung</vt:lpstr>
      <vt:lpstr>H_Pumpe</vt:lpstr>
      <vt:lpstr>H_Temp</vt:lpstr>
      <vt:lpstr>H_Ventil</vt:lpstr>
      <vt:lpstr>IO</vt:lpstr>
      <vt:lpstr>K_</vt:lpstr>
      <vt:lpstr>K_Druck</vt:lpstr>
      <vt:lpstr>K_Klappe</vt:lpstr>
      <vt:lpstr>K_Meldung</vt:lpstr>
      <vt:lpstr>K_Pumpe</vt:lpstr>
      <vt:lpstr>K_Temp</vt:lpstr>
      <vt:lpstr>K_Ventil</vt:lpstr>
      <vt:lpstr>L_</vt:lpstr>
      <vt:lpstr>L_Druck</vt:lpstr>
      <vt:lpstr>L_Feuchte</vt:lpstr>
      <vt:lpstr>L_Filter</vt:lpstr>
      <vt:lpstr>L_FU</vt:lpstr>
      <vt:lpstr>L_Klappe</vt:lpstr>
      <vt:lpstr>L_Meldung</vt:lpstr>
      <vt:lpstr>L_Motor</vt:lpstr>
      <vt:lpstr>L_Pumpe</vt:lpstr>
      <vt:lpstr>L_Temp</vt:lpstr>
      <vt:lpstr>L_Ventil</vt:lpstr>
      <vt:lpstr>Module</vt:lpstr>
      <vt:lpstr>Objecte</vt:lpstr>
      <vt:lpstr>Objekte</vt:lpstr>
      <vt:lpstr>Type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Bilz</dc:creator>
  <cp:lastModifiedBy>Marco Bilz</cp:lastModifiedBy>
  <cp:lastPrinted>2020-12-21T10:08:51Z</cp:lastPrinted>
  <dcterms:created xsi:type="dcterms:W3CDTF">2017-07-07T07:28:19Z</dcterms:created>
  <dcterms:modified xsi:type="dcterms:W3CDTF">2020-12-31T11:07:50Z</dcterms:modified>
</cp:coreProperties>
</file>